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ouglas Titus\Desktop\lecture\"/>
    </mc:Choice>
  </mc:AlternateContent>
  <xr:revisionPtr revIDLastSave="0" documentId="13_ncr:1_{FFE28DF0-B0A4-4AD8-B58A-D3B4817DC490}" xr6:coauthVersionLast="47" xr6:coauthVersionMax="47" xr10:uidLastSave="{00000000-0000-0000-0000-000000000000}"/>
  <bookViews>
    <workbookView xWindow="-120" yWindow="-120" windowWidth="24240" windowHeight="13020" firstSheet="1" activeTab="3" xr2:uid="{A3D397F7-4063-4A18-B384-5E3B79B0A2FF}"/>
  </bookViews>
  <sheets>
    <sheet name="Sheet3" sheetId="8" state="hidden" r:id="rId1"/>
    <sheet name="BuildingData_Clean" sheetId="2" r:id="rId2"/>
    <sheet name="Descriptive Stat_Model " sheetId="12" r:id="rId3"/>
    <sheet name="Pivot Table" sheetId="7" r:id="rId4"/>
    <sheet name="Dashboard" sheetId="18" r:id="rId5"/>
  </sheets>
  <definedNames>
    <definedName name="ExternalData_1" localSheetId="1" hidden="1">BuildingData_Clean!$A$1:$P$1499</definedName>
    <definedName name="_xlnm.Print_Area" localSheetId="4">Dashboard!$H$2:$Y$55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Q29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0749A3-69A3-4AF4-B6AC-C5DC669BB838}" keepAlive="1" name="Query - FinalData" description="Connection to the 'FinalData' query in the workbook." type="5" refreshedVersion="8" background="1" saveData="1">
    <dbPr connection="Provider=Microsoft.Mashup.OleDb.1;Data Source=$Workbook$;Location=FinalData;Extended Properties=&quot;&quot;" command="SELECT * FROM [FinalData]"/>
  </connection>
</connections>
</file>

<file path=xl/sharedStrings.xml><?xml version="1.0" encoding="utf-8"?>
<sst xmlns="http://schemas.openxmlformats.org/spreadsheetml/2006/main" count="4669" uniqueCount="125">
  <si>
    <t>Timestamp</t>
  </si>
  <si>
    <t>BuildingID</t>
  </si>
  <si>
    <t>RoomID</t>
  </si>
  <si>
    <t>Occupancy</t>
  </si>
  <si>
    <t>RoomCapacity</t>
  </si>
  <si>
    <t>Temperature_C</t>
  </si>
  <si>
    <t>Energy_kWh</t>
  </si>
  <si>
    <t>B03</t>
  </si>
  <si>
    <t>R111</t>
  </si>
  <si>
    <t>B02</t>
  </si>
  <si>
    <t>R105</t>
  </si>
  <si>
    <t>B01</t>
  </si>
  <si>
    <t>R101</t>
  </si>
  <si>
    <t>B04</t>
  </si>
  <si>
    <t>R112</t>
  </si>
  <si>
    <t>R113</t>
  </si>
  <si>
    <t>R104</t>
  </si>
  <si>
    <t>R109</t>
  </si>
  <si>
    <t>B05</t>
  </si>
  <si>
    <t>R106</t>
  </si>
  <si>
    <t>R119</t>
  </si>
  <si>
    <t>R110</t>
  </si>
  <si>
    <t>R116</t>
  </si>
  <si>
    <t>R115</t>
  </si>
  <si>
    <t>R102</t>
  </si>
  <si>
    <t>R117</t>
  </si>
  <si>
    <t>R120</t>
  </si>
  <si>
    <t>R107</t>
  </si>
  <si>
    <t>R103</t>
  </si>
  <si>
    <t>R118</t>
  </si>
  <si>
    <t>R114</t>
  </si>
  <si>
    <t>R108</t>
  </si>
  <si>
    <t>Year</t>
  </si>
  <si>
    <t>Month</t>
  </si>
  <si>
    <t>Day</t>
  </si>
  <si>
    <t>Day of Week</t>
  </si>
  <si>
    <t>Hour</t>
  </si>
  <si>
    <t>Occupancy_Rate</t>
  </si>
  <si>
    <t>Energy_Per_Person</t>
  </si>
  <si>
    <t>ShiftPeriod</t>
  </si>
  <si>
    <t>Night</t>
  </si>
  <si>
    <t>Morning</t>
  </si>
  <si>
    <t>Afternoon</t>
  </si>
  <si>
    <t>Evening</t>
  </si>
  <si>
    <t>Temp_Bin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</si>
  <si>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</si>
  <si>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</si>
  <si>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</si>
  <si>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</si>
  <si>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</si>
  <si>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</si>
  <si>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</si>
  <si>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</si>
  <si>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</si>
  <si>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</si>
  <si>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</si>
  <si>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</si>
  <si>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</si>
  <si>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</si>
  <si>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</si>
  <si>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Average of Energy_kWh</t>
  </si>
  <si>
    <t>Column Labels</t>
  </si>
  <si>
    <t>Confidence Level(95.0%)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</si>
  <si>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</si>
  <si>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</si>
  <si>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</si>
  <si>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</si>
  <si>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</si>
  <si>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</si>
  <si>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</si>
  <si>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</si>
  <si>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</si>
  <si>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</si>
  <si>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</si>
  <si>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</si>
  <si>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</si>
  <si>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</si>
  <si>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</si>
  <si>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</si>
  <si>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</si>
  <si>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</si>
  <si>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</si>
  <si>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</si>
  <si>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</si>
  <si>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</si>
  <si>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</si>
  <si>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</si>
  <si>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</si>
  <si>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Energy_kWh</t>
  </si>
  <si>
    <t>Residuals</t>
  </si>
  <si>
    <t>Input</t>
  </si>
  <si>
    <t>Value</t>
  </si>
  <si>
    <t>Data Period: January – March 2026  |  Buildings: B01–B05  |  Total Records: 1,498</t>
  </si>
  <si>
    <t>Total Energy Consumed</t>
  </si>
  <si>
    <t>Average Per Reading</t>
  </si>
  <si>
    <t>Peak Energy Reading</t>
  </si>
  <si>
    <t>Buildings Monitored</t>
  </si>
  <si>
    <t>Predictive Model Summary:  Linear Regression</t>
  </si>
  <si>
    <t>Metric</t>
  </si>
  <si>
    <t>Interpretation</t>
  </si>
  <si>
    <t>Model Type</t>
  </si>
  <si>
    <t>Linear Regression</t>
  </si>
  <si>
    <t>Predicts Energy_kWh</t>
  </si>
  <si>
    <t>Occupancy + Temperature</t>
  </si>
  <si>
    <t>2 input variales</t>
  </si>
  <si>
    <t>Model accuracy</t>
  </si>
  <si>
    <t>Std Error</t>
  </si>
  <si>
    <t>Avg prediction error</t>
  </si>
  <si>
    <t>Sample Prediction</t>
  </si>
  <si>
    <t>4.88kWh predicted</t>
  </si>
  <si>
    <t>Data Source: Smart Building Sensor Dataset  |  Analyst: Douglas  |  Tool: Microsoft Excel  |  Eagle Technologies LTD</t>
  </si>
  <si>
    <r>
      <t xml:space="preserve"> R</t>
    </r>
    <r>
      <rPr>
        <vertAlign val="superscript"/>
        <sz val="11"/>
        <color theme="0"/>
        <rFont val="Calibri"/>
        <family val="2"/>
      </rPr>
      <t>2</t>
    </r>
    <r>
      <rPr>
        <sz val="11"/>
        <color theme="0"/>
        <rFont val="Calibri"/>
        <family val="2"/>
        <scheme val="minor"/>
      </rPr>
      <t xml:space="preserve"> Score</t>
    </r>
  </si>
  <si>
    <r>
      <t>15 people at 25</t>
    </r>
    <r>
      <rPr>
        <vertAlign val="superscript"/>
        <sz val="11"/>
        <color theme="0"/>
        <rFont val="Calibri"/>
        <family val="2"/>
        <scheme val="minor"/>
      </rPr>
      <t>o</t>
    </r>
    <r>
      <rPr>
        <sz val="11"/>
        <color theme="0"/>
        <rFont val="Calibri"/>
        <family val="2"/>
        <scheme val="minor"/>
      </rPr>
      <t>c</t>
    </r>
  </si>
  <si>
    <t>4,568 kWh</t>
  </si>
  <si>
    <t>3.05 kWh</t>
  </si>
  <si>
    <t>5.88 kWh</t>
  </si>
  <si>
    <t>January</t>
  </si>
  <si>
    <t>March</t>
  </si>
  <si>
    <t>Predictors</t>
  </si>
  <si>
    <r>
      <t xml:space="preserve">Total Energy </t>
    </r>
    <r>
      <rPr>
        <b/>
        <sz val="14"/>
        <color theme="0"/>
        <rFont val="Calibri"/>
        <family val="2"/>
        <scheme val="minor"/>
      </rPr>
      <t>⚡</t>
    </r>
  </si>
  <si>
    <r>
      <t xml:space="preserve">Avg Per Reading </t>
    </r>
    <r>
      <rPr>
        <b/>
        <sz val="12"/>
        <color theme="0"/>
        <rFont val="Calibri"/>
        <family val="2"/>
        <scheme val="minor"/>
      </rPr>
      <t>📈</t>
    </r>
  </si>
  <si>
    <r>
      <t>Peak Reading</t>
    </r>
    <r>
      <rPr>
        <b/>
        <sz val="16"/>
        <color theme="0"/>
        <rFont val="Calibri"/>
        <family val="2"/>
        <scheme val="minor"/>
      </rPr>
      <t>🔼</t>
    </r>
  </si>
  <si>
    <r>
      <t xml:space="preserve">Buildings Monitored </t>
    </r>
    <r>
      <rPr>
        <b/>
        <sz val="14"/>
        <color theme="0"/>
        <rFont val="Calibri"/>
        <family val="2"/>
        <scheme val="minor"/>
      </rPr>
      <t>🏦</t>
    </r>
  </si>
  <si>
    <t xml:space="preserve">Smart Building Energy Consumption Dashboard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</si>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</sst>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vertAlign val="superscript"/>
      <sz val="11"/>
      <color theme="0"/>
      <name val="Calibri"/>
      <family val="2"/>
    </font>
    <font>
      <vertAlign val="superscript"/>
      <sz val="11"/>
      <color theme="0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162F4A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02809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centerContinuous"/>
    </xf>
    <xf numFmtId="0" fontId="4" fillId="0" borderId="0" xfId="0" applyFont="1"/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3" fillId="0" borderId="0" xfId="0" applyFont="1" applyAlignment="1">
      <alignment horizontal="center"/>
    </xf>
    <xf numFmtId="0" fontId="0" fillId="2" borderId="0" xfId="0" applyFill="1"/>
    <xf numFmtId="0" fontId="0" fillId="4" borderId="0" xfId="0" applyFill="1"/>
    <xf numFmtId="22" fontId="0" fillId="0" borderId="0" xfId="0" applyNumberFormat="1"/>
    <xf numFmtId="22" fontId="0" fillId="0" borderId="1" xfId="0" applyNumberFormat="1" applyBorder="1"/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1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6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6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colors>
    <mruColors>
      <color rgb="FF008000"/>
      <color rgb="FFCC6600"/>
      <color rgb="FF009999"/>
      <color rgb="FF2E86C1"/>
      <color rgb="FFD9D9D9"/>
      <color rgb="FFC55A11"/>
      <color rgb="FFFFA500"/>
      <color rgb="FF02075D"/>
      <color rgb="FF162F4A"/>
      <color rgb="FF2E75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[Smart_building_energy_Consumption_Model.xlsx]Pivot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Energy Consumption by Shift Period</a:t>
            </a:r>
          </a:p>
        </c:rich>
      </c:tx>
      <c:layout>
        <c:manualLayout>
          <c:xMode val="edge"/>
          <c:yMode val="edge"/>
          <c:x val="0.11934033245844269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Table'!$A$14:$A$18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'Pivot Table'!$B$14:$B$18</c:f>
              <c:numCache>
                <c:formatCode>General</c:formatCode>
                <c:ptCount val="4"/>
                <c:pt idx="0">
                  <c:v>3.0115806451612896</c:v>
                </c:pt>
                <c:pt idx="1">
                  <c:v>3.1141295546558716</c:v>
                </c:pt>
                <c:pt idx="2">
                  <c:v>3.0121904761904776</c:v>
                </c:pt>
                <c:pt idx="3">
                  <c:v>3.0620447284345067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1-4AE7-A410-B6401BE10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4671600"/>
        <c:axId val="1134672080"/>
      </c:barChart>
      <c:catAx>
        <c:axId val="1134671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72080"/>
        <c:crosses val="autoZero"/>
        <c:auto val="1"/>
        <c:lblAlgn val="ctr"/>
        <c:lblOffset val="100"/>
        <c:noMultiLvlLbl val="0"/>
      </c:catAx>
      <c:valAx>
        <c:axId val="1134672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7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Occupancy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Energy_kWh</c:v>
          </c:tx>
          <c:spPr>
            <a:ln w="19050">
              <a:noFill/>
            </a:ln>
          </c:spPr>
          <c:xVal>
            <c:numRef>
              <c:f>'Descriptive Stat_Model '!$B$2:$B$1001</c:f>
              <c:numCache>
                <c:formatCode>General</c:formatCode>
                <c:ptCount val="1000"/>
                <c:pt idx="0">
                  <c:v>6</c:v>
                </c:pt>
                <c:pt idx="1">
                  <c:v>6</c:v>
                </c:pt>
                <c:pt idx="2">
                  <c:v>8</c:v>
                </c:pt>
                <c:pt idx="3">
                  <c:v>3</c:v>
                </c:pt>
                <c:pt idx="4">
                  <c:v>5</c:v>
                </c:pt>
                <c:pt idx="5">
                  <c:v>11</c:v>
                </c:pt>
                <c:pt idx="6">
                  <c:v>7</c:v>
                </c:pt>
                <c:pt idx="7">
                  <c:v>7</c:v>
                </c:pt>
                <c:pt idx="8">
                  <c:v>12</c:v>
                </c:pt>
                <c:pt idx="9">
                  <c:v>7</c:v>
                </c:pt>
                <c:pt idx="10">
                  <c:v>12</c:v>
                </c:pt>
                <c:pt idx="11">
                  <c:v>4</c:v>
                </c:pt>
                <c:pt idx="12">
                  <c:v>11</c:v>
                </c:pt>
                <c:pt idx="13">
                  <c:v>5</c:v>
                </c:pt>
                <c:pt idx="14">
                  <c:v>8</c:v>
                </c:pt>
                <c:pt idx="15">
                  <c:v>4</c:v>
                </c:pt>
                <c:pt idx="16">
                  <c:v>9</c:v>
                </c:pt>
                <c:pt idx="17">
                  <c:v>11</c:v>
                </c:pt>
                <c:pt idx="18">
                  <c:v>3</c:v>
                </c:pt>
                <c:pt idx="19">
                  <c:v>9</c:v>
                </c:pt>
                <c:pt idx="20">
                  <c:v>11</c:v>
                </c:pt>
                <c:pt idx="21">
                  <c:v>11</c:v>
                </c:pt>
                <c:pt idx="22">
                  <c:v>8</c:v>
                </c:pt>
                <c:pt idx="23">
                  <c:v>17</c:v>
                </c:pt>
                <c:pt idx="24">
                  <c:v>5</c:v>
                </c:pt>
                <c:pt idx="25">
                  <c:v>5</c:v>
                </c:pt>
                <c:pt idx="26">
                  <c:v>9</c:v>
                </c:pt>
                <c:pt idx="27">
                  <c:v>9</c:v>
                </c:pt>
                <c:pt idx="28">
                  <c:v>4</c:v>
                </c:pt>
                <c:pt idx="29">
                  <c:v>6</c:v>
                </c:pt>
                <c:pt idx="30">
                  <c:v>7</c:v>
                </c:pt>
                <c:pt idx="31">
                  <c:v>12</c:v>
                </c:pt>
                <c:pt idx="32">
                  <c:v>5</c:v>
                </c:pt>
                <c:pt idx="33">
                  <c:v>14</c:v>
                </c:pt>
                <c:pt idx="34">
                  <c:v>8</c:v>
                </c:pt>
                <c:pt idx="35">
                  <c:v>11</c:v>
                </c:pt>
                <c:pt idx="36">
                  <c:v>7</c:v>
                </c:pt>
                <c:pt idx="37">
                  <c:v>4</c:v>
                </c:pt>
                <c:pt idx="38">
                  <c:v>10</c:v>
                </c:pt>
                <c:pt idx="39">
                  <c:v>5</c:v>
                </c:pt>
                <c:pt idx="40">
                  <c:v>6</c:v>
                </c:pt>
                <c:pt idx="41">
                  <c:v>11</c:v>
                </c:pt>
                <c:pt idx="42">
                  <c:v>6</c:v>
                </c:pt>
                <c:pt idx="43">
                  <c:v>12</c:v>
                </c:pt>
                <c:pt idx="44">
                  <c:v>11</c:v>
                </c:pt>
                <c:pt idx="45">
                  <c:v>13</c:v>
                </c:pt>
                <c:pt idx="46">
                  <c:v>10</c:v>
                </c:pt>
                <c:pt idx="47">
                  <c:v>3</c:v>
                </c:pt>
                <c:pt idx="48">
                  <c:v>12</c:v>
                </c:pt>
                <c:pt idx="49">
                  <c:v>6</c:v>
                </c:pt>
                <c:pt idx="50">
                  <c:v>7</c:v>
                </c:pt>
                <c:pt idx="51">
                  <c:v>4</c:v>
                </c:pt>
                <c:pt idx="52">
                  <c:v>7</c:v>
                </c:pt>
                <c:pt idx="53">
                  <c:v>9</c:v>
                </c:pt>
                <c:pt idx="54">
                  <c:v>8</c:v>
                </c:pt>
                <c:pt idx="55">
                  <c:v>10</c:v>
                </c:pt>
                <c:pt idx="56">
                  <c:v>8</c:v>
                </c:pt>
                <c:pt idx="57">
                  <c:v>6</c:v>
                </c:pt>
                <c:pt idx="58">
                  <c:v>10</c:v>
                </c:pt>
                <c:pt idx="59">
                  <c:v>6</c:v>
                </c:pt>
                <c:pt idx="60">
                  <c:v>3</c:v>
                </c:pt>
                <c:pt idx="61">
                  <c:v>12</c:v>
                </c:pt>
                <c:pt idx="62">
                  <c:v>6</c:v>
                </c:pt>
                <c:pt idx="63">
                  <c:v>11</c:v>
                </c:pt>
                <c:pt idx="64">
                  <c:v>10</c:v>
                </c:pt>
                <c:pt idx="65">
                  <c:v>4</c:v>
                </c:pt>
                <c:pt idx="66">
                  <c:v>8</c:v>
                </c:pt>
                <c:pt idx="67">
                  <c:v>10</c:v>
                </c:pt>
                <c:pt idx="68">
                  <c:v>9</c:v>
                </c:pt>
                <c:pt idx="69">
                  <c:v>12</c:v>
                </c:pt>
                <c:pt idx="70">
                  <c:v>4</c:v>
                </c:pt>
                <c:pt idx="71">
                  <c:v>6</c:v>
                </c:pt>
                <c:pt idx="72">
                  <c:v>6</c:v>
                </c:pt>
                <c:pt idx="73">
                  <c:v>8</c:v>
                </c:pt>
                <c:pt idx="74">
                  <c:v>8</c:v>
                </c:pt>
                <c:pt idx="75">
                  <c:v>6</c:v>
                </c:pt>
                <c:pt idx="76">
                  <c:v>4</c:v>
                </c:pt>
                <c:pt idx="77">
                  <c:v>8</c:v>
                </c:pt>
                <c:pt idx="78">
                  <c:v>3</c:v>
                </c:pt>
                <c:pt idx="79">
                  <c:v>10</c:v>
                </c:pt>
                <c:pt idx="80">
                  <c:v>8</c:v>
                </c:pt>
                <c:pt idx="81">
                  <c:v>8</c:v>
                </c:pt>
                <c:pt idx="82">
                  <c:v>5</c:v>
                </c:pt>
                <c:pt idx="83">
                  <c:v>7</c:v>
                </c:pt>
                <c:pt idx="84">
                  <c:v>9</c:v>
                </c:pt>
                <c:pt idx="85">
                  <c:v>4</c:v>
                </c:pt>
                <c:pt idx="86">
                  <c:v>7</c:v>
                </c:pt>
                <c:pt idx="87">
                  <c:v>9</c:v>
                </c:pt>
                <c:pt idx="88">
                  <c:v>11</c:v>
                </c:pt>
                <c:pt idx="89">
                  <c:v>9</c:v>
                </c:pt>
                <c:pt idx="90">
                  <c:v>5</c:v>
                </c:pt>
                <c:pt idx="91">
                  <c:v>9</c:v>
                </c:pt>
                <c:pt idx="92">
                  <c:v>15</c:v>
                </c:pt>
                <c:pt idx="93">
                  <c:v>3</c:v>
                </c:pt>
                <c:pt idx="94">
                  <c:v>11</c:v>
                </c:pt>
                <c:pt idx="95">
                  <c:v>7</c:v>
                </c:pt>
                <c:pt idx="96">
                  <c:v>8</c:v>
                </c:pt>
                <c:pt idx="97">
                  <c:v>10</c:v>
                </c:pt>
                <c:pt idx="98">
                  <c:v>6</c:v>
                </c:pt>
                <c:pt idx="99">
                  <c:v>15</c:v>
                </c:pt>
                <c:pt idx="100">
                  <c:v>5</c:v>
                </c:pt>
                <c:pt idx="101">
                  <c:v>13</c:v>
                </c:pt>
                <c:pt idx="102">
                  <c:v>5</c:v>
                </c:pt>
                <c:pt idx="103">
                  <c:v>7</c:v>
                </c:pt>
                <c:pt idx="104">
                  <c:v>10</c:v>
                </c:pt>
                <c:pt idx="105">
                  <c:v>9</c:v>
                </c:pt>
                <c:pt idx="106">
                  <c:v>5</c:v>
                </c:pt>
                <c:pt idx="107">
                  <c:v>9</c:v>
                </c:pt>
                <c:pt idx="108">
                  <c:v>6</c:v>
                </c:pt>
                <c:pt idx="109">
                  <c:v>5</c:v>
                </c:pt>
                <c:pt idx="110">
                  <c:v>8</c:v>
                </c:pt>
                <c:pt idx="111">
                  <c:v>6</c:v>
                </c:pt>
                <c:pt idx="112">
                  <c:v>6</c:v>
                </c:pt>
                <c:pt idx="113">
                  <c:v>7</c:v>
                </c:pt>
                <c:pt idx="114">
                  <c:v>8</c:v>
                </c:pt>
                <c:pt idx="115">
                  <c:v>11</c:v>
                </c:pt>
                <c:pt idx="116">
                  <c:v>9</c:v>
                </c:pt>
                <c:pt idx="117">
                  <c:v>11</c:v>
                </c:pt>
                <c:pt idx="118">
                  <c:v>8</c:v>
                </c:pt>
                <c:pt idx="119">
                  <c:v>6</c:v>
                </c:pt>
                <c:pt idx="120">
                  <c:v>7</c:v>
                </c:pt>
                <c:pt idx="121">
                  <c:v>8</c:v>
                </c:pt>
                <c:pt idx="122">
                  <c:v>5</c:v>
                </c:pt>
                <c:pt idx="123">
                  <c:v>5</c:v>
                </c:pt>
                <c:pt idx="124">
                  <c:v>9</c:v>
                </c:pt>
                <c:pt idx="125">
                  <c:v>9</c:v>
                </c:pt>
                <c:pt idx="126">
                  <c:v>11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8</c:v>
                </c:pt>
                <c:pt idx="131">
                  <c:v>6</c:v>
                </c:pt>
                <c:pt idx="132">
                  <c:v>8</c:v>
                </c:pt>
                <c:pt idx="133">
                  <c:v>9</c:v>
                </c:pt>
                <c:pt idx="134">
                  <c:v>10</c:v>
                </c:pt>
                <c:pt idx="135">
                  <c:v>10</c:v>
                </c:pt>
                <c:pt idx="136">
                  <c:v>9</c:v>
                </c:pt>
                <c:pt idx="137">
                  <c:v>6</c:v>
                </c:pt>
                <c:pt idx="138">
                  <c:v>4</c:v>
                </c:pt>
                <c:pt idx="139">
                  <c:v>12</c:v>
                </c:pt>
                <c:pt idx="140">
                  <c:v>7</c:v>
                </c:pt>
                <c:pt idx="141">
                  <c:v>10</c:v>
                </c:pt>
                <c:pt idx="142">
                  <c:v>7</c:v>
                </c:pt>
                <c:pt idx="143">
                  <c:v>11</c:v>
                </c:pt>
                <c:pt idx="144">
                  <c:v>9</c:v>
                </c:pt>
                <c:pt idx="145">
                  <c:v>10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8</c:v>
                </c:pt>
                <c:pt idx="150">
                  <c:v>9</c:v>
                </c:pt>
                <c:pt idx="151">
                  <c:v>4</c:v>
                </c:pt>
                <c:pt idx="152">
                  <c:v>8</c:v>
                </c:pt>
                <c:pt idx="153">
                  <c:v>10</c:v>
                </c:pt>
                <c:pt idx="154">
                  <c:v>9</c:v>
                </c:pt>
                <c:pt idx="155">
                  <c:v>3</c:v>
                </c:pt>
                <c:pt idx="156">
                  <c:v>6</c:v>
                </c:pt>
                <c:pt idx="157">
                  <c:v>4</c:v>
                </c:pt>
                <c:pt idx="158">
                  <c:v>7</c:v>
                </c:pt>
                <c:pt idx="159">
                  <c:v>9</c:v>
                </c:pt>
                <c:pt idx="160">
                  <c:v>10</c:v>
                </c:pt>
                <c:pt idx="161">
                  <c:v>9</c:v>
                </c:pt>
                <c:pt idx="162">
                  <c:v>14</c:v>
                </c:pt>
                <c:pt idx="163">
                  <c:v>9</c:v>
                </c:pt>
                <c:pt idx="164">
                  <c:v>4</c:v>
                </c:pt>
                <c:pt idx="165">
                  <c:v>11</c:v>
                </c:pt>
                <c:pt idx="166">
                  <c:v>5</c:v>
                </c:pt>
                <c:pt idx="167">
                  <c:v>10</c:v>
                </c:pt>
                <c:pt idx="168">
                  <c:v>7</c:v>
                </c:pt>
                <c:pt idx="169">
                  <c:v>13</c:v>
                </c:pt>
                <c:pt idx="170">
                  <c:v>3</c:v>
                </c:pt>
                <c:pt idx="171">
                  <c:v>10</c:v>
                </c:pt>
                <c:pt idx="172">
                  <c:v>9</c:v>
                </c:pt>
                <c:pt idx="173">
                  <c:v>8</c:v>
                </c:pt>
                <c:pt idx="174">
                  <c:v>7</c:v>
                </c:pt>
                <c:pt idx="175">
                  <c:v>9</c:v>
                </c:pt>
                <c:pt idx="176">
                  <c:v>6</c:v>
                </c:pt>
                <c:pt idx="177">
                  <c:v>7</c:v>
                </c:pt>
                <c:pt idx="178">
                  <c:v>9</c:v>
                </c:pt>
                <c:pt idx="179">
                  <c:v>5</c:v>
                </c:pt>
                <c:pt idx="180">
                  <c:v>8</c:v>
                </c:pt>
                <c:pt idx="181">
                  <c:v>11</c:v>
                </c:pt>
                <c:pt idx="182">
                  <c:v>13</c:v>
                </c:pt>
                <c:pt idx="183">
                  <c:v>10</c:v>
                </c:pt>
                <c:pt idx="184">
                  <c:v>5</c:v>
                </c:pt>
                <c:pt idx="185">
                  <c:v>10</c:v>
                </c:pt>
                <c:pt idx="186">
                  <c:v>7</c:v>
                </c:pt>
                <c:pt idx="187">
                  <c:v>12</c:v>
                </c:pt>
                <c:pt idx="188">
                  <c:v>8</c:v>
                </c:pt>
                <c:pt idx="189">
                  <c:v>13</c:v>
                </c:pt>
                <c:pt idx="190">
                  <c:v>6</c:v>
                </c:pt>
                <c:pt idx="191">
                  <c:v>9</c:v>
                </c:pt>
                <c:pt idx="192">
                  <c:v>2</c:v>
                </c:pt>
                <c:pt idx="193">
                  <c:v>10</c:v>
                </c:pt>
                <c:pt idx="194">
                  <c:v>8</c:v>
                </c:pt>
                <c:pt idx="195">
                  <c:v>15</c:v>
                </c:pt>
                <c:pt idx="196">
                  <c:v>9</c:v>
                </c:pt>
                <c:pt idx="197">
                  <c:v>5</c:v>
                </c:pt>
                <c:pt idx="198">
                  <c:v>3</c:v>
                </c:pt>
                <c:pt idx="199">
                  <c:v>7</c:v>
                </c:pt>
                <c:pt idx="200">
                  <c:v>11</c:v>
                </c:pt>
                <c:pt idx="201">
                  <c:v>4</c:v>
                </c:pt>
                <c:pt idx="202">
                  <c:v>6</c:v>
                </c:pt>
                <c:pt idx="203">
                  <c:v>8</c:v>
                </c:pt>
                <c:pt idx="204">
                  <c:v>4</c:v>
                </c:pt>
                <c:pt idx="205">
                  <c:v>5</c:v>
                </c:pt>
                <c:pt idx="206">
                  <c:v>14</c:v>
                </c:pt>
                <c:pt idx="207">
                  <c:v>8</c:v>
                </c:pt>
                <c:pt idx="208">
                  <c:v>7</c:v>
                </c:pt>
                <c:pt idx="209">
                  <c:v>6</c:v>
                </c:pt>
                <c:pt idx="210">
                  <c:v>6</c:v>
                </c:pt>
                <c:pt idx="211">
                  <c:v>11</c:v>
                </c:pt>
                <c:pt idx="212">
                  <c:v>5</c:v>
                </c:pt>
                <c:pt idx="213">
                  <c:v>12</c:v>
                </c:pt>
                <c:pt idx="214">
                  <c:v>8</c:v>
                </c:pt>
                <c:pt idx="215">
                  <c:v>11</c:v>
                </c:pt>
                <c:pt idx="216">
                  <c:v>12</c:v>
                </c:pt>
                <c:pt idx="217">
                  <c:v>8</c:v>
                </c:pt>
                <c:pt idx="218">
                  <c:v>8</c:v>
                </c:pt>
                <c:pt idx="219">
                  <c:v>5</c:v>
                </c:pt>
                <c:pt idx="220">
                  <c:v>8</c:v>
                </c:pt>
                <c:pt idx="221">
                  <c:v>7</c:v>
                </c:pt>
                <c:pt idx="222">
                  <c:v>4</c:v>
                </c:pt>
                <c:pt idx="223">
                  <c:v>12</c:v>
                </c:pt>
                <c:pt idx="224">
                  <c:v>10</c:v>
                </c:pt>
                <c:pt idx="225">
                  <c:v>5</c:v>
                </c:pt>
                <c:pt idx="226">
                  <c:v>0</c:v>
                </c:pt>
                <c:pt idx="227">
                  <c:v>4</c:v>
                </c:pt>
                <c:pt idx="228">
                  <c:v>8</c:v>
                </c:pt>
                <c:pt idx="229">
                  <c:v>7</c:v>
                </c:pt>
                <c:pt idx="230">
                  <c:v>9</c:v>
                </c:pt>
                <c:pt idx="231">
                  <c:v>6</c:v>
                </c:pt>
                <c:pt idx="232">
                  <c:v>10</c:v>
                </c:pt>
                <c:pt idx="233">
                  <c:v>8</c:v>
                </c:pt>
                <c:pt idx="234">
                  <c:v>5</c:v>
                </c:pt>
                <c:pt idx="235">
                  <c:v>5</c:v>
                </c:pt>
                <c:pt idx="236">
                  <c:v>7</c:v>
                </c:pt>
                <c:pt idx="237">
                  <c:v>3</c:v>
                </c:pt>
                <c:pt idx="238">
                  <c:v>2</c:v>
                </c:pt>
                <c:pt idx="239">
                  <c:v>9</c:v>
                </c:pt>
                <c:pt idx="240">
                  <c:v>10</c:v>
                </c:pt>
                <c:pt idx="241">
                  <c:v>8</c:v>
                </c:pt>
                <c:pt idx="242">
                  <c:v>7</c:v>
                </c:pt>
                <c:pt idx="243">
                  <c:v>8</c:v>
                </c:pt>
                <c:pt idx="244">
                  <c:v>4</c:v>
                </c:pt>
                <c:pt idx="245">
                  <c:v>11</c:v>
                </c:pt>
                <c:pt idx="246">
                  <c:v>13</c:v>
                </c:pt>
                <c:pt idx="247">
                  <c:v>3</c:v>
                </c:pt>
                <c:pt idx="248">
                  <c:v>7</c:v>
                </c:pt>
                <c:pt idx="249">
                  <c:v>7</c:v>
                </c:pt>
                <c:pt idx="250">
                  <c:v>11</c:v>
                </c:pt>
                <c:pt idx="251">
                  <c:v>2</c:v>
                </c:pt>
                <c:pt idx="252">
                  <c:v>14</c:v>
                </c:pt>
                <c:pt idx="253">
                  <c:v>5</c:v>
                </c:pt>
                <c:pt idx="254">
                  <c:v>11</c:v>
                </c:pt>
                <c:pt idx="255">
                  <c:v>5</c:v>
                </c:pt>
                <c:pt idx="256">
                  <c:v>12</c:v>
                </c:pt>
                <c:pt idx="257">
                  <c:v>7</c:v>
                </c:pt>
                <c:pt idx="258">
                  <c:v>11</c:v>
                </c:pt>
                <c:pt idx="259">
                  <c:v>14</c:v>
                </c:pt>
                <c:pt idx="260">
                  <c:v>4</c:v>
                </c:pt>
                <c:pt idx="261">
                  <c:v>11</c:v>
                </c:pt>
                <c:pt idx="262">
                  <c:v>9</c:v>
                </c:pt>
                <c:pt idx="263">
                  <c:v>8</c:v>
                </c:pt>
                <c:pt idx="264">
                  <c:v>9</c:v>
                </c:pt>
                <c:pt idx="265">
                  <c:v>5</c:v>
                </c:pt>
                <c:pt idx="266">
                  <c:v>9</c:v>
                </c:pt>
                <c:pt idx="267">
                  <c:v>7</c:v>
                </c:pt>
                <c:pt idx="268">
                  <c:v>6</c:v>
                </c:pt>
                <c:pt idx="269">
                  <c:v>10</c:v>
                </c:pt>
                <c:pt idx="270">
                  <c:v>5</c:v>
                </c:pt>
                <c:pt idx="271">
                  <c:v>5</c:v>
                </c:pt>
                <c:pt idx="272">
                  <c:v>6</c:v>
                </c:pt>
                <c:pt idx="273">
                  <c:v>7</c:v>
                </c:pt>
                <c:pt idx="274">
                  <c:v>7</c:v>
                </c:pt>
                <c:pt idx="275">
                  <c:v>10</c:v>
                </c:pt>
                <c:pt idx="276">
                  <c:v>12</c:v>
                </c:pt>
                <c:pt idx="277">
                  <c:v>4</c:v>
                </c:pt>
                <c:pt idx="278">
                  <c:v>6</c:v>
                </c:pt>
                <c:pt idx="279">
                  <c:v>8</c:v>
                </c:pt>
                <c:pt idx="280">
                  <c:v>11</c:v>
                </c:pt>
                <c:pt idx="281">
                  <c:v>11</c:v>
                </c:pt>
                <c:pt idx="282">
                  <c:v>2</c:v>
                </c:pt>
                <c:pt idx="283">
                  <c:v>5</c:v>
                </c:pt>
                <c:pt idx="284">
                  <c:v>10</c:v>
                </c:pt>
                <c:pt idx="285">
                  <c:v>6</c:v>
                </c:pt>
                <c:pt idx="286">
                  <c:v>5</c:v>
                </c:pt>
                <c:pt idx="287">
                  <c:v>7</c:v>
                </c:pt>
                <c:pt idx="288">
                  <c:v>8</c:v>
                </c:pt>
                <c:pt idx="289">
                  <c:v>7</c:v>
                </c:pt>
                <c:pt idx="290">
                  <c:v>8</c:v>
                </c:pt>
                <c:pt idx="291">
                  <c:v>5</c:v>
                </c:pt>
                <c:pt idx="292">
                  <c:v>10</c:v>
                </c:pt>
                <c:pt idx="293">
                  <c:v>10</c:v>
                </c:pt>
                <c:pt idx="294">
                  <c:v>7</c:v>
                </c:pt>
                <c:pt idx="295">
                  <c:v>9</c:v>
                </c:pt>
                <c:pt idx="296">
                  <c:v>9</c:v>
                </c:pt>
                <c:pt idx="297">
                  <c:v>11</c:v>
                </c:pt>
                <c:pt idx="298">
                  <c:v>6</c:v>
                </c:pt>
                <c:pt idx="299">
                  <c:v>5</c:v>
                </c:pt>
                <c:pt idx="300">
                  <c:v>12</c:v>
                </c:pt>
                <c:pt idx="301">
                  <c:v>12</c:v>
                </c:pt>
                <c:pt idx="302">
                  <c:v>9</c:v>
                </c:pt>
                <c:pt idx="303">
                  <c:v>7</c:v>
                </c:pt>
                <c:pt idx="304">
                  <c:v>11</c:v>
                </c:pt>
                <c:pt idx="305">
                  <c:v>12</c:v>
                </c:pt>
                <c:pt idx="306">
                  <c:v>10</c:v>
                </c:pt>
                <c:pt idx="307">
                  <c:v>5</c:v>
                </c:pt>
                <c:pt idx="308">
                  <c:v>6</c:v>
                </c:pt>
                <c:pt idx="309">
                  <c:v>6</c:v>
                </c:pt>
                <c:pt idx="310">
                  <c:v>8</c:v>
                </c:pt>
                <c:pt idx="311">
                  <c:v>10</c:v>
                </c:pt>
                <c:pt idx="312">
                  <c:v>12</c:v>
                </c:pt>
                <c:pt idx="313">
                  <c:v>8</c:v>
                </c:pt>
                <c:pt idx="314">
                  <c:v>6</c:v>
                </c:pt>
                <c:pt idx="315">
                  <c:v>9</c:v>
                </c:pt>
                <c:pt idx="316">
                  <c:v>6</c:v>
                </c:pt>
                <c:pt idx="317">
                  <c:v>8</c:v>
                </c:pt>
                <c:pt idx="318">
                  <c:v>11</c:v>
                </c:pt>
                <c:pt idx="319">
                  <c:v>6</c:v>
                </c:pt>
                <c:pt idx="320">
                  <c:v>5</c:v>
                </c:pt>
                <c:pt idx="321">
                  <c:v>5</c:v>
                </c:pt>
                <c:pt idx="322">
                  <c:v>9</c:v>
                </c:pt>
                <c:pt idx="323">
                  <c:v>7</c:v>
                </c:pt>
                <c:pt idx="324">
                  <c:v>8</c:v>
                </c:pt>
                <c:pt idx="325">
                  <c:v>6</c:v>
                </c:pt>
                <c:pt idx="326">
                  <c:v>5</c:v>
                </c:pt>
                <c:pt idx="327">
                  <c:v>11</c:v>
                </c:pt>
                <c:pt idx="328">
                  <c:v>9</c:v>
                </c:pt>
                <c:pt idx="329">
                  <c:v>9</c:v>
                </c:pt>
                <c:pt idx="330">
                  <c:v>11</c:v>
                </c:pt>
                <c:pt idx="331">
                  <c:v>6</c:v>
                </c:pt>
                <c:pt idx="332">
                  <c:v>4</c:v>
                </c:pt>
                <c:pt idx="333">
                  <c:v>8</c:v>
                </c:pt>
                <c:pt idx="334">
                  <c:v>9</c:v>
                </c:pt>
                <c:pt idx="335">
                  <c:v>6</c:v>
                </c:pt>
                <c:pt idx="336">
                  <c:v>8</c:v>
                </c:pt>
                <c:pt idx="337">
                  <c:v>7</c:v>
                </c:pt>
                <c:pt idx="338">
                  <c:v>9</c:v>
                </c:pt>
                <c:pt idx="339">
                  <c:v>6</c:v>
                </c:pt>
                <c:pt idx="340">
                  <c:v>15</c:v>
                </c:pt>
                <c:pt idx="341">
                  <c:v>12</c:v>
                </c:pt>
                <c:pt idx="342">
                  <c:v>2</c:v>
                </c:pt>
                <c:pt idx="343">
                  <c:v>9</c:v>
                </c:pt>
                <c:pt idx="344">
                  <c:v>7</c:v>
                </c:pt>
                <c:pt idx="345">
                  <c:v>6</c:v>
                </c:pt>
                <c:pt idx="346">
                  <c:v>5</c:v>
                </c:pt>
                <c:pt idx="347">
                  <c:v>5</c:v>
                </c:pt>
                <c:pt idx="348">
                  <c:v>3</c:v>
                </c:pt>
                <c:pt idx="349">
                  <c:v>8</c:v>
                </c:pt>
                <c:pt idx="350">
                  <c:v>9</c:v>
                </c:pt>
                <c:pt idx="351">
                  <c:v>6</c:v>
                </c:pt>
                <c:pt idx="352">
                  <c:v>7</c:v>
                </c:pt>
                <c:pt idx="353">
                  <c:v>9</c:v>
                </c:pt>
                <c:pt idx="354">
                  <c:v>8</c:v>
                </c:pt>
                <c:pt idx="355">
                  <c:v>10</c:v>
                </c:pt>
                <c:pt idx="356">
                  <c:v>5</c:v>
                </c:pt>
                <c:pt idx="357">
                  <c:v>9</c:v>
                </c:pt>
                <c:pt idx="358">
                  <c:v>10</c:v>
                </c:pt>
                <c:pt idx="359">
                  <c:v>7</c:v>
                </c:pt>
                <c:pt idx="360">
                  <c:v>5</c:v>
                </c:pt>
                <c:pt idx="361">
                  <c:v>6</c:v>
                </c:pt>
                <c:pt idx="362">
                  <c:v>13</c:v>
                </c:pt>
                <c:pt idx="363">
                  <c:v>8</c:v>
                </c:pt>
                <c:pt idx="364">
                  <c:v>4</c:v>
                </c:pt>
                <c:pt idx="365">
                  <c:v>7</c:v>
                </c:pt>
                <c:pt idx="366">
                  <c:v>5</c:v>
                </c:pt>
                <c:pt idx="367">
                  <c:v>10</c:v>
                </c:pt>
                <c:pt idx="368">
                  <c:v>9</c:v>
                </c:pt>
                <c:pt idx="369">
                  <c:v>8</c:v>
                </c:pt>
                <c:pt idx="370">
                  <c:v>7</c:v>
                </c:pt>
                <c:pt idx="371">
                  <c:v>12</c:v>
                </c:pt>
                <c:pt idx="372">
                  <c:v>10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8</c:v>
                </c:pt>
                <c:pt idx="377">
                  <c:v>7</c:v>
                </c:pt>
                <c:pt idx="378">
                  <c:v>10</c:v>
                </c:pt>
                <c:pt idx="379">
                  <c:v>8</c:v>
                </c:pt>
                <c:pt idx="380">
                  <c:v>7</c:v>
                </c:pt>
                <c:pt idx="381">
                  <c:v>11</c:v>
                </c:pt>
                <c:pt idx="382">
                  <c:v>6</c:v>
                </c:pt>
                <c:pt idx="383">
                  <c:v>5</c:v>
                </c:pt>
                <c:pt idx="384">
                  <c:v>6</c:v>
                </c:pt>
                <c:pt idx="385">
                  <c:v>7</c:v>
                </c:pt>
                <c:pt idx="386">
                  <c:v>5</c:v>
                </c:pt>
                <c:pt idx="387">
                  <c:v>8</c:v>
                </c:pt>
                <c:pt idx="388">
                  <c:v>5</c:v>
                </c:pt>
                <c:pt idx="389">
                  <c:v>6</c:v>
                </c:pt>
                <c:pt idx="390">
                  <c:v>9</c:v>
                </c:pt>
                <c:pt idx="391">
                  <c:v>10</c:v>
                </c:pt>
                <c:pt idx="392">
                  <c:v>8</c:v>
                </c:pt>
                <c:pt idx="393">
                  <c:v>9</c:v>
                </c:pt>
                <c:pt idx="394">
                  <c:v>10</c:v>
                </c:pt>
                <c:pt idx="395">
                  <c:v>3</c:v>
                </c:pt>
                <c:pt idx="396">
                  <c:v>8</c:v>
                </c:pt>
                <c:pt idx="397">
                  <c:v>9</c:v>
                </c:pt>
                <c:pt idx="398">
                  <c:v>5</c:v>
                </c:pt>
                <c:pt idx="399">
                  <c:v>8</c:v>
                </c:pt>
                <c:pt idx="400">
                  <c:v>10</c:v>
                </c:pt>
                <c:pt idx="401">
                  <c:v>12</c:v>
                </c:pt>
                <c:pt idx="402">
                  <c:v>9</c:v>
                </c:pt>
                <c:pt idx="403">
                  <c:v>11</c:v>
                </c:pt>
                <c:pt idx="404">
                  <c:v>4</c:v>
                </c:pt>
                <c:pt idx="405">
                  <c:v>13</c:v>
                </c:pt>
                <c:pt idx="406">
                  <c:v>12</c:v>
                </c:pt>
                <c:pt idx="407">
                  <c:v>7</c:v>
                </c:pt>
                <c:pt idx="408">
                  <c:v>12</c:v>
                </c:pt>
                <c:pt idx="409">
                  <c:v>7</c:v>
                </c:pt>
                <c:pt idx="410">
                  <c:v>3</c:v>
                </c:pt>
                <c:pt idx="411">
                  <c:v>9</c:v>
                </c:pt>
                <c:pt idx="412">
                  <c:v>10</c:v>
                </c:pt>
                <c:pt idx="413">
                  <c:v>8</c:v>
                </c:pt>
                <c:pt idx="414">
                  <c:v>6</c:v>
                </c:pt>
                <c:pt idx="415">
                  <c:v>6</c:v>
                </c:pt>
                <c:pt idx="416">
                  <c:v>7</c:v>
                </c:pt>
                <c:pt idx="417">
                  <c:v>11</c:v>
                </c:pt>
                <c:pt idx="418">
                  <c:v>3</c:v>
                </c:pt>
                <c:pt idx="419">
                  <c:v>5</c:v>
                </c:pt>
                <c:pt idx="420">
                  <c:v>6</c:v>
                </c:pt>
                <c:pt idx="421">
                  <c:v>5</c:v>
                </c:pt>
                <c:pt idx="422">
                  <c:v>6</c:v>
                </c:pt>
                <c:pt idx="423">
                  <c:v>10</c:v>
                </c:pt>
                <c:pt idx="424">
                  <c:v>8</c:v>
                </c:pt>
                <c:pt idx="425">
                  <c:v>6</c:v>
                </c:pt>
                <c:pt idx="426">
                  <c:v>12</c:v>
                </c:pt>
                <c:pt idx="427">
                  <c:v>7</c:v>
                </c:pt>
                <c:pt idx="428">
                  <c:v>9</c:v>
                </c:pt>
                <c:pt idx="429">
                  <c:v>4</c:v>
                </c:pt>
                <c:pt idx="430">
                  <c:v>4</c:v>
                </c:pt>
                <c:pt idx="431">
                  <c:v>10</c:v>
                </c:pt>
                <c:pt idx="432">
                  <c:v>9</c:v>
                </c:pt>
                <c:pt idx="433">
                  <c:v>13</c:v>
                </c:pt>
                <c:pt idx="434">
                  <c:v>9</c:v>
                </c:pt>
                <c:pt idx="435">
                  <c:v>11</c:v>
                </c:pt>
                <c:pt idx="436">
                  <c:v>4</c:v>
                </c:pt>
                <c:pt idx="437">
                  <c:v>11</c:v>
                </c:pt>
                <c:pt idx="438">
                  <c:v>9</c:v>
                </c:pt>
                <c:pt idx="439">
                  <c:v>6</c:v>
                </c:pt>
                <c:pt idx="440">
                  <c:v>9</c:v>
                </c:pt>
                <c:pt idx="441">
                  <c:v>12</c:v>
                </c:pt>
                <c:pt idx="442">
                  <c:v>6</c:v>
                </c:pt>
                <c:pt idx="443">
                  <c:v>9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7</c:v>
                </c:pt>
                <c:pt idx="448">
                  <c:v>12</c:v>
                </c:pt>
                <c:pt idx="449">
                  <c:v>9</c:v>
                </c:pt>
                <c:pt idx="450">
                  <c:v>4</c:v>
                </c:pt>
                <c:pt idx="451">
                  <c:v>10</c:v>
                </c:pt>
                <c:pt idx="452">
                  <c:v>6</c:v>
                </c:pt>
                <c:pt idx="453">
                  <c:v>6</c:v>
                </c:pt>
                <c:pt idx="454">
                  <c:v>7</c:v>
                </c:pt>
                <c:pt idx="455">
                  <c:v>14</c:v>
                </c:pt>
                <c:pt idx="456">
                  <c:v>12</c:v>
                </c:pt>
                <c:pt idx="457">
                  <c:v>7</c:v>
                </c:pt>
                <c:pt idx="458">
                  <c:v>8</c:v>
                </c:pt>
                <c:pt idx="459">
                  <c:v>12</c:v>
                </c:pt>
                <c:pt idx="460">
                  <c:v>8</c:v>
                </c:pt>
                <c:pt idx="461">
                  <c:v>8</c:v>
                </c:pt>
                <c:pt idx="462">
                  <c:v>9</c:v>
                </c:pt>
                <c:pt idx="463">
                  <c:v>6</c:v>
                </c:pt>
                <c:pt idx="464">
                  <c:v>5</c:v>
                </c:pt>
                <c:pt idx="465">
                  <c:v>14</c:v>
                </c:pt>
                <c:pt idx="466">
                  <c:v>5</c:v>
                </c:pt>
                <c:pt idx="467">
                  <c:v>8</c:v>
                </c:pt>
                <c:pt idx="468">
                  <c:v>6</c:v>
                </c:pt>
                <c:pt idx="469">
                  <c:v>12</c:v>
                </c:pt>
                <c:pt idx="470">
                  <c:v>10</c:v>
                </c:pt>
                <c:pt idx="471">
                  <c:v>7</c:v>
                </c:pt>
                <c:pt idx="472">
                  <c:v>10</c:v>
                </c:pt>
                <c:pt idx="473">
                  <c:v>8</c:v>
                </c:pt>
                <c:pt idx="474">
                  <c:v>8</c:v>
                </c:pt>
                <c:pt idx="475">
                  <c:v>6</c:v>
                </c:pt>
                <c:pt idx="476">
                  <c:v>5</c:v>
                </c:pt>
                <c:pt idx="477">
                  <c:v>6</c:v>
                </c:pt>
                <c:pt idx="478">
                  <c:v>10</c:v>
                </c:pt>
                <c:pt idx="479">
                  <c:v>3</c:v>
                </c:pt>
                <c:pt idx="480">
                  <c:v>13</c:v>
                </c:pt>
                <c:pt idx="481">
                  <c:v>8</c:v>
                </c:pt>
                <c:pt idx="482">
                  <c:v>6</c:v>
                </c:pt>
                <c:pt idx="483">
                  <c:v>10</c:v>
                </c:pt>
                <c:pt idx="484">
                  <c:v>7</c:v>
                </c:pt>
                <c:pt idx="485">
                  <c:v>6</c:v>
                </c:pt>
                <c:pt idx="486">
                  <c:v>11</c:v>
                </c:pt>
                <c:pt idx="487">
                  <c:v>9</c:v>
                </c:pt>
                <c:pt idx="488">
                  <c:v>8</c:v>
                </c:pt>
                <c:pt idx="489">
                  <c:v>9</c:v>
                </c:pt>
                <c:pt idx="490">
                  <c:v>4</c:v>
                </c:pt>
                <c:pt idx="491">
                  <c:v>10</c:v>
                </c:pt>
                <c:pt idx="492">
                  <c:v>8</c:v>
                </c:pt>
                <c:pt idx="493">
                  <c:v>4</c:v>
                </c:pt>
                <c:pt idx="494">
                  <c:v>4</c:v>
                </c:pt>
                <c:pt idx="495">
                  <c:v>7</c:v>
                </c:pt>
                <c:pt idx="496">
                  <c:v>9</c:v>
                </c:pt>
                <c:pt idx="497">
                  <c:v>8</c:v>
                </c:pt>
                <c:pt idx="498">
                  <c:v>7</c:v>
                </c:pt>
                <c:pt idx="499">
                  <c:v>7</c:v>
                </c:pt>
                <c:pt idx="500">
                  <c:v>9</c:v>
                </c:pt>
                <c:pt idx="501">
                  <c:v>8</c:v>
                </c:pt>
                <c:pt idx="502">
                  <c:v>4</c:v>
                </c:pt>
                <c:pt idx="503">
                  <c:v>9</c:v>
                </c:pt>
                <c:pt idx="504">
                  <c:v>12</c:v>
                </c:pt>
                <c:pt idx="505">
                  <c:v>9</c:v>
                </c:pt>
                <c:pt idx="506">
                  <c:v>6</c:v>
                </c:pt>
                <c:pt idx="507">
                  <c:v>4</c:v>
                </c:pt>
                <c:pt idx="508">
                  <c:v>10</c:v>
                </c:pt>
                <c:pt idx="509">
                  <c:v>9</c:v>
                </c:pt>
                <c:pt idx="510">
                  <c:v>9</c:v>
                </c:pt>
                <c:pt idx="511">
                  <c:v>12</c:v>
                </c:pt>
                <c:pt idx="512">
                  <c:v>10</c:v>
                </c:pt>
                <c:pt idx="513">
                  <c:v>5</c:v>
                </c:pt>
                <c:pt idx="514">
                  <c:v>11</c:v>
                </c:pt>
                <c:pt idx="515">
                  <c:v>12</c:v>
                </c:pt>
                <c:pt idx="516">
                  <c:v>7</c:v>
                </c:pt>
                <c:pt idx="517">
                  <c:v>8</c:v>
                </c:pt>
                <c:pt idx="518">
                  <c:v>10</c:v>
                </c:pt>
                <c:pt idx="519">
                  <c:v>8</c:v>
                </c:pt>
                <c:pt idx="520">
                  <c:v>4</c:v>
                </c:pt>
                <c:pt idx="521">
                  <c:v>9</c:v>
                </c:pt>
                <c:pt idx="522">
                  <c:v>11</c:v>
                </c:pt>
                <c:pt idx="523">
                  <c:v>4</c:v>
                </c:pt>
                <c:pt idx="524">
                  <c:v>6</c:v>
                </c:pt>
                <c:pt idx="525">
                  <c:v>9</c:v>
                </c:pt>
                <c:pt idx="526">
                  <c:v>10</c:v>
                </c:pt>
                <c:pt idx="527">
                  <c:v>5</c:v>
                </c:pt>
                <c:pt idx="528">
                  <c:v>10</c:v>
                </c:pt>
                <c:pt idx="529">
                  <c:v>11</c:v>
                </c:pt>
                <c:pt idx="530">
                  <c:v>11</c:v>
                </c:pt>
                <c:pt idx="531">
                  <c:v>6</c:v>
                </c:pt>
                <c:pt idx="532">
                  <c:v>7</c:v>
                </c:pt>
                <c:pt idx="533">
                  <c:v>6</c:v>
                </c:pt>
                <c:pt idx="534">
                  <c:v>6</c:v>
                </c:pt>
                <c:pt idx="535">
                  <c:v>9</c:v>
                </c:pt>
                <c:pt idx="536">
                  <c:v>7</c:v>
                </c:pt>
                <c:pt idx="537">
                  <c:v>9</c:v>
                </c:pt>
                <c:pt idx="538">
                  <c:v>4</c:v>
                </c:pt>
                <c:pt idx="539">
                  <c:v>7</c:v>
                </c:pt>
                <c:pt idx="540">
                  <c:v>8</c:v>
                </c:pt>
                <c:pt idx="541">
                  <c:v>8</c:v>
                </c:pt>
                <c:pt idx="542">
                  <c:v>7</c:v>
                </c:pt>
                <c:pt idx="543">
                  <c:v>6</c:v>
                </c:pt>
                <c:pt idx="544">
                  <c:v>6</c:v>
                </c:pt>
                <c:pt idx="545">
                  <c:v>14</c:v>
                </c:pt>
                <c:pt idx="546">
                  <c:v>7</c:v>
                </c:pt>
                <c:pt idx="547">
                  <c:v>11</c:v>
                </c:pt>
                <c:pt idx="548">
                  <c:v>9</c:v>
                </c:pt>
                <c:pt idx="549">
                  <c:v>11</c:v>
                </c:pt>
                <c:pt idx="550">
                  <c:v>11</c:v>
                </c:pt>
                <c:pt idx="551">
                  <c:v>8</c:v>
                </c:pt>
                <c:pt idx="552">
                  <c:v>6</c:v>
                </c:pt>
                <c:pt idx="553">
                  <c:v>6</c:v>
                </c:pt>
                <c:pt idx="554">
                  <c:v>7</c:v>
                </c:pt>
                <c:pt idx="555">
                  <c:v>10</c:v>
                </c:pt>
                <c:pt idx="556">
                  <c:v>9</c:v>
                </c:pt>
                <c:pt idx="557">
                  <c:v>8</c:v>
                </c:pt>
                <c:pt idx="558">
                  <c:v>9</c:v>
                </c:pt>
                <c:pt idx="559">
                  <c:v>9</c:v>
                </c:pt>
                <c:pt idx="560">
                  <c:v>9</c:v>
                </c:pt>
                <c:pt idx="561">
                  <c:v>12</c:v>
                </c:pt>
                <c:pt idx="562">
                  <c:v>3</c:v>
                </c:pt>
                <c:pt idx="563">
                  <c:v>9</c:v>
                </c:pt>
                <c:pt idx="564">
                  <c:v>7</c:v>
                </c:pt>
                <c:pt idx="565">
                  <c:v>13</c:v>
                </c:pt>
                <c:pt idx="566">
                  <c:v>9</c:v>
                </c:pt>
                <c:pt idx="567">
                  <c:v>5</c:v>
                </c:pt>
                <c:pt idx="568">
                  <c:v>11</c:v>
                </c:pt>
                <c:pt idx="569">
                  <c:v>4</c:v>
                </c:pt>
                <c:pt idx="570">
                  <c:v>5</c:v>
                </c:pt>
                <c:pt idx="571">
                  <c:v>9</c:v>
                </c:pt>
                <c:pt idx="572">
                  <c:v>5</c:v>
                </c:pt>
                <c:pt idx="573">
                  <c:v>6</c:v>
                </c:pt>
                <c:pt idx="574">
                  <c:v>5</c:v>
                </c:pt>
                <c:pt idx="575">
                  <c:v>11</c:v>
                </c:pt>
                <c:pt idx="576">
                  <c:v>7</c:v>
                </c:pt>
                <c:pt idx="577">
                  <c:v>9</c:v>
                </c:pt>
                <c:pt idx="578">
                  <c:v>4</c:v>
                </c:pt>
                <c:pt idx="579">
                  <c:v>10</c:v>
                </c:pt>
                <c:pt idx="580">
                  <c:v>12</c:v>
                </c:pt>
                <c:pt idx="581">
                  <c:v>8</c:v>
                </c:pt>
                <c:pt idx="582">
                  <c:v>10</c:v>
                </c:pt>
                <c:pt idx="583">
                  <c:v>6</c:v>
                </c:pt>
                <c:pt idx="584">
                  <c:v>6</c:v>
                </c:pt>
                <c:pt idx="585">
                  <c:v>10</c:v>
                </c:pt>
                <c:pt idx="586">
                  <c:v>9</c:v>
                </c:pt>
                <c:pt idx="587">
                  <c:v>7</c:v>
                </c:pt>
                <c:pt idx="588">
                  <c:v>7</c:v>
                </c:pt>
                <c:pt idx="589">
                  <c:v>3</c:v>
                </c:pt>
                <c:pt idx="590">
                  <c:v>9</c:v>
                </c:pt>
                <c:pt idx="591">
                  <c:v>9</c:v>
                </c:pt>
                <c:pt idx="592">
                  <c:v>9</c:v>
                </c:pt>
                <c:pt idx="593">
                  <c:v>13</c:v>
                </c:pt>
                <c:pt idx="594">
                  <c:v>3</c:v>
                </c:pt>
                <c:pt idx="595">
                  <c:v>8</c:v>
                </c:pt>
                <c:pt idx="596">
                  <c:v>11</c:v>
                </c:pt>
                <c:pt idx="597">
                  <c:v>9</c:v>
                </c:pt>
                <c:pt idx="598">
                  <c:v>7</c:v>
                </c:pt>
                <c:pt idx="599">
                  <c:v>8</c:v>
                </c:pt>
                <c:pt idx="600">
                  <c:v>9</c:v>
                </c:pt>
                <c:pt idx="601">
                  <c:v>8</c:v>
                </c:pt>
                <c:pt idx="602">
                  <c:v>7</c:v>
                </c:pt>
                <c:pt idx="603">
                  <c:v>4</c:v>
                </c:pt>
                <c:pt idx="604">
                  <c:v>8</c:v>
                </c:pt>
                <c:pt idx="605">
                  <c:v>6</c:v>
                </c:pt>
                <c:pt idx="606">
                  <c:v>7</c:v>
                </c:pt>
                <c:pt idx="607">
                  <c:v>8</c:v>
                </c:pt>
                <c:pt idx="608">
                  <c:v>4</c:v>
                </c:pt>
                <c:pt idx="609">
                  <c:v>12</c:v>
                </c:pt>
                <c:pt idx="610">
                  <c:v>8</c:v>
                </c:pt>
                <c:pt idx="611">
                  <c:v>7</c:v>
                </c:pt>
                <c:pt idx="612">
                  <c:v>9</c:v>
                </c:pt>
                <c:pt idx="613">
                  <c:v>1</c:v>
                </c:pt>
                <c:pt idx="614">
                  <c:v>7</c:v>
                </c:pt>
                <c:pt idx="615">
                  <c:v>9</c:v>
                </c:pt>
                <c:pt idx="616">
                  <c:v>11</c:v>
                </c:pt>
                <c:pt idx="617">
                  <c:v>7</c:v>
                </c:pt>
                <c:pt idx="618">
                  <c:v>10</c:v>
                </c:pt>
                <c:pt idx="619">
                  <c:v>6</c:v>
                </c:pt>
                <c:pt idx="620">
                  <c:v>7</c:v>
                </c:pt>
                <c:pt idx="621">
                  <c:v>5</c:v>
                </c:pt>
                <c:pt idx="622">
                  <c:v>4</c:v>
                </c:pt>
                <c:pt idx="623">
                  <c:v>4</c:v>
                </c:pt>
                <c:pt idx="624">
                  <c:v>9</c:v>
                </c:pt>
                <c:pt idx="625">
                  <c:v>7</c:v>
                </c:pt>
                <c:pt idx="626">
                  <c:v>11</c:v>
                </c:pt>
                <c:pt idx="627">
                  <c:v>10</c:v>
                </c:pt>
                <c:pt idx="628">
                  <c:v>8</c:v>
                </c:pt>
                <c:pt idx="629">
                  <c:v>8</c:v>
                </c:pt>
                <c:pt idx="630">
                  <c:v>10</c:v>
                </c:pt>
                <c:pt idx="631">
                  <c:v>7</c:v>
                </c:pt>
                <c:pt idx="632">
                  <c:v>7</c:v>
                </c:pt>
                <c:pt idx="633">
                  <c:v>11</c:v>
                </c:pt>
                <c:pt idx="634">
                  <c:v>10</c:v>
                </c:pt>
                <c:pt idx="635">
                  <c:v>9</c:v>
                </c:pt>
                <c:pt idx="636">
                  <c:v>6</c:v>
                </c:pt>
                <c:pt idx="637">
                  <c:v>7</c:v>
                </c:pt>
                <c:pt idx="638">
                  <c:v>6</c:v>
                </c:pt>
                <c:pt idx="639">
                  <c:v>7</c:v>
                </c:pt>
                <c:pt idx="640">
                  <c:v>6</c:v>
                </c:pt>
                <c:pt idx="641">
                  <c:v>6</c:v>
                </c:pt>
                <c:pt idx="642">
                  <c:v>7</c:v>
                </c:pt>
                <c:pt idx="643">
                  <c:v>7</c:v>
                </c:pt>
                <c:pt idx="644">
                  <c:v>12</c:v>
                </c:pt>
                <c:pt idx="645">
                  <c:v>12</c:v>
                </c:pt>
                <c:pt idx="646">
                  <c:v>6</c:v>
                </c:pt>
                <c:pt idx="647">
                  <c:v>8</c:v>
                </c:pt>
                <c:pt idx="648">
                  <c:v>4</c:v>
                </c:pt>
                <c:pt idx="649">
                  <c:v>8</c:v>
                </c:pt>
                <c:pt idx="650">
                  <c:v>7</c:v>
                </c:pt>
                <c:pt idx="651">
                  <c:v>8</c:v>
                </c:pt>
                <c:pt idx="652">
                  <c:v>4</c:v>
                </c:pt>
                <c:pt idx="653">
                  <c:v>5</c:v>
                </c:pt>
                <c:pt idx="654">
                  <c:v>10</c:v>
                </c:pt>
                <c:pt idx="655">
                  <c:v>11</c:v>
                </c:pt>
                <c:pt idx="656">
                  <c:v>6</c:v>
                </c:pt>
                <c:pt idx="657">
                  <c:v>10</c:v>
                </c:pt>
                <c:pt idx="658">
                  <c:v>8</c:v>
                </c:pt>
                <c:pt idx="659">
                  <c:v>7</c:v>
                </c:pt>
                <c:pt idx="660">
                  <c:v>6</c:v>
                </c:pt>
                <c:pt idx="661">
                  <c:v>7</c:v>
                </c:pt>
                <c:pt idx="662">
                  <c:v>8</c:v>
                </c:pt>
                <c:pt idx="663">
                  <c:v>10</c:v>
                </c:pt>
                <c:pt idx="664">
                  <c:v>3</c:v>
                </c:pt>
                <c:pt idx="665">
                  <c:v>4</c:v>
                </c:pt>
                <c:pt idx="666">
                  <c:v>9</c:v>
                </c:pt>
                <c:pt idx="667">
                  <c:v>8</c:v>
                </c:pt>
                <c:pt idx="668">
                  <c:v>10</c:v>
                </c:pt>
                <c:pt idx="669">
                  <c:v>11</c:v>
                </c:pt>
                <c:pt idx="670">
                  <c:v>5</c:v>
                </c:pt>
                <c:pt idx="671">
                  <c:v>5</c:v>
                </c:pt>
                <c:pt idx="672">
                  <c:v>10</c:v>
                </c:pt>
                <c:pt idx="673">
                  <c:v>11</c:v>
                </c:pt>
                <c:pt idx="674">
                  <c:v>8</c:v>
                </c:pt>
                <c:pt idx="675">
                  <c:v>11</c:v>
                </c:pt>
                <c:pt idx="676">
                  <c:v>7</c:v>
                </c:pt>
                <c:pt idx="677">
                  <c:v>6</c:v>
                </c:pt>
                <c:pt idx="678">
                  <c:v>4</c:v>
                </c:pt>
                <c:pt idx="679">
                  <c:v>6</c:v>
                </c:pt>
                <c:pt idx="680">
                  <c:v>7</c:v>
                </c:pt>
                <c:pt idx="681">
                  <c:v>9</c:v>
                </c:pt>
                <c:pt idx="682">
                  <c:v>7</c:v>
                </c:pt>
                <c:pt idx="683">
                  <c:v>5</c:v>
                </c:pt>
                <c:pt idx="684">
                  <c:v>6</c:v>
                </c:pt>
                <c:pt idx="685">
                  <c:v>2</c:v>
                </c:pt>
                <c:pt idx="686">
                  <c:v>4</c:v>
                </c:pt>
                <c:pt idx="687">
                  <c:v>4</c:v>
                </c:pt>
                <c:pt idx="688">
                  <c:v>10</c:v>
                </c:pt>
                <c:pt idx="689">
                  <c:v>5</c:v>
                </c:pt>
                <c:pt idx="690">
                  <c:v>11</c:v>
                </c:pt>
                <c:pt idx="691">
                  <c:v>6</c:v>
                </c:pt>
                <c:pt idx="692">
                  <c:v>3</c:v>
                </c:pt>
                <c:pt idx="693">
                  <c:v>5</c:v>
                </c:pt>
                <c:pt idx="694">
                  <c:v>6</c:v>
                </c:pt>
                <c:pt idx="695">
                  <c:v>11</c:v>
                </c:pt>
                <c:pt idx="696">
                  <c:v>5</c:v>
                </c:pt>
                <c:pt idx="697">
                  <c:v>6</c:v>
                </c:pt>
                <c:pt idx="698">
                  <c:v>9</c:v>
                </c:pt>
                <c:pt idx="699">
                  <c:v>9</c:v>
                </c:pt>
                <c:pt idx="700">
                  <c:v>8</c:v>
                </c:pt>
                <c:pt idx="701">
                  <c:v>2</c:v>
                </c:pt>
                <c:pt idx="702">
                  <c:v>11</c:v>
                </c:pt>
                <c:pt idx="703">
                  <c:v>10</c:v>
                </c:pt>
                <c:pt idx="704">
                  <c:v>9</c:v>
                </c:pt>
                <c:pt idx="705">
                  <c:v>8</c:v>
                </c:pt>
                <c:pt idx="706">
                  <c:v>11</c:v>
                </c:pt>
                <c:pt idx="707">
                  <c:v>8</c:v>
                </c:pt>
                <c:pt idx="708">
                  <c:v>4</c:v>
                </c:pt>
                <c:pt idx="709">
                  <c:v>11</c:v>
                </c:pt>
                <c:pt idx="710">
                  <c:v>11</c:v>
                </c:pt>
                <c:pt idx="711">
                  <c:v>7</c:v>
                </c:pt>
                <c:pt idx="712">
                  <c:v>11</c:v>
                </c:pt>
                <c:pt idx="713">
                  <c:v>11</c:v>
                </c:pt>
                <c:pt idx="714">
                  <c:v>5</c:v>
                </c:pt>
                <c:pt idx="715">
                  <c:v>10</c:v>
                </c:pt>
                <c:pt idx="716">
                  <c:v>6</c:v>
                </c:pt>
                <c:pt idx="717">
                  <c:v>9</c:v>
                </c:pt>
                <c:pt idx="718">
                  <c:v>7</c:v>
                </c:pt>
                <c:pt idx="719">
                  <c:v>5</c:v>
                </c:pt>
                <c:pt idx="720">
                  <c:v>9</c:v>
                </c:pt>
                <c:pt idx="721">
                  <c:v>7</c:v>
                </c:pt>
                <c:pt idx="722">
                  <c:v>5</c:v>
                </c:pt>
                <c:pt idx="723">
                  <c:v>8</c:v>
                </c:pt>
                <c:pt idx="724">
                  <c:v>10</c:v>
                </c:pt>
                <c:pt idx="725">
                  <c:v>5</c:v>
                </c:pt>
                <c:pt idx="726">
                  <c:v>7</c:v>
                </c:pt>
                <c:pt idx="727">
                  <c:v>7</c:v>
                </c:pt>
                <c:pt idx="728">
                  <c:v>8</c:v>
                </c:pt>
                <c:pt idx="729">
                  <c:v>7</c:v>
                </c:pt>
                <c:pt idx="730">
                  <c:v>4</c:v>
                </c:pt>
                <c:pt idx="731">
                  <c:v>6</c:v>
                </c:pt>
                <c:pt idx="732">
                  <c:v>7</c:v>
                </c:pt>
                <c:pt idx="733">
                  <c:v>15</c:v>
                </c:pt>
                <c:pt idx="734">
                  <c:v>6</c:v>
                </c:pt>
                <c:pt idx="735">
                  <c:v>5</c:v>
                </c:pt>
                <c:pt idx="736">
                  <c:v>8</c:v>
                </c:pt>
                <c:pt idx="737">
                  <c:v>8</c:v>
                </c:pt>
                <c:pt idx="738">
                  <c:v>7</c:v>
                </c:pt>
                <c:pt idx="739">
                  <c:v>10</c:v>
                </c:pt>
                <c:pt idx="740">
                  <c:v>6</c:v>
                </c:pt>
                <c:pt idx="741">
                  <c:v>5</c:v>
                </c:pt>
                <c:pt idx="742">
                  <c:v>6</c:v>
                </c:pt>
                <c:pt idx="743">
                  <c:v>4</c:v>
                </c:pt>
                <c:pt idx="744">
                  <c:v>8</c:v>
                </c:pt>
                <c:pt idx="745">
                  <c:v>11</c:v>
                </c:pt>
                <c:pt idx="746">
                  <c:v>4</c:v>
                </c:pt>
                <c:pt idx="747">
                  <c:v>4</c:v>
                </c:pt>
                <c:pt idx="748">
                  <c:v>8</c:v>
                </c:pt>
                <c:pt idx="749">
                  <c:v>8</c:v>
                </c:pt>
                <c:pt idx="750">
                  <c:v>11</c:v>
                </c:pt>
                <c:pt idx="751">
                  <c:v>8</c:v>
                </c:pt>
                <c:pt idx="752">
                  <c:v>12</c:v>
                </c:pt>
                <c:pt idx="753">
                  <c:v>7</c:v>
                </c:pt>
                <c:pt idx="754">
                  <c:v>12</c:v>
                </c:pt>
                <c:pt idx="755">
                  <c:v>5</c:v>
                </c:pt>
                <c:pt idx="756">
                  <c:v>9</c:v>
                </c:pt>
                <c:pt idx="757">
                  <c:v>11</c:v>
                </c:pt>
                <c:pt idx="758">
                  <c:v>10</c:v>
                </c:pt>
                <c:pt idx="759">
                  <c:v>7</c:v>
                </c:pt>
                <c:pt idx="760">
                  <c:v>11</c:v>
                </c:pt>
                <c:pt idx="761">
                  <c:v>7</c:v>
                </c:pt>
                <c:pt idx="762">
                  <c:v>8</c:v>
                </c:pt>
                <c:pt idx="763">
                  <c:v>5</c:v>
                </c:pt>
                <c:pt idx="764">
                  <c:v>4</c:v>
                </c:pt>
                <c:pt idx="765">
                  <c:v>5</c:v>
                </c:pt>
                <c:pt idx="766">
                  <c:v>9</c:v>
                </c:pt>
                <c:pt idx="767">
                  <c:v>11</c:v>
                </c:pt>
                <c:pt idx="768">
                  <c:v>9</c:v>
                </c:pt>
                <c:pt idx="769">
                  <c:v>7</c:v>
                </c:pt>
                <c:pt idx="770">
                  <c:v>6</c:v>
                </c:pt>
                <c:pt idx="771">
                  <c:v>7</c:v>
                </c:pt>
                <c:pt idx="772">
                  <c:v>6</c:v>
                </c:pt>
                <c:pt idx="773">
                  <c:v>9</c:v>
                </c:pt>
                <c:pt idx="774">
                  <c:v>7</c:v>
                </c:pt>
                <c:pt idx="775">
                  <c:v>6</c:v>
                </c:pt>
                <c:pt idx="776">
                  <c:v>6</c:v>
                </c:pt>
                <c:pt idx="777">
                  <c:v>9</c:v>
                </c:pt>
                <c:pt idx="778">
                  <c:v>8</c:v>
                </c:pt>
                <c:pt idx="779">
                  <c:v>6</c:v>
                </c:pt>
                <c:pt idx="780">
                  <c:v>5</c:v>
                </c:pt>
                <c:pt idx="781">
                  <c:v>5</c:v>
                </c:pt>
                <c:pt idx="782">
                  <c:v>6</c:v>
                </c:pt>
                <c:pt idx="783">
                  <c:v>5</c:v>
                </c:pt>
                <c:pt idx="784">
                  <c:v>8</c:v>
                </c:pt>
                <c:pt idx="785">
                  <c:v>15</c:v>
                </c:pt>
                <c:pt idx="786">
                  <c:v>8</c:v>
                </c:pt>
                <c:pt idx="787">
                  <c:v>8</c:v>
                </c:pt>
                <c:pt idx="788">
                  <c:v>12</c:v>
                </c:pt>
                <c:pt idx="789">
                  <c:v>9</c:v>
                </c:pt>
                <c:pt idx="790">
                  <c:v>6</c:v>
                </c:pt>
                <c:pt idx="791">
                  <c:v>9</c:v>
                </c:pt>
                <c:pt idx="792">
                  <c:v>9</c:v>
                </c:pt>
                <c:pt idx="793">
                  <c:v>9</c:v>
                </c:pt>
                <c:pt idx="794">
                  <c:v>9</c:v>
                </c:pt>
                <c:pt idx="795">
                  <c:v>8</c:v>
                </c:pt>
                <c:pt idx="796">
                  <c:v>10</c:v>
                </c:pt>
                <c:pt idx="797">
                  <c:v>9</c:v>
                </c:pt>
                <c:pt idx="798">
                  <c:v>11</c:v>
                </c:pt>
                <c:pt idx="799">
                  <c:v>9</c:v>
                </c:pt>
                <c:pt idx="800">
                  <c:v>7</c:v>
                </c:pt>
                <c:pt idx="801">
                  <c:v>16</c:v>
                </c:pt>
                <c:pt idx="802">
                  <c:v>10</c:v>
                </c:pt>
                <c:pt idx="803">
                  <c:v>8</c:v>
                </c:pt>
                <c:pt idx="804">
                  <c:v>13</c:v>
                </c:pt>
                <c:pt idx="805">
                  <c:v>3</c:v>
                </c:pt>
                <c:pt idx="806">
                  <c:v>4</c:v>
                </c:pt>
                <c:pt idx="807">
                  <c:v>2</c:v>
                </c:pt>
                <c:pt idx="808">
                  <c:v>12</c:v>
                </c:pt>
                <c:pt idx="809">
                  <c:v>8</c:v>
                </c:pt>
                <c:pt idx="810">
                  <c:v>8</c:v>
                </c:pt>
                <c:pt idx="811">
                  <c:v>11</c:v>
                </c:pt>
                <c:pt idx="812">
                  <c:v>6</c:v>
                </c:pt>
                <c:pt idx="813">
                  <c:v>6</c:v>
                </c:pt>
                <c:pt idx="814">
                  <c:v>7</c:v>
                </c:pt>
                <c:pt idx="815">
                  <c:v>11</c:v>
                </c:pt>
                <c:pt idx="816">
                  <c:v>11</c:v>
                </c:pt>
                <c:pt idx="817">
                  <c:v>8</c:v>
                </c:pt>
                <c:pt idx="818">
                  <c:v>10</c:v>
                </c:pt>
                <c:pt idx="819">
                  <c:v>11</c:v>
                </c:pt>
                <c:pt idx="820">
                  <c:v>7</c:v>
                </c:pt>
                <c:pt idx="821">
                  <c:v>12</c:v>
                </c:pt>
                <c:pt idx="822">
                  <c:v>5</c:v>
                </c:pt>
                <c:pt idx="823">
                  <c:v>11</c:v>
                </c:pt>
                <c:pt idx="824">
                  <c:v>6</c:v>
                </c:pt>
                <c:pt idx="825">
                  <c:v>7</c:v>
                </c:pt>
                <c:pt idx="826">
                  <c:v>14</c:v>
                </c:pt>
                <c:pt idx="827">
                  <c:v>4</c:v>
                </c:pt>
                <c:pt idx="828">
                  <c:v>4</c:v>
                </c:pt>
                <c:pt idx="829">
                  <c:v>9</c:v>
                </c:pt>
                <c:pt idx="830">
                  <c:v>15</c:v>
                </c:pt>
                <c:pt idx="831">
                  <c:v>5</c:v>
                </c:pt>
                <c:pt idx="832">
                  <c:v>6</c:v>
                </c:pt>
                <c:pt idx="833">
                  <c:v>9</c:v>
                </c:pt>
                <c:pt idx="834">
                  <c:v>8</c:v>
                </c:pt>
                <c:pt idx="835">
                  <c:v>8</c:v>
                </c:pt>
                <c:pt idx="836">
                  <c:v>7</c:v>
                </c:pt>
                <c:pt idx="837">
                  <c:v>4</c:v>
                </c:pt>
                <c:pt idx="838">
                  <c:v>11</c:v>
                </c:pt>
                <c:pt idx="839">
                  <c:v>8</c:v>
                </c:pt>
                <c:pt idx="840">
                  <c:v>6</c:v>
                </c:pt>
                <c:pt idx="841">
                  <c:v>8</c:v>
                </c:pt>
                <c:pt idx="842">
                  <c:v>4</c:v>
                </c:pt>
                <c:pt idx="843">
                  <c:v>13</c:v>
                </c:pt>
                <c:pt idx="844">
                  <c:v>8</c:v>
                </c:pt>
                <c:pt idx="845">
                  <c:v>5</c:v>
                </c:pt>
                <c:pt idx="846">
                  <c:v>8</c:v>
                </c:pt>
                <c:pt idx="847">
                  <c:v>9</c:v>
                </c:pt>
                <c:pt idx="848">
                  <c:v>7</c:v>
                </c:pt>
                <c:pt idx="849">
                  <c:v>5</c:v>
                </c:pt>
                <c:pt idx="850">
                  <c:v>11</c:v>
                </c:pt>
                <c:pt idx="851">
                  <c:v>8</c:v>
                </c:pt>
                <c:pt idx="852">
                  <c:v>7</c:v>
                </c:pt>
                <c:pt idx="853">
                  <c:v>10</c:v>
                </c:pt>
                <c:pt idx="854">
                  <c:v>8</c:v>
                </c:pt>
                <c:pt idx="855">
                  <c:v>6</c:v>
                </c:pt>
                <c:pt idx="856">
                  <c:v>7</c:v>
                </c:pt>
                <c:pt idx="857">
                  <c:v>10</c:v>
                </c:pt>
                <c:pt idx="858">
                  <c:v>8</c:v>
                </c:pt>
                <c:pt idx="859">
                  <c:v>6</c:v>
                </c:pt>
                <c:pt idx="860">
                  <c:v>14</c:v>
                </c:pt>
                <c:pt idx="861">
                  <c:v>12</c:v>
                </c:pt>
                <c:pt idx="862">
                  <c:v>13</c:v>
                </c:pt>
                <c:pt idx="863">
                  <c:v>9</c:v>
                </c:pt>
                <c:pt idx="864">
                  <c:v>5</c:v>
                </c:pt>
                <c:pt idx="865">
                  <c:v>9</c:v>
                </c:pt>
                <c:pt idx="866">
                  <c:v>8</c:v>
                </c:pt>
                <c:pt idx="867">
                  <c:v>5</c:v>
                </c:pt>
                <c:pt idx="868">
                  <c:v>6</c:v>
                </c:pt>
                <c:pt idx="869">
                  <c:v>11</c:v>
                </c:pt>
                <c:pt idx="870">
                  <c:v>5</c:v>
                </c:pt>
                <c:pt idx="871">
                  <c:v>8</c:v>
                </c:pt>
                <c:pt idx="872">
                  <c:v>11</c:v>
                </c:pt>
                <c:pt idx="873">
                  <c:v>5</c:v>
                </c:pt>
                <c:pt idx="874">
                  <c:v>10</c:v>
                </c:pt>
                <c:pt idx="875">
                  <c:v>10</c:v>
                </c:pt>
                <c:pt idx="876">
                  <c:v>11</c:v>
                </c:pt>
                <c:pt idx="877">
                  <c:v>3</c:v>
                </c:pt>
                <c:pt idx="878">
                  <c:v>10</c:v>
                </c:pt>
                <c:pt idx="879">
                  <c:v>7</c:v>
                </c:pt>
                <c:pt idx="880">
                  <c:v>8</c:v>
                </c:pt>
                <c:pt idx="881">
                  <c:v>12</c:v>
                </c:pt>
                <c:pt idx="882">
                  <c:v>10</c:v>
                </c:pt>
                <c:pt idx="883">
                  <c:v>12</c:v>
                </c:pt>
                <c:pt idx="884">
                  <c:v>4</c:v>
                </c:pt>
                <c:pt idx="885">
                  <c:v>4</c:v>
                </c:pt>
                <c:pt idx="886">
                  <c:v>11</c:v>
                </c:pt>
                <c:pt idx="887">
                  <c:v>10</c:v>
                </c:pt>
                <c:pt idx="888">
                  <c:v>5</c:v>
                </c:pt>
                <c:pt idx="889">
                  <c:v>9</c:v>
                </c:pt>
                <c:pt idx="890">
                  <c:v>8</c:v>
                </c:pt>
                <c:pt idx="891">
                  <c:v>7</c:v>
                </c:pt>
                <c:pt idx="892">
                  <c:v>8</c:v>
                </c:pt>
                <c:pt idx="893">
                  <c:v>6</c:v>
                </c:pt>
                <c:pt idx="894">
                  <c:v>9</c:v>
                </c:pt>
                <c:pt idx="895">
                  <c:v>10</c:v>
                </c:pt>
                <c:pt idx="896">
                  <c:v>9</c:v>
                </c:pt>
                <c:pt idx="897">
                  <c:v>3</c:v>
                </c:pt>
                <c:pt idx="898">
                  <c:v>9</c:v>
                </c:pt>
                <c:pt idx="899">
                  <c:v>10</c:v>
                </c:pt>
                <c:pt idx="900">
                  <c:v>5</c:v>
                </c:pt>
                <c:pt idx="901">
                  <c:v>6</c:v>
                </c:pt>
                <c:pt idx="902">
                  <c:v>9</c:v>
                </c:pt>
                <c:pt idx="903">
                  <c:v>6</c:v>
                </c:pt>
                <c:pt idx="904">
                  <c:v>8</c:v>
                </c:pt>
                <c:pt idx="905">
                  <c:v>10</c:v>
                </c:pt>
                <c:pt idx="906">
                  <c:v>7</c:v>
                </c:pt>
                <c:pt idx="907">
                  <c:v>6</c:v>
                </c:pt>
                <c:pt idx="908">
                  <c:v>12</c:v>
                </c:pt>
                <c:pt idx="909">
                  <c:v>13</c:v>
                </c:pt>
                <c:pt idx="910">
                  <c:v>8</c:v>
                </c:pt>
                <c:pt idx="911">
                  <c:v>9</c:v>
                </c:pt>
                <c:pt idx="912">
                  <c:v>5</c:v>
                </c:pt>
                <c:pt idx="913">
                  <c:v>12</c:v>
                </c:pt>
                <c:pt idx="914">
                  <c:v>10</c:v>
                </c:pt>
                <c:pt idx="915">
                  <c:v>11</c:v>
                </c:pt>
                <c:pt idx="916">
                  <c:v>7</c:v>
                </c:pt>
                <c:pt idx="917">
                  <c:v>3</c:v>
                </c:pt>
                <c:pt idx="918">
                  <c:v>4</c:v>
                </c:pt>
                <c:pt idx="919">
                  <c:v>8</c:v>
                </c:pt>
                <c:pt idx="920">
                  <c:v>11</c:v>
                </c:pt>
                <c:pt idx="921">
                  <c:v>6</c:v>
                </c:pt>
                <c:pt idx="922">
                  <c:v>12</c:v>
                </c:pt>
                <c:pt idx="923">
                  <c:v>6</c:v>
                </c:pt>
                <c:pt idx="924">
                  <c:v>15</c:v>
                </c:pt>
                <c:pt idx="925">
                  <c:v>8</c:v>
                </c:pt>
                <c:pt idx="926">
                  <c:v>8</c:v>
                </c:pt>
                <c:pt idx="927">
                  <c:v>11</c:v>
                </c:pt>
                <c:pt idx="928">
                  <c:v>12</c:v>
                </c:pt>
                <c:pt idx="929">
                  <c:v>9</c:v>
                </c:pt>
                <c:pt idx="930">
                  <c:v>9</c:v>
                </c:pt>
                <c:pt idx="931">
                  <c:v>3</c:v>
                </c:pt>
                <c:pt idx="932">
                  <c:v>5</c:v>
                </c:pt>
                <c:pt idx="933">
                  <c:v>8</c:v>
                </c:pt>
                <c:pt idx="934">
                  <c:v>9</c:v>
                </c:pt>
                <c:pt idx="935">
                  <c:v>8</c:v>
                </c:pt>
                <c:pt idx="936">
                  <c:v>4</c:v>
                </c:pt>
                <c:pt idx="937">
                  <c:v>10</c:v>
                </c:pt>
                <c:pt idx="938">
                  <c:v>6</c:v>
                </c:pt>
                <c:pt idx="939">
                  <c:v>7</c:v>
                </c:pt>
                <c:pt idx="940">
                  <c:v>8</c:v>
                </c:pt>
                <c:pt idx="941">
                  <c:v>7</c:v>
                </c:pt>
                <c:pt idx="942">
                  <c:v>9</c:v>
                </c:pt>
                <c:pt idx="943">
                  <c:v>7</c:v>
                </c:pt>
                <c:pt idx="944">
                  <c:v>7</c:v>
                </c:pt>
                <c:pt idx="945">
                  <c:v>11</c:v>
                </c:pt>
                <c:pt idx="946">
                  <c:v>5</c:v>
                </c:pt>
                <c:pt idx="947">
                  <c:v>15</c:v>
                </c:pt>
                <c:pt idx="948">
                  <c:v>10</c:v>
                </c:pt>
                <c:pt idx="949">
                  <c:v>6</c:v>
                </c:pt>
                <c:pt idx="950">
                  <c:v>7</c:v>
                </c:pt>
                <c:pt idx="951">
                  <c:v>6</c:v>
                </c:pt>
                <c:pt idx="952">
                  <c:v>3</c:v>
                </c:pt>
                <c:pt idx="953">
                  <c:v>9</c:v>
                </c:pt>
                <c:pt idx="954">
                  <c:v>8</c:v>
                </c:pt>
                <c:pt idx="955">
                  <c:v>11</c:v>
                </c:pt>
                <c:pt idx="956">
                  <c:v>6</c:v>
                </c:pt>
                <c:pt idx="957">
                  <c:v>10</c:v>
                </c:pt>
                <c:pt idx="958">
                  <c:v>12</c:v>
                </c:pt>
                <c:pt idx="959">
                  <c:v>4</c:v>
                </c:pt>
                <c:pt idx="960">
                  <c:v>12</c:v>
                </c:pt>
                <c:pt idx="961">
                  <c:v>16</c:v>
                </c:pt>
                <c:pt idx="962">
                  <c:v>5</c:v>
                </c:pt>
                <c:pt idx="963">
                  <c:v>12</c:v>
                </c:pt>
                <c:pt idx="964">
                  <c:v>4</c:v>
                </c:pt>
                <c:pt idx="965">
                  <c:v>6</c:v>
                </c:pt>
                <c:pt idx="966">
                  <c:v>7</c:v>
                </c:pt>
                <c:pt idx="967">
                  <c:v>13</c:v>
                </c:pt>
                <c:pt idx="968">
                  <c:v>12</c:v>
                </c:pt>
                <c:pt idx="969">
                  <c:v>8</c:v>
                </c:pt>
                <c:pt idx="970">
                  <c:v>6</c:v>
                </c:pt>
                <c:pt idx="971">
                  <c:v>12</c:v>
                </c:pt>
                <c:pt idx="972">
                  <c:v>8</c:v>
                </c:pt>
                <c:pt idx="973">
                  <c:v>7</c:v>
                </c:pt>
                <c:pt idx="974">
                  <c:v>16</c:v>
                </c:pt>
                <c:pt idx="975">
                  <c:v>6</c:v>
                </c:pt>
                <c:pt idx="976">
                  <c:v>10</c:v>
                </c:pt>
                <c:pt idx="977">
                  <c:v>8</c:v>
                </c:pt>
                <c:pt idx="978">
                  <c:v>11</c:v>
                </c:pt>
                <c:pt idx="979">
                  <c:v>8</c:v>
                </c:pt>
                <c:pt idx="980">
                  <c:v>9</c:v>
                </c:pt>
                <c:pt idx="981">
                  <c:v>10</c:v>
                </c:pt>
                <c:pt idx="982">
                  <c:v>7</c:v>
                </c:pt>
                <c:pt idx="983">
                  <c:v>8</c:v>
                </c:pt>
                <c:pt idx="984">
                  <c:v>6</c:v>
                </c:pt>
                <c:pt idx="985">
                  <c:v>12</c:v>
                </c:pt>
                <c:pt idx="986">
                  <c:v>4</c:v>
                </c:pt>
                <c:pt idx="987">
                  <c:v>7</c:v>
                </c:pt>
                <c:pt idx="988">
                  <c:v>7</c:v>
                </c:pt>
                <c:pt idx="989">
                  <c:v>10</c:v>
                </c:pt>
                <c:pt idx="990">
                  <c:v>12</c:v>
                </c:pt>
                <c:pt idx="991">
                  <c:v>8</c:v>
                </c:pt>
                <c:pt idx="992">
                  <c:v>10</c:v>
                </c:pt>
                <c:pt idx="993">
                  <c:v>6</c:v>
                </c:pt>
                <c:pt idx="994">
                  <c:v>11</c:v>
                </c:pt>
                <c:pt idx="995">
                  <c:v>13</c:v>
                </c:pt>
                <c:pt idx="996">
                  <c:v>6</c:v>
                </c:pt>
                <c:pt idx="997">
                  <c:v>7</c:v>
                </c:pt>
                <c:pt idx="998">
                  <c:v>7</c:v>
                </c:pt>
                <c:pt idx="999">
                  <c:v>9</c:v>
                </c:pt>
              </c:numCache>
            </c:numRef>
          </c:xVal>
          <c:yVal>
            <c:numRef>
              <c:f>'Descriptive Stat_Model '!$A$2:$A$1001</c:f>
              <c:numCache>
                <c:formatCode>General</c:formatCode>
                <c:ptCount val="1000"/>
                <c:pt idx="0">
                  <c:v>2.84</c:v>
                </c:pt>
                <c:pt idx="1">
                  <c:v>1.95</c:v>
                </c:pt>
                <c:pt idx="2">
                  <c:v>3.84</c:v>
                </c:pt>
                <c:pt idx="3">
                  <c:v>1.86</c:v>
                </c:pt>
                <c:pt idx="4">
                  <c:v>2.25</c:v>
                </c:pt>
                <c:pt idx="5">
                  <c:v>3.23</c:v>
                </c:pt>
                <c:pt idx="6">
                  <c:v>3.14</c:v>
                </c:pt>
                <c:pt idx="7">
                  <c:v>2.52</c:v>
                </c:pt>
                <c:pt idx="8">
                  <c:v>3.89</c:v>
                </c:pt>
                <c:pt idx="9">
                  <c:v>2.4900000000000002</c:v>
                </c:pt>
                <c:pt idx="10">
                  <c:v>4.24</c:v>
                </c:pt>
                <c:pt idx="11">
                  <c:v>1.61</c:v>
                </c:pt>
                <c:pt idx="12">
                  <c:v>4.46</c:v>
                </c:pt>
                <c:pt idx="13">
                  <c:v>2.77</c:v>
                </c:pt>
                <c:pt idx="14">
                  <c:v>3.72</c:v>
                </c:pt>
                <c:pt idx="15">
                  <c:v>2.39</c:v>
                </c:pt>
                <c:pt idx="16">
                  <c:v>3.44</c:v>
                </c:pt>
                <c:pt idx="17">
                  <c:v>3.57</c:v>
                </c:pt>
                <c:pt idx="18">
                  <c:v>1.95</c:v>
                </c:pt>
                <c:pt idx="19">
                  <c:v>2.92</c:v>
                </c:pt>
                <c:pt idx="20">
                  <c:v>3.87</c:v>
                </c:pt>
                <c:pt idx="21">
                  <c:v>3.82</c:v>
                </c:pt>
                <c:pt idx="22">
                  <c:v>3.28</c:v>
                </c:pt>
                <c:pt idx="23">
                  <c:v>4.99</c:v>
                </c:pt>
                <c:pt idx="24">
                  <c:v>2.0699999999999998</c:v>
                </c:pt>
                <c:pt idx="25">
                  <c:v>3.47</c:v>
                </c:pt>
                <c:pt idx="26">
                  <c:v>3.63</c:v>
                </c:pt>
                <c:pt idx="27">
                  <c:v>3.85</c:v>
                </c:pt>
                <c:pt idx="28">
                  <c:v>2.3199999999999998</c:v>
                </c:pt>
                <c:pt idx="29">
                  <c:v>3.31</c:v>
                </c:pt>
                <c:pt idx="30">
                  <c:v>2.66</c:v>
                </c:pt>
                <c:pt idx="31">
                  <c:v>3.85</c:v>
                </c:pt>
                <c:pt idx="32">
                  <c:v>2.1</c:v>
                </c:pt>
                <c:pt idx="33">
                  <c:v>4.78</c:v>
                </c:pt>
                <c:pt idx="34">
                  <c:v>3.01</c:v>
                </c:pt>
                <c:pt idx="35">
                  <c:v>3.52</c:v>
                </c:pt>
                <c:pt idx="36">
                  <c:v>2.62</c:v>
                </c:pt>
                <c:pt idx="37">
                  <c:v>2.15</c:v>
                </c:pt>
                <c:pt idx="38">
                  <c:v>3.36</c:v>
                </c:pt>
                <c:pt idx="39">
                  <c:v>2.29</c:v>
                </c:pt>
                <c:pt idx="40">
                  <c:v>2.77</c:v>
                </c:pt>
                <c:pt idx="41">
                  <c:v>3.96</c:v>
                </c:pt>
                <c:pt idx="42">
                  <c:v>3.12</c:v>
                </c:pt>
                <c:pt idx="43">
                  <c:v>3.84</c:v>
                </c:pt>
                <c:pt idx="44">
                  <c:v>3.87</c:v>
                </c:pt>
                <c:pt idx="45">
                  <c:v>4.0599999999999996</c:v>
                </c:pt>
                <c:pt idx="46">
                  <c:v>4.05</c:v>
                </c:pt>
                <c:pt idx="47">
                  <c:v>1.49</c:v>
                </c:pt>
                <c:pt idx="48">
                  <c:v>3.37</c:v>
                </c:pt>
                <c:pt idx="49">
                  <c:v>2.2799999999999998</c:v>
                </c:pt>
                <c:pt idx="50">
                  <c:v>2.3199999999999998</c:v>
                </c:pt>
                <c:pt idx="51">
                  <c:v>1.28</c:v>
                </c:pt>
                <c:pt idx="52">
                  <c:v>2.77</c:v>
                </c:pt>
                <c:pt idx="53">
                  <c:v>3.16</c:v>
                </c:pt>
                <c:pt idx="54">
                  <c:v>2.52</c:v>
                </c:pt>
                <c:pt idx="55">
                  <c:v>3.13</c:v>
                </c:pt>
                <c:pt idx="56">
                  <c:v>2.7</c:v>
                </c:pt>
                <c:pt idx="57">
                  <c:v>2.54</c:v>
                </c:pt>
                <c:pt idx="58">
                  <c:v>2.84</c:v>
                </c:pt>
                <c:pt idx="59">
                  <c:v>2.8</c:v>
                </c:pt>
                <c:pt idx="60">
                  <c:v>1.81</c:v>
                </c:pt>
                <c:pt idx="61">
                  <c:v>3.93</c:v>
                </c:pt>
                <c:pt idx="62">
                  <c:v>2.92</c:v>
                </c:pt>
                <c:pt idx="63">
                  <c:v>3.88</c:v>
                </c:pt>
                <c:pt idx="64">
                  <c:v>3.58</c:v>
                </c:pt>
                <c:pt idx="65">
                  <c:v>2.52</c:v>
                </c:pt>
                <c:pt idx="66">
                  <c:v>2.9</c:v>
                </c:pt>
                <c:pt idx="67">
                  <c:v>4.3</c:v>
                </c:pt>
                <c:pt idx="68">
                  <c:v>3.87</c:v>
                </c:pt>
                <c:pt idx="69">
                  <c:v>3.77</c:v>
                </c:pt>
                <c:pt idx="70">
                  <c:v>2.0699999999999998</c:v>
                </c:pt>
                <c:pt idx="71">
                  <c:v>2.94</c:v>
                </c:pt>
                <c:pt idx="72">
                  <c:v>2.34</c:v>
                </c:pt>
                <c:pt idx="73">
                  <c:v>2.78</c:v>
                </c:pt>
                <c:pt idx="74">
                  <c:v>2.96</c:v>
                </c:pt>
                <c:pt idx="75">
                  <c:v>3.11</c:v>
                </c:pt>
                <c:pt idx="76">
                  <c:v>1.94</c:v>
                </c:pt>
                <c:pt idx="77">
                  <c:v>3.16</c:v>
                </c:pt>
                <c:pt idx="78">
                  <c:v>1.42</c:v>
                </c:pt>
                <c:pt idx="79">
                  <c:v>3.51</c:v>
                </c:pt>
                <c:pt idx="80">
                  <c:v>2.5299999999999998</c:v>
                </c:pt>
                <c:pt idx="81">
                  <c:v>3.3</c:v>
                </c:pt>
                <c:pt idx="82">
                  <c:v>3.16</c:v>
                </c:pt>
                <c:pt idx="83">
                  <c:v>2.66</c:v>
                </c:pt>
                <c:pt idx="84">
                  <c:v>3.28</c:v>
                </c:pt>
                <c:pt idx="85">
                  <c:v>2.69</c:v>
                </c:pt>
                <c:pt idx="86">
                  <c:v>2.74</c:v>
                </c:pt>
                <c:pt idx="87">
                  <c:v>2.85</c:v>
                </c:pt>
                <c:pt idx="88">
                  <c:v>3.89</c:v>
                </c:pt>
                <c:pt idx="89">
                  <c:v>3.22</c:v>
                </c:pt>
                <c:pt idx="90">
                  <c:v>2.12</c:v>
                </c:pt>
                <c:pt idx="91">
                  <c:v>3.54</c:v>
                </c:pt>
                <c:pt idx="92">
                  <c:v>4.53</c:v>
                </c:pt>
                <c:pt idx="93">
                  <c:v>1.76</c:v>
                </c:pt>
                <c:pt idx="94">
                  <c:v>3.9</c:v>
                </c:pt>
                <c:pt idx="95">
                  <c:v>2.95</c:v>
                </c:pt>
                <c:pt idx="96">
                  <c:v>3.02</c:v>
                </c:pt>
                <c:pt idx="97">
                  <c:v>3.98</c:v>
                </c:pt>
                <c:pt idx="98">
                  <c:v>2.91</c:v>
                </c:pt>
                <c:pt idx="99">
                  <c:v>4.34</c:v>
                </c:pt>
                <c:pt idx="100">
                  <c:v>2</c:v>
                </c:pt>
                <c:pt idx="101">
                  <c:v>4.38</c:v>
                </c:pt>
                <c:pt idx="102">
                  <c:v>2.09</c:v>
                </c:pt>
                <c:pt idx="103">
                  <c:v>2.0499999999999998</c:v>
                </c:pt>
                <c:pt idx="104">
                  <c:v>3.35</c:v>
                </c:pt>
                <c:pt idx="105">
                  <c:v>3.26</c:v>
                </c:pt>
                <c:pt idx="106">
                  <c:v>2.5099999999999998</c:v>
                </c:pt>
                <c:pt idx="107">
                  <c:v>3.47</c:v>
                </c:pt>
                <c:pt idx="108">
                  <c:v>2.37</c:v>
                </c:pt>
                <c:pt idx="109">
                  <c:v>1.94</c:v>
                </c:pt>
                <c:pt idx="110">
                  <c:v>2.6</c:v>
                </c:pt>
                <c:pt idx="111">
                  <c:v>2.34</c:v>
                </c:pt>
                <c:pt idx="112">
                  <c:v>3.15</c:v>
                </c:pt>
                <c:pt idx="113">
                  <c:v>2.85</c:v>
                </c:pt>
                <c:pt idx="114">
                  <c:v>2.8</c:v>
                </c:pt>
                <c:pt idx="115">
                  <c:v>3.99</c:v>
                </c:pt>
                <c:pt idx="116">
                  <c:v>3.7</c:v>
                </c:pt>
                <c:pt idx="117">
                  <c:v>3.71</c:v>
                </c:pt>
                <c:pt idx="118">
                  <c:v>3.39</c:v>
                </c:pt>
                <c:pt idx="119">
                  <c:v>2.85</c:v>
                </c:pt>
                <c:pt idx="120">
                  <c:v>3.32</c:v>
                </c:pt>
                <c:pt idx="121">
                  <c:v>3.18</c:v>
                </c:pt>
                <c:pt idx="122">
                  <c:v>2.58</c:v>
                </c:pt>
                <c:pt idx="123">
                  <c:v>2.2200000000000002</c:v>
                </c:pt>
                <c:pt idx="124">
                  <c:v>3.35</c:v>
                </c:pt>
                <c:pt idx="125">
                  <c:v>3.35</c:v>
                </c:pt>
                <c:pt idx="126">
                  <c:v>3.69</c:v>
                </c:pt>
                <c:pt idx="127">
                  <c:v>2.2999999999999998</c:v>
                </c:pt>
                <c:pt idx="128">
                  <c:v>3.5</c:v>
                </c:pt>
                <c:pt idx="129">
                  <c:v>2.3199999999999998</c:v>
                </c:pt>
                <c:pt idx="130">
                  <c:v>2.99</c:v>
                </c:pt>
                <c:pt idx="131">
                  <c:v>2.12</c:v>
                </c:pt>
                <c:pt idx="132">
                  <c:v>3.11</c:v>
                </c:pt>
                <c:pt idx="133">
                  <c:v>3.38</c:v>
                </c:pt>
                <c:pt idx="134">
                  <c:v>3.63</c:v>
                </c:pt>
                <c:pt idx="135">
                  <c:v>4.3</c:v>
                </c:pt>
                <c:pt idx="136">
                  <c:v>3.82</c:v>
                </c:pt>
                <c:pt idx="137">
                  <c:v>2.02</c:v>
                </c:pt>
                <c:pt idx="138">
                  <c:v>2.0499999999999998</c:v>
                </c:pt>
                <c:pt idx="139">
                  <c:v>4.1399999999999997</c:v>
                </c:pt>
                <c:pt idx="140">
                  <c:v>3.21</c:v>
                </c:pt>
                <c:pt idx="141">
                  <c:v>3.42</c:v>
                </c:pt>
                <c:pt idx="142">
                  <c:v>2.94</c:v>
                </c:pt>
                <c:pt idx="143">
                  <c:v>3.92</c:v>
                </c:pt>
                <c:pt idx="144">
                  <c:v>3.27</c:v>
                </c:pt>
                <c:pt idx="145">
                  <c:v>3.28</c:v>
                </c:pt>
                <c:pt idx="146">
                  <c:v>3.1</c:v>
                </c:pt>
                <c:pt idx="147">
                  <c:v>2.83</c:v>
                </c:pt>
                <c:pt idx="148">
                  <c:v>2.13</c:v>
                </c:pt>
                <c:pt idx="149">
                  <c:v>3.7</c:v>
                </c:pt>
                <c:pt idx="150">
                  <c:v>2.2999999999999998</c:v>
                </c:pt>
                <c:pt idx="151">
                  <c:v>1.94</c:v>
                </c:pt>
                <c:pt idx="152">
                  <c:v>2.58</c:v>
                </c:pt>
                <c:pt idx="153">
                  <c:v>3.7</c:v>
                </c:pt>
                <c:pt idx="154">
                  <c:v>3.16</c:v>
                </c:pt>
                <c:pt idx="155">
                  <c:v>2.0299999999999998</c:v>
                </c:pt>
                <c:pt idx="156">
                  <c:v>3.02</c:v>
                </c:pt>
                <c:pt idx="157">
                  <c:v>2.5299999999999998</c:v>
                </c:pt>
                <c:pt idx="158">
                  <c:v>3.68</c:v>
                </c:pt>
                <c:pt idx="159">
                  <c:v>3.42</c:v>
                </c:pt>
                <c:pt idx="160">
                  <c:v>3.86</c:v>
                </c:pt>
                <c:pt idx="161">
                  <c:v>3.12</c:v>
                </c:pt>
                <c:pt idx="162">
                  <c:v>4.37</c:v>
                </c:pt>
                <c:pt idx="163">
                  <c:v>2.72</c:v>
                </c:pt>
                <c:pt idx="164">
                  <c:v>2.08</c:v>
                </c:pt>
                <c:pt idx="165">
                  <c:v>3.3</c:v>
                </c:pt>
                <c:pt idx="166">
                  <c:v>2.83</c:v>
                </c:pt>
                <c:pt idx="167">
                  <c:v>3.59</c:v>
                </c:pt>
                <c:pt idx="168">
                  <c:v>2.4300000000000002</c:v>
                </c:pt>
                <c:pt idx="169">
                  <c:v>3.97</c:v>
                </c:pt>
                <c:pt idx="170">
                  <c:v>2.02</c:v>
                </c:pt>
                <c:pt idx="171">
                  <c:v>3.97</c:v>
                </c:pt>
                <c:pt idx="172">
                  <c:v>3.11</c:v>
                </c:pt>
                <c:pt idx="173">
                  <c:v>2.8</c:v>
                </c:pt>
                <c:pt idx="174">
                  <c:v>2.8</c:v>
                </c:pt>
                <c:pt idx="175">
                  <c:v>4.0199999999999996</c:v>
                </c:pt>
                <c:pt idx="176">
                  <c:v>2.85</c:v>
                </c:pt>
                <c:pt idx="177">
                  <c:v>1.85</c:v>
                </c:pt>
                <c:pt idx="178">
                  <c:v>3.56</c:v>
                </c:pt>
                <c:pt idx="179">
                  <c:v>2.72</c:v>
                </c:pt>
                <c:pt idx="180">
                  <c:v>2.71</c:v>
                </c:pt>
                <c:pt idx="181">
                  <c:v>4.22</c:v>
                </c:pt>
                <c:pt idx="182">
                  <c:v>3.91</c:v>
                </c:pt>
                <c:pt idx="183">
                  <c:v>3.6</c:v>
                </c:pt>
                <c:pt idx="184">
                  <c:v>2.4700000000000002</c:v>
                </c:pt>
                <c:pt idx="185">
                  <c:v>2.75</c:v>
                </c:pt>
                <c:pt idx="186">
                  <c:v>1.99</c:v>
                </c:pt>
                <c:pt idx="187">
                  <c:v>3.96</c:v>
                </c:pt>
                <c:pt idx="188">
                  <c:v>2.86</c:v>
                </c:pt>
                <c:pt idx="189">
                  <c:v>4.26</c:v>
                </c:pt>
                <c:pt idx="190">
                  <c:v>2.5299999999999998</c:v>
                </c:pt>
                <c:pt idx="191">
                  <c:v>3.86</c:v>
                </c:pt>
                <c:pt idx="192">
                  <c:v>1.63</c:v>
                </c:pt>
                <c:pt idx="193">
                  <c:v>3.37</c:v>
                </c:pt>
                <c:pt idx="194">
                  <c:v>3.22</c:v>
                </c:pt>
                <c:pt idx="195">
                  <c:v>4.7</c:v>
                </c:pt>
                <c:pt idx="196">
                  <c:v>2.41</c:v>
                </c:pt>
                <c:pt idx="197">
                  <c:v>1.96</c:v>
                </c:pt>
                <c:pt idx="198">
                  <c:v>1.85</c:v>
                </c:pt>
                <c:pt idx="199">
                  <c:v>2.08</c:v>
                </c:pt>
                <c:pt idx="200">
                  <c:v>3.81</c:v>
                </c:pt>
                <c:pt idx="201">
                  <c:v>2.7</c:v>
                </c:pt>
                <c:pt idx="202">
                  <c:v>2.5499999999999998</c:v>
                </c:pt>
                <c:pt idx="203">
                  <c:v>2.94</c:v>
                </c:pt>
                <c:pt idx="204">
                  <c:v>1.97</c:v>
                </c:pt>
                <c:pt idx="205">
                  <c:v>2.84</c:v>
                </c:pt>
                <c:pt idx="206">
                  <c:v>4.34</c:v>
                </c:pt>
                <c:pt idx="207">
                  <c:v>2.92</c:v>
                </c:pt>
                <c:pt idx="208">
                  <c:v>3.13</c:v>
                </c:pt>
                <c:pt idx="209">
                  <c:v>2.31</c:v>
                </c:pt>
                <c:pt idx="210">
                  <c:v>2.4900000000000002</c:v>
                </c:pt>
                <c:pt idx="211">
                  <c:v>4.25</c:v>
                </c:pt>
                <c:pt idx="212">
                  <c:v>2.02</c:v>
                </c:pt>
                <c:pt idx="213">
                  <c:v>4.17</c:v>
                </c:pt>
                <c:pt idx="214">
                  <c:v>2.93</c:v>
                </c:pt>
                <c:pt idx="215">
                  <c:v>3.67</c:v>
                </c:pt>
                <c:pt idx="216">
                  <c:v>4.2300000000000004</c:v>
                </c:pt>
                <c:pt idx="217">
                  <c:v>3.46</c:v>
                </c:pt>
                <c:pt idx="218">
                  <c:v>3.39</c:v>
                </c:pt>
                <c:pt idx="219">
                  <c:v>2.67</c:v>
                </c:pt>
                <c:pt idx="220">
                  <c:v>2.73</c:v>
                </c:pt>
                <c:pt idx="221">
                  <c:v>3.14</c:v>
                </c:pt>
                <c:pt idx="222">
                  <c:v>1.6</c:v>
                </c:pt>
                <c:pt idx="223">
                  <c:v>4.25</c:v>
                </c:pt>
                <c:pt idx="224">
                  <c:v>3.42</c:v>
                </c:pt>
                <c:pt idx="225">
                  <c:v>2.48</c:v>
                </c:pt>
                <c:pt idx="226">
                  <c:v>0.84</c:v>
                </c:pt>
                <c:pt idx="227">
                  <c:v>1.94</c:v>
                </c:pt>
                <c:pt idx="228">
                  <c:v>3.11</c:v>
                </c:pt>
                <c:pt idx="229">
                  <c:v>2.61</c:v>
                </c:pt>
                <c:pt idx="230">
                  <c:v>3.28</c:v>
                </c:pt>
                <c:pt idx="231">
                  <c:v>2.75</c:v>
                </c:pt>
                <c:pt idx="232">
                  <c:v>4.08</c:v>
                </c:pt>
                <c:pt idx="233">
                  <c:v>2.66</c:v>
                </c:pt>
                <c:pt idx="234">
                  <c:v>1.83</c:v>
                </c:pt>
                <c:pt idx="235">
                  <c:v>2.37</c:v>
                </c:pt>
                <c:pt idx="236">
                  <c:v>3.08</c:v>
                </c:pt>
                <c:pt idx="237">
                  <c:v>2.2000000000000002</c:v>
                </c:pt>
                <c:pt idx="238">
                  <c:v>1.34</c:v>
                </c:pt>
                <c:pt idx="239">
                  <c:v>2.88</c:v>
                </c:pt>
                <c:pt idx="240">
                  <c:v>3.34</c:v>
                </c:pt>
                <c:pt idx="241">
                  <c:v>3.26</c:v>
                </c:pt>
                <c:pt idx="242">
                  <c:v>2.68</c:v>
                </c:pt>
                <c:pt idx="243">
                  <c:v>3.77</c:v>
                </c:pt>
                <c:pt idx="244">
                  <c:v>2.2000000000000002</c:v>
                </c:pt>
                <c:pt idx="245">
                  <c:v>3.76</c:v>
                </c:pt>
                <c:pt idx="246">
                  <c:v>3.91</c:v>
                </c:pt>
                <c:pt idx="247">
                  <c:v>1.82</c:v>
                </c:pt>
                <c:pt idx="248">
                  <c:v>2.5499999999999998</c:v>
                </c:pt>
                <c:pt idx="249">
                  <c:v>2.3199999999999998</c:v>
                </c:pt>
                <c:pt idx="250">
                  <c:v>3.87</c:v>
                </c:pt>
                <c:pt idx="251">
                  <c:v>1.53</c:v>
                </c:pt>
                <c:pt idx="252">
                  <c:v>4.18</c:v>
                </c:pt>
                <c:pt idx="253">
                  <c:v>2.42</c:v>
                </c:pt>
                <c:pt idx="254">
                  <c:v>3.14</c:v>
                </c:pt>
                <c:pt idx="255">
                  <c:v>2.81</c:v>
                </c:pt>
                <c:pt idx="256">
                  <c:v>4.7699999999999996</c:v>
                </c:pt>
                <c:pt idx="257">
                  <c:v>2.44</c:v>
                </c:pt>
                <c:pt idx="258">
                  <c:v>3.92</c:v>
                </c:pt>
                <c:pt idx="259">
                  <c:v>4.43</c:v>
                </c:pt>
                <c:pt idx="260">
                  <c:v>2</c:v>
                </c:pt>
                <c:pt idx="261">
                  <c:v>3.3</c:v>
                </c:pt>
                <c:pt idx="262">
                  <c:v>3.13</c:v>
                </c:pt>
                <c:pt idx="263">
                  <c:v>3.14</c:v>
                </c:pt>
                <c:pt idx="264">
                  <c:v>3.51</c:v>
                </c:pt>
                <c:pt idx="265">
                  <c:v>2.3199999999999998</c:v>
                </c:pt>
                <c:pt idx="266">
                  <c:v>3.39</c:v>
                </c:pt>
                <c:pt idx="267">
                  <c:v>2.52</c:v>
                </c:pt>
                <c:pt idx="268">
                  <c:v>3.16</c:v>
                </c:pt>
                <c:pt idx="269">
                  <c:v>4.17</c:v>
                </c:pt>
                <c:pt idx="270">
                  <c:v>2.3199999999999998</c:v>
                </c:pt>
                <c:pt idx="271">
                  <c:v>2.12</c:v>
                </c:pt>
                <c:pt idx="272">
                  <c:v>3.39</c:v>
                </c:pt>
                <c:pt idx="273">
                  <c:v>2.4300000000000002</c:v>
                </c:pt>
                <c:pt idx="274">
                  <c:v>2.99</c:v>
                </c:pt>
                <c:pt idx="275">
                  <c:v>3.75</c:v>
                </c:pt>
                <c:pt idx="276">
                  <c:v>4.07</c:v>
                </c:pt>
                <c:pt idx="277">
                  <c:v>2.1800000000000002</c:v>
                </c:pt>
                <c:pt idx="278">
                  <c:v>2.79</c:v>
                </c:pt>
                <c:pt idx="279">
                  <c:v>3.12</c:v>
                </c:pt>
                <c:pt idx="280">
                  <c:v>3.82</c:v>
                </c:pt>
                <c:pt idx="281">
                  <c:v>4.26</c:v>
                </c:pt>
                <c:pt idx="282">
                  <c:v>0.99</c:v>
                </c:pt>
                <c:pt idx="283">
                  <c:v>2.14</c:v>
                </c:pt>
                <c:pt idx="284">
                  <c:v>3.68</c:v>
                </c:pt>
                <c:pt idx="285">
                  <c:v>2.64</c:v>
                </c:pt>
                <c:pt idx="286">
                  <c:v>2.65</c:v>
                </c:pt>
                <c:pt idx="287">
                  <c:v>3.05</c:v>
                </c:pt>
                <c:pt idx="288">
                  <c:v>3.15</c:v>
                </c:pt>
                <c:pt idx="289">
                  <c:v>2.52</c:v>
                </c:pt>
                <c:pt idx="290">
                  <c:v>2.8</c:v>
                </c:pt>
                <c:pt idx="291">
                  <c:v>2.77</c:v>
                </c:pt>
                <c:pt idx="292">
                  <c:v>3.62</c:v>
                </c:pt>
                <c:pt idx="293">
                  <c:v>3.24</c:v>
                </c:pt>
                <c:pt idx="294">
                  <c:v>3.16</c:v>
                </c:pt>
                <c:pt idx="295">
                  <c:v>2.93</c:v>
                </c:pt>
                <c:pt idx="296">
                  <c:v>2.84</c:v>
                </c:pt>
                <c:pt idx="297">
                  <c:v>4.1100000000000003</c:v>
                </c:pt>
                <c:pt idx="298">
                  <c:v>2.64</c:v>
                </c:pt>
                <c:pt idx="299">
                  <c:v>2.79</c:v>
                </c:pt>
                <c:pt idx="300">
                  <c:v>3.68</c:v>
                </c:pt>
                <c:pt idx="301">
                  <c:v>4.66</c:v>
                </c:pt>
                <c:pt idx="302">
                  <c:v>3.37</c:v>
                </c:pt>
                <c:pt idx="303">
                  <c:v>3.1</c:v>
                </c:pt>
                <c:pt idx="304">
                  <c:v>3.6</c:v>
                </c:pt>
                <c:pt idx="305">
                  <c:v>4.2699999999999996</c:v>
                </c:pt>
                <c:pt idx="306">
                  <c:v>3.3</c:v>
                </c:pt>
                <c:pt idx="307">
                  <c:v>2.27</c:v>
                </c:pt>
                <c:pt idx="308">
                  <c:v>2.37</c:v>
                </c:pt>
                <c:pt idx="309">
                  <c:v>2.68</c:v>
                </c:pt>
                <c:pt idx="310">
                  <c:v>2.68</c:v>
                </c:pt>
                <c:pt idx="311">
                  <c:v>3.86</c:v>
                </c:pt>
                <c:pt idx="312">
                  <c:v>4.34</c:v>
                </c:pt>
                <c:pt idx="313">
                  <c:v>3.54</c:v>
                </c:pt>
                <c:pt idx="314">
                  <c:v>2.56</c:v>
                </c:pt>
                <c:pt idx="315">
                  <c:v>3.2</c:v>
                </c:pt>
                <c:pt idx="316">
                  <c:v>2.65</c:v>
                </c:pt>
                <c:pt idx="317">
                  <c:v>2.73</c:v>
                </c:pt>
                <c:pt idx="318">
                  <c:v>3.7</c:v>
                </c:pt>
                <c:pt idx="319">
                  <c:v>2.35</c:v>
                </c:pt>
                <c:pt idx="320">
                  <c:v>2.2799999999999998</c:v>
                </c:pt>
                <c:pt idx="321">
                  <c:v>2.42</c:v>
                </c:pt>
                <c:pt idx="322">
                  <c:v>3.7</c:v>
                </c:pt>
                <c:pt idx="323">
                  <c:v>3.1</c:v>
                </c:pt>
                <c:pt idx="324">
                  <c:v>3.65</c:v>
                </c:pt>
                <c:pt idx="325">
                  <c:v>1.96</c:v>
                </c:pt>
                <c:pt idx="326">
                  <c:v>2.33</c:v>
                </c:pt>
                <c:pt idx="327">
                  <c:v>3.56</c:v>
                </c:pt>
                <c:pt idx="328">
                  <c:v>2.59</c:v>
                </c:pt>
                <c:pt idx="329">
                  <c:v>2.93</c:v>
                </c:pt>
                <c:pt idx="330">
                  <c:v>3.99</c:v>
                </c:pt>
                <c:pt idx="331">
                  <c:v>3.09</c:v>
                </c:pt>
                <c:pt idx="332">
                  <c:v>2.35</c:v>
                </c:pt>
                <c:pt idx="333">
                  <c:v>3.39</c:v>
                </c:pt>
                <c:pt idx="334">
                  <c:v>3.39</c:v>
                </c:pt>
                <c:pt idx="335">
                  <c:v>2.73</c:v>
                </c:pt>
                <c:pt idx="336">
                  <c:v>3.2</c:v>
                </c:pt>
                <c:pt idx="337">
                  <c:v>2.93</c:v>
                </c:pt>
                <c:pt idx="338">
                  <c:v>2.88</c:v>
                </c:pt>
                <c:pt idx="339">
                  <c:v>2.42</c:v>
                </c:pt>
                <c:pt idx="340">
                  <c:v>5.04</c:v>
                </c:pt>
                <c:pt idx="341">
                  <c:v>4.42</c:v>
                </c:pt>
                <c:pt idx="342">
                  <c:v>1.69</c:v>
                </c:pt>
                <c:pt idx="343">
                  <c:v>3.91</c:v>
                </c:pt>
                <c:pt idx="344">
                  <c:v>2.5</c:v>
                </c:pt>
                <c:pt idx="345">
                  <c:v>3.26</c:v>
                </c:pt>
                <c:pt idx="346">
                  <c:v>2.2400000000000002</c:v>
                </c:pt>
                <c:pt idx="347">
                  <c:v>2.1</c:v>
                </c:pt>
                <c:pt idx="348">
                  <c:v>2.37</c:v>
                </c:pt>
                <c:pt idx="349">
                  <c:v>3.23</c:v>
                </c:pt>
                <c:pt idx="350">
                  <c:v>3.17</c:v>
                </c:pt>
                <c:pt idx="351">
                  <c:v>2.94</c:v>
                </c:pt>
                <c:pt idx="352">
                  <c:v>2.5499999999999998</c:v>
                </c:pt>
                <c:pt idx="353">
                  <c:v>3.65</c:v>
                </c:pt>
                <c:pt idx="354">
                  <c:v>3.47</c:v>
                </c:pt>
                <c:pt idx="355">
                  <c:v>3.63</c:v>
                </c:pt>
                <c:pt idx="356">
                  <c:v>1.98</c:v>
                </c:pt>
                <c:pt idx="357">
                  <c:v>4.16</c:v>
                </c:pt>
                <c:pt idx="358">
                  <c:v>3.87</c:v>
                </c:pt>
                <c:pt idx="359">
                  <c:v>2.5499999999999998</c:v>
                </c:pt>
                <c:pt idx="360">
                  <c:v>2.29</c:v>
                </c:pt>
                <c:pt idx="361">
                  <c:v>2.97</c:v>
                </c:pt>
                <c:pt idx="362">
                  <c:v>3.95</c:v>
                </c:pt>
                <c:pt idx="363">
                  <c:v>2.96</c:v>
                </c:pt>
                <c:pt idx="364">
                  <c:v>2.33</c:v>
                </c:pt>
                <c:pt idx="365">
                  <c:v>3.31</c:v>
                </c:pt>
                <c:pt idx="366">
                  <c:v>1.88</c:v>
                </c:pt>
                <c:pt idx="367">
                  <c:v>3.52</c:v>
                </c:pt>
                <c:pt idx="368">
                  <c:v>2.54</c:v>
                </c:pt>
                <c:pt idx="369">
                  <c:v>2.74</c:v>
                </c:pt>
                <c:pt idx="370">
                  <c:v>2.5099999999999998</c:v>
                </c:pt>
                <c:pt idx="371">
                  <c:v>3.79</c:v>
                </c:pt>
                <c:pt idx="372">
                  <c:v>3.6</c:v>
                </c:pt>
                <c:pt idx="373">
                  <c:v>2.2400000000000002</c:v>
                </c:pt>
                <c:pt idx="374">
                  <c:v>2.86</c:v>
                </c:pt>
                <c:pt idx="375">
                  <c:v>2.63</c:v>
                </c:pt>
                <c:pt idx="376">
                  <c:v>2.75</c:v>
                </c:pt>
                <c:pt idx="377">
                  <c:v>3.16</c:v>
                </c:pt>
                <c:pt idx="378">
                  <c:v>2.82</c:v>
                </c:pt>
                <c:pt idx="379">
                  <c:v>3.08</c:v>
                </c:pt>
                <c:pt idx="380">
                  <c:v>2.1800000000000002</c:v>
                </c:pt>
                <c:pt idx="381">
                  <c:v>3.89</c:v>
                </c:pt>
                <c:pt idx="382">
                  <c:v>2.97</c:v>
                </c:pt>
                <c:pt idx="383">
                  <c:v>1.68</c:v>
                </c:pt>
                <c:pt idx="384">
                  <c:v>2.37</c:v>
                </c:pt>
                <c:pt idx="385">
                  <c:v>3.51</c:v>
                </c:pt>
                <c:pt idx="386">
                  <c:v>2.4300000000000002</c:v>
                </c:pt>
                <c:pt idx="387">
                  <c:v>3.71</c:v>
                </c:pt>
                <c:pt idx="388">
                  <c:v>2.86</c:v>
                </c:pt>
                <c:pt idx="389">
                  <c:v>3.36</c:v>
                </c:pt>
                <c:pt idx="390">
                  <c:v>2.85</c:v>
                </c:pt>
                <c:pt idx="391">
                  <c:v>3.52</c:v>
                </c:pt>
                <c:pt idx="392">
                  <c:v>3.01</c:v>
                </c:pt>
                <c:pt idx="393">
                  <c:v>3.37</c:v>
                </c:pt>
                <c:pt idx="394">
                  <c:v>4.3099999999999996</c:v>
                </c:pt>
                <c:pt idx="395">
                  <c:v>1.93</c:v>
                </c:pt>
                <c:pt idx="396">
                  <c:v>3.29</c:v>
                </c:pt>
                <c:pt idx="397">
                  <c:v>2.81</c:v>
                </c:pt>
                <c:pt idx="398">
                  <c:v>2.37</c:v>
                </c:pt>
                <c:pt idx="399">
                  <c:v>3.2</c:v>
                </c:pt>
                <c:pt idx="400">
                  <c:v>3.2</c:v>
                </c:pt>
                <c:pt idx="401">
                  <c:v>4.38</c:v>
                </c:pt>
                <c:pt idx="402">
                  <c:v>3.48</c:v>
                </c:pt>
                <c:pt idx="403">
                  <c:v>3.8</c:v>
                </c:pt>
                <c:pt idx="404">
                  <c:v>2.0699999999999998</c:v>
                </c:pt>
                <c:pt idx="405">
                  <c:v>4.3099999999999996</c:v>
                </c:pt>
                <c:pt idx="406">
                  <c:v>4.24</c:v>
                </c:pt>
                <c:pt idx="407">
                  <c:v>3.12</c:v>
                </c:pt>
                <c:pt idx="408">
                  <c:v>4.24</c:v>
                </c:pt>
                <c:pt idx="409">
                  <c:v>2.78</c:v>
                </c:pt>
                <c:pt idx="410">
                  <c:v>1.75</c:v>
                </c:pt>
                <c:pt idx="411">
                  <c:v>3.1</c:v>
                </c:pt>
                <c:pt idx="412">
                  <c:v>3.8</c:v>
                </c:pt>
                <c:pt idx="413">
                  <c:v>3.3</c:v>
                </c:pt>
                <c:pt idx="414">
                  <c:v>2.86</c:v>
                </c:pt>
                <c:pt idx="415">
                  <c:v>2.2799999999999998</c:v>
                </c:pt>
                <c:pt idx="416">
                  <c:v>3.09</c:v>
                </c:pt>
                <c:pt idx="417">
                  <c:v>3.67</c:v>
                </c:pt>
                <c:pt idx="418">
                  <c:v>1.48</c:v>
                </c:pt>
                <c:pt idx="419">
                  <c:v>2.39</c:v>
                </c:pt>
                <c:pt idx="420">
                  <c:v>2.11</c:v>
                </c:pt>
                <c:pt idx="421">
                  <c:v>2.65</c:v>
                </c:pt>
                <c:pt idx="422">
                  <c:v>2.94</c:v>
                </c:pt>
                <c:pt idx="423">
                  <c:v>3.57</c:v>
                </c:pt>
                <c:pt idx="424">
                  <c:v>2.77</c:v>
                </c:pt>
                <c:pt idx="425">
                  <c:v>2.41</c:v>
                </c:pt>
                <c:pt idx="426">
                  <c:v>3.69</c:v>
                </c:pt>
                <c:pt idx="427">
                  <c:v>2.33</c:v>
                </c:pt>
                <c:pt idx="428">
                  <c:v>3.34</c:v>
                </c:pt>
                <c:pt idx="429">
                  <c:v>2.25</c:v>
                </c:pt>
                <c:pt idx="430">
                  <c:v>1.95</c:v>
                </c:pt>
                <c:pt idx="431">
                  <c:v>3.04</c:v>
                </c:pt>
                <c:pt idx="432">
                  <c:v>3.34</c:v>
                </c:pt>
                <c:pt idx="433">
                  <c:v>4.83</c:v>
                </c:pt>
                <c:pt idx="434">
                  <c:v>3.15</c:v>
                </c:pt>
                <c:pt idx="435">
                  <c:v>4.32</c:v>
                </c:pt>
                <c:pt idx="436">
                  <c:v>1.82</c:v>
                </c:pt>
                <c:pt idx="437">
                  <c:v>3.84</c:v>
                </c:pt>
                <c:pt idx="438">
                  <c:v>3.19</c:v>
                </c:pt>
                <c:pt idx="439">
                  <c:v>2.84</c:v>
                </c:pt>
                <c:pt idx="440">
                  <c:v>2.73</c:v>
                </c:pt>
                <c:pt idx="441">
                  <c:v>4.63</c:v>
                </c:pt>
                <c:pt idx="442">
                  <c:v>2.79</c:v>
                </c:pt>
                <c:pt idx="443">
                  <c:v>3.43</c:v>
                </c:pt>
                <c:pt idx="444">
                  <c:v>2.35</c:v>
                </c:pt>
                <c:pt idx="445">
                  <c:v>2.2400000000000002</c:v>
                </c:pt>
                <c:pt idx="446">
                  <c:v>2</c:v>
                </c:pt>
                <c:pt idx="447">
                  <c:v>2.5099999999999998</c:v>
                </c:pt>
                <c:pt idx="448">
                  <c:v>3.59</c:v>
                </c:pt>
                <c:pt idx="449">
                  <c:v>3.19</c:v>
                </c:pt>
                <c:pt idx="450">
                  <c:v>2.15</c:v>
                </c:pt>
                <c:pt idx="451">
                  <c:v>4.0199999999999996</c:v>
                </c:pt>
                <c:pt idx="452">
                  <c:v>1.74</c:v>
                </c:pt>
                <c:pt idx="453">
                  <c:v>2.36</c:v>
                </c:pt>
                <c:pt idx="454">
                  <c:v>2.69</c:v>
                </c:pt>
                <c:pt idx="455">
                  <c:v>4.37</c:v>
                </c:pt>
                <c:pt idx="456">
                  <c:v>4.25</c:v>
                </c:pt>
                <c:pt idx="457">
                  <c:v>2.2400000000000002</c:v>
                </c:pt>
                <c:pt idx="458">
                  <c:v>2.88</c:v>
                </c:pt>
                <c:pt idx="459">
                  <c:v>4.2</c:v>
                </c:pt>
                <c:pt idx="460">
                  <c:v>2.96</c:v>
                </c:pt>
                <c:pt idx="461">
                  <c:v>2.62</c:v>
                </c:pt>
                <c:pt idx="462">
                  <c:v>3.46</c:v>
                </c:pt>
                <c:pt idx="463">
                  <c:v>2.41</c:v>
                </c:pt>
                <c:pt idx="464">
                  <c:v>2.4</c:v>
                </c:pt>
                <c:pt idx="465">
                  <c:v>4.83</c:v>
                </c:pt>
                <c:pt idx="466">
                  <c:v>1.79</c:v>
                </c:pt>
                <c:pt idx="467">
                  <c:v>3.13</c:v>
                </c:pt>
                <c:pt idx="468">
                  <c:v>3.73</c:v>
                </c:pt>
                <c:pt idx="469">
                  <c:v>3.98</c:v>
                </c:pt>
                <c:pt idx="470">
                  <c:v>3.67</c:v>
                </c:pt>
                <c:pt idx="471">
                  <c:v>3.08</c:v>
                </c:pt>
                <c:pt idx="472">
                  <c:v>3.59</c:v>
                </c:pt>
                <c:pt idx="473">
                  <c:v>2.76</c:v>
                </c:pt>
                <c:pt idx="474">
                  <c:v>3.59</c:v>
                </c:pt>
                <c:pt idx="475">
                  <c:v>2.77</c:v>
                </c:pt>
                <c:pt idx="476">
                  <c:v>3.1</c:v>
                </c:pt>
                <c:pt idx="477">
                  <c:v>2.06</c:v>
                </c:pt>
                <c:pt idx="478">
                  <c:v>3.55</c:v>
                </c:pt>
                <c:pt idx="479">
                  <c:v>1.64</c:v>
                </c:pt>
                <c:pt idx="480">
                  <c:v>4.79</c:v>
                </c:pt>
                <c:pt idx="481">
                  <c:v>2.46</c:v>
                </c:pt>
                <c:pt idx="482">
                  <c:v>2.4300000000000002</c:v>
                </c:pt>
                <c:pt idx="483">
                  <c:v>3.42</c:v>
                </c:pt>
                <c:pt idx="484">
                  <c:v>3.72</c:v>
                </c:pt>
                <c:pt idx="485">
                  <c:v>2.14</c:v>
                </c:pt>
                <c:pt idx="486">
                  <c:v>3.75</c:v>
                </c:pt>
                <c:pt idx="487">
                  <c:v>3.04</c:v>
                </c:pt>
                <c:pt idx="488">
                  <c:v>2.2200000000000002</c:v>
                </c:pt>
                <c:pt idx="489">
                  <c:v>3.86</c:v>
                </c:pt>
                <c:pt idx="490">
                  <c:v>2.33</c:v>
                </c:pt>
                <c:pt idx="491">
                  <c:v>3.62</c:v>
                </c:pt>
                <c:pt idx="492">
                  <c:v>2.91</c:v>
                </c:pt>
                <c:pt idx="493">
                  <c:v>2.38</c:v>
                </c:pt>
                <c:pt idx="494">
                  <c:v>1.77</c:v>
                </c:pt>
                <c:pt idx="495">
                  <c:v>2.56</c:v>
                </c:pt>
                <c:pt idx="496">
                  <c:v>3.71</c:v>
                </c:pt>
                <c:pt idx="497">
                  <c:v>3.09</c:v>
                </c:pt>
                <c:pt idx="498">
                  <c:v>2.96</c:v>
                </c:pt>
                <c:pt idx="499">
                  <c:v>2.69</c:v>
                </c:pt>
                <c:pt idx="500">
                  <c:v>3.49</c:v>
                </c:pt>
                <c:pt idx="501">
                  <c:v>3.25</c:v>
                </c:pt>
                <c:pt idx="502">
                  <c:v>2.13</c:v>
                </c:pt>
                <c:pt idx="503">
                  <c:v>3.09</c:v>
                </c:pt>
                <c:pt idx="504">
                  <c:v>4.04</c:v>
                </c:pt>
                <c:pt idx="505">
                  <c:v>3.45</c:v>
                </c:pt>
                <c:pt idx="506">
                  <c:v>2.99</c:v>
                </c:pt>
                <c:pt idx="507">
                  <c:v>1.6</c:v>
                </c:pt>
                <c:pt idx="508">
                  <c:v>3.52</c:v>
                </c:pt>
                <c:pt idx="509">
                  <c:v>2.97</c:v>
                </c:pt>
                <c:pt idx="510">
                  <c:v>2.71</c:v>
                </c:pt>
                <c:pt idx="511">
                  <c:v>3.67</c:v>
                </c:pt>
                <c:pt idx="512">
                  <c:v>3.37</c:v>
                </c:pt>
                <c:pt idx="513">
                  <c:v>2.4</c:v>
                </c:pt>
                <c:pt idx="514">
                  <c:v>3.49</c:v>
                </c:pt>
                <c:pt idx="515">
                  <c:v>3.98</c:v>
                </c:pt>
                <c:pt idx="516">
                  <c:v>3.31</c:v>
                </c:pt>
                <c:pt idx="517">
                  <c:v>2.66</c:v>
                </c:pt>
                <c:pt idx="518">
                  <c:v>3.27</c:v>
                </c:pt>
                <c:pt idx="519">
                  <c:v>3</c:v>
                </c:pt>
                <c:pt idx="520">
                  <c:v>1.93</c:v>
                </c:pt>
                <c:pt idx="521">
                  <c:v>3.64</c:v>
                </c:pt>
                <c:pt idx="522">
                  <c:v>3.38</c:v>
                </c:pt>
                <c:pt idx="523">
                  <c:v>2.2000000000000002</c:v>
                </c:pt>
                <c:pt idx="524">
                  <c:v>3.06</c:v>
                </c:pt>
                <c:pt idx="525">
                  <c:v>3.06</c:v>
                </c:pt>
                <c:pt idx="526">
                  <c:v>3.7</c:v>
                </c:pt>
                <c:pt idx="527">
                  <c:v>2.15</c:v>
                </c:pt>
                <c:pt idx="528">
                  <c:v>3.08</c:v>
                </c:pt>
                <c:pt idx="529">
                  <c:v>4.1399999999999997</c:v>
                </c:pt>
                <c:pt idx="530">
                  <c:v>3.51</c:v>
                </c:pt>
                <c:pt idx="531">
                  <c:v>2.58</c:v>
                </c:pt>
                <c:pt idx="532">
                  <c:v>3</c:v>
                </c:pt>
                <c:pt idx="533">
                  <c:v>2.61</c:v>
                </c:pt>
                <c:pt idx="534">
                  <c:v>2.5</c:v>
                </c:pt>
                <c:pt idx="535">
                  <c:v>3.56</c:v>
                </c:pt>
                <c:pt idx="536">
                  <c:v>2.86</c:v>
                </c:pt>
                <c:pt idx="537">
                  <c:v>3.4</c:v>
                </c:pt>
                <c:pt idx="538">
                  <c:v>1.98</c:v>
                </c:pt>
                <c:pt idx="539">
                  <c:v>2.61</c:v>
                </c:pt>
                <c:pt idx="540">
                  <c:v>3.14</c:v>
                </c:pt>
                <c:pt idx="541">
                  <c:v>2.97</c:v>
                </c:pt>
                <c:pt idx="542">
                  <c:v>2.2000000000000002</c:v>
                </c:pt>
                <c:pt idx="543">
                  <c:v>2.0299999999999998</c:v>
                </c:pt>
                <c:pt idx="544">
                  <c:v>2.5099999999999998</c:v>
                </c:pt>
                <c:pt idx="545">
                  <c:v>5.04</c:v>
                </c:pt>
                <c:pt idx="546">
                  <c:v>2.37</c:v>
                </c:pt>
                <c:pt idx="547">
                  <c:v>3.57</c:v>
                </c:pt>
                <c:pt idx="548">
                  <c:v>3.65</c:v>
                </c:pt>
                <c:pt idx="549">
                  <c:v>3.53</c:v>
                </c:pt>
                <c:pt idx="550">
                  <c:v>3.15</c:v>
                </c:pt>
                <c:pt idx="551">
                  <c:v>4.04</c:v>
                </c:pt>
                <c:pt idx="552">
                  <c:v>3.6</c:v>
                </c:pt>
                <c:pt idx="553">
                  <c:v>3.24</c:v>
                </c:pt>
                <c:pt idx="554">
                  <c:v>2.57</c:v>
                </c:pt>
                <c:pt idx="555">
                  <c:v>3.76</c:v>
                </c:pt>
                <c:pt idx="556">
                  <c:v>3.58</c:v>
                </c:pt>
                <c:pt idx="557">
                  <c:v>3.2</c:v>
                </c:pt>
                <c:pt idx="558">
                  <c:v>3.58</c:v>
                </c:pt>
                <c:pt idx="559">
                  <c:v>3.37</c:v>
                </c:pt>
                <c:pt idx="560">
                  <c:v>2.58</c:v>
                </c:pt>
                <c:pt idx="561">
                  <c:v>3.65</c:v>
                </c:pt>
                <c:pt idx="562">
                  <c:v>2.68</c:v>
                </c:pt>
                <c:pt idx="563">
                  <c:v>3.83</c:v>
                </c:pt>
                <c:pt idx="564">
                  <c:v>2.65</c:v>
                </c:pt>
                <c:pt idx="565">
                  <c:v>3.77</c:v>
                </c:pt>
                <c:pt idx="566">
                  <c:v>3.1</c:v>
                </c:pt>
                <c:pt idx="567">
                  <c:v>2.27</c:v>
                </c:pt>
                <c:pt idx="568">
                  <c:v>3.41</c:v>
                </c:pt>
                <c:pt idx="569">
                  <c:v>2.14</c:v>
                </c:pt>
                <c:pt idx="570">
                  <c:v>2.09</c:v>
                </c:pt>
                <c:pt idx="571">
                  <c:v>3.25</c:v>
                </c:pt>
                <c:pt idx="572">
                  <c:v>2.59</c:v>
                </c:pt>
                <c:pt idx="573">
                  <c:v>2.0299999999999998</c:v>
                </c:pt>
                <c:pt idx="574">
                  <c:v>2.13</c:v>
                </c:pt>
                <c:pt idx="575">
                  <c:v>3.69</c:v>
                </c:pt>
                <c:pt idx="576">
                  <c:v>2.98</c:v>
                </c:pt>
                <c:pt idx="577">
                  <c:v>3.46</c:v>
                </c:pt>
                <c:pt idx="578">
                  <c:v>1.26</c:v>
                </c:pt>
                <c:pt idx="579">
                  <c:v>3.39</c:v>
                </c:pt>
                <c:pt idx="580">
                  <c:v>4.1500000000000004</c:v>
                </c:pt>
                <c:pt idx="581">
                  <c:v>2.56</c:v>
                </c:pt>
                <c:pt idx="582">
                  <c:v>3.08</c:v>
                </c:pt>
                <c:pt idx="583">
                  <c:v>3.61</c:v>
                </c:pt>
                <c:pt idx="584">
                  <c:v>2.0099999999999998</c:v>
                </c:pt>
                <c:pt idx="585">
                  <c:v>4.0599999999999996</c:v>
                </c:pt>
                <c:pt idx="586">
                  <c:v>3.62</c:v>
                </c:pt>
                <c:pt idx="587">
                  <c:v>2.99</c:v>
                </c:pt>
                <c:pt idx="588">
                  <c:v>2.8</c:v>
                </c:pt>
                <c:pt idx="589">
                  <c:v>2.09</c:v>
                </c:pt>
                <c:pt idx="590">
                  <c:v>3.63</c:v>
                </c:pt>
                <c:pt idx="591">
                  <c:v>3.33</c:v>
                </c:pt>
                <c:pt idx="592">
                  <c:v>2.46</c:v>
                </c:pt>
                <c:pt idx="593">
                  <c:v>4.22</c:v>
                </c:pt>
                <c:pt idx="594">
                  <c:v>1.19</c:v>
                </c:pt>
                <c:pt idx="595">
                  <c:v>3.35</c:v>
                </c:pt>
                <c:pt idx="596">
                  <c:v>3.58</c:v>
                </c:pt>
                <c:pt idx="597">
                  <c:v>2.7</c:v>
                </c:pt>
                <c:pt idx="598">
                  <c:v>2.58</c:v>
                </c:pt>
                <c:pt idx="599">
                  <c:v>2.89</c:v>
                </c:pt>
                <c:pt idx="600">
                  <c:v>3.39</c:v>
                </c:pt>
                <c:pt idx="601">
                  <c:v>3.8</c:v>
                </c:pt>
                <c:pt idx="602">
                  <c:v>2.71</c:v>
                </c:pt>
                <c:pt idx="603">
                  <c:v>1.97</c:v>
                </c:pt>
                <c:pt idx="604">
                  <c:v>3.24</c:v>
                </c:pt>
                <c:pt idx="605">
                  <c:v>2.63</c:v>
                </c:pt>
                <c:pt idx="606">
                  <c:v>2.8</c:v>
                </c:pt>
                <c:pt idx="607">
                  <c:v>2.99</c:v>
                </c:pt>
                <c:pt idx="608">
                  <c:v>2.14</c:v>
                </c:pt>
                <c:pt idx="609">
                  <c:v>4.03</c:v>
                </c:pt>
                <c:pt idx="610">
                  <c:v>2.59</c:v>
                </c:pt>
                <c:pt idx="611">
                  <c:v>2.59</c:v>
                </c:pt>
                <c:pt idx="612">
                  <c:v>2.82</c:v>
                </c:pt>
                <c:pt idx="613">
                  <c:v>0.93</c:v>
                </c:pt>
                <c:pt idx="614">
                  <c:v>2.86</c:v>
                </c:pt>
                <c:pt idx="615">
                  <c:v>3.56</c:v>
                </c:pt>
                <c:pt idx="616">
                  <c:v>3.84</c:v>
                </c:pt>
                <c:pt idx="617">
                  <c:v>2.71</c:v>
                </c:pt>
                <c:pt idx="618">
                  <c:v>3.51</c:v>
                </c:pt>
                <c:pt idx="619">
                  <c:v>3.33</c:v>
                </c:pt>
                <c:pt idx="620">
                  <c:v>3.52</c:v>
                </c:pt>
                <c:pt idx="621">
                  <c:v>2.0099999999999998</c:v>
                </c:pt>
                <c:pt idx="622">
                  <c:v>2.29</c:v>
                </c:pt>
                <c:pt idx="623">
                  <c:v>2.14</c:v>
                </c:pt>
                <c:pt idx="624">
                  <c:v>3.54</c:v>
                </c:pt>
                <c:pt idx="625">
                  <c:v>2.82</c:v>
                </c:pt>
                <c:pt idx="626">
                  <c:v>3.85</c:v>
                </c:pt>
                <c:pt idx="627">
                  <c:v>4.0999999999999996</c:v>
                </c:pt>
                <c:pt idx="628">
                  <c:v>3.24</c:v>
                </c:pt>
                <c:pt idx="629">
                  <c:v>3.23</c:v>
                </c:pt>
                <c:pt idx="630">
                  <c:v>3.91</c:v>
                </c:pt>
                <c:pt idx="631">
                  <c:v>2.12</c:v>
                </c:pt>
                <c:pt idx="632">
                  <c:v>3.37</c:v>
                </c:pt>
                <c:pt idx="633">
                  <c:v>3.63</c:v>
                </c:pt>
                <c:pt idx="634">
                  <c:v>3.77</c:v>
                </c:pt>
                <c:pt idx="635">
                  <c:v>3.11</c:v>
                </c:pt>
                <c:pt idx="636">
                  <c:v>1.95</c:v>
                </c:pt>
                <c:pt idx="637">
                  <c:v>2.4900000000000002</c:v>
                </c:pt>
                <c:pt idx="638">
                  <c:v>3.46</c:v>
                </c:pt>
                <c:pt idx="639">
                  <c:v>3.02</c:v>
                </c:pt>
                <c:pt idx="640">
                  <c:v>2.56</c:v>
                </c:pt>
                <c:pt idx="641">
                  <c:v>2.96</c:v>
                </c:pt>
                <c:pt idx="642">
                  <c:v>2.82</c:v>
                </c:pt>
                <c:pt idx="643">
                  <c:v>2.57</c:v>
                </c:pt>
                <c:pt idx="644">
                  <c:v>4.8</c:v>
                </c:pt>
                <c:pt idx="645">
                  <c:v>4.1399999999999997</c:v>
                </c:pt>
                <c:pt idx="646">
                  <c:v>3.09</c:v>
                </c:pt>
                <c:pt idx="647">
                  <c:v>3.22</c:v>
                </c:pt>
                <c:pt idx="648">
                  <c:v>2.23</c:v>
                </c:pt>
                <c:pt idx="649">
                  <c:v>3.65</c:v>
                </c:pt>
                <c:pt idx="650">
                  <c:v>2.86</c:v>
                </c:pt>
                <c:pt idx="651">
                  <c:v>2.31</c:v>
                </c:pt>
                <c:pt idx="652">
                  <c:v>1.6</c:v>
                </c:pt>
                <c:pt idx="653">
                  <c:v>2.88</c:v>
                </c:pt>
                <c:pt idx="654">
                  <c:v>3.12</c:v>
                </c:pt>
                <c:pt idx="655">
                  <c:v>4.04</c:v>
                </c:pt>
                <c:pt idx="656">
                  <c:v>2.0699999999999998</c:v>
                </c:pt>
                <c:pt idx="657">
                  <c:v>3.31</c:v>
                </c:pt>
                <c:pt idx="658">
                  <c:v>2.76</c:v>
                </c:pt>
                <c:pt idx="659">
                  <c:v>3.05</c:v>
                </c:pt>
                <c:pt idx="660">
                  <c:v>1.99</c:v>
                </c:pt>
                <c:pt idx="661">
                  <c:v>2.75</c:v>
                </c:pt>
                <c:pt idx="662">
                  <c:v>3.43</c:v>
                </c:pt>
                <c:pt idx="663">
                  <c:v>3.01</c:v>
                </c:pt>
                <c:pt idx="664">
                  <c:v>2.38</c:v>
                </c:pt>
                <c:pt idx="665">
                  <c:v>1.67</c:v>
                </c:pt>
                <c:pt idx="666">
                  <c:v>3.11</c:v>
                </c:pt>
                <c:pt idx="667">
                  <c:v>2.77</c:v>
                </c:pt>
                <c:pt idx="668">
                  <c:v>4.08</c:v>
                </c:pt>
                <c:pt idx="669">
                  <c:v>3.61</c:v>
                </c:pt>
                <c:pt idx="670">
                  <c:v>2.83</c:v>
                </c:pt>
                <c:pt idx="671">
                  <c:v>2.6</c:v>
                </c:pt>
                <c:pt idx="672">
                  <c:v>4.17</c:v>
                </c:pt>
                <c:pt idx="673">
                  <c:v>3.93</c:v>
                </c:pt>
                <c:pt idx="674">
                  <c:v>3.01</c:v>
                </c:pt>
                <c:pt idx="675">
                  <c:v>3.57</c:v>
                </c:pt>
                <c:pt idx="676">
                  <c:v>2.89</c:v>
                </c:pt>
                <c:pt idx="677">
                  <c:v>2.14</c:v>
                </c:pt>
                <c:pt idx="678">
                  <c:v>2.23</c:v>
                </c:pt>
                <c:pt idx="679">
                  <c:v>2.89</c:v>
                </c:pt>
                <c:pt idx="680">
                  <c:v>2.7</c:v>
                </c:pt>
                <c:pt idx="681">
                  <c:v>2.71</c:v>
                </c:pt>
                <c:pt idx="682">
                  <c:v>2.86</c:v>
                </c:pt>
                <c:pt idx="683">
                  <c:v>2.4</c:v>
                </c:pt>
                <c:pt idx="684">
                  <c:v>3.1</c:v>
                </c:pt>
                <c:pt idx="685">
                  <c:v>1.1200000000000001</c:v>
                </c:pt>
                <c:pt idx="686">
                  <c:v>1.88</c:v>
                </c:pt>
                <c:pt idx="687">
                  <c:v>1.63</c:v>
                </c:pt>
                <c:pt idx="688">
                  <c:v>3.09</c:v>
                </c:pt>
                <c:pt idx="689">
                  <c:v>2.59</c:v>
                </c:pt>
                <c:pt idx="690">
                  <c:v>4.2</c:v>
                </c:pt>
                <c:pt idx="691">
                  <c:v>1.99</c:v>
                </c:pt>
                <c:pt idx="692">
                  <c:v>2.95</c:v>
                </c:pt>
                <c:pt idx="693">
                  <c:v>2.5299999999999998</c:v>
                </c:pt>
                <c:pt idx="694">
                  <c:v>2.88</c:v>
                </c:pt>
                <c:pt idx="695">
                  <c:v>3.95</c:v>
                </c:pt>
                <c:pt idx="696">
                  <c:v>2.1</c:v>
                </c:pt>
                <c:pt idx="697">
                  <c:v>2.48</c:v>
                </c:pt>
                <c:pt idx="698">
                  <c:v>3.21</c:v>
                </c:pt>
                <c:pt idx="699">
                  <c:v>3.12</c:v>
                </c:pt>
                <c:pt idx="700">
                  <c:v>3.44</c:v>
                </c:pt>
                <c:pt idx="701">
                  <c:v>1.67</c:v>
                </c:pt>
                <c:pt idx="702">
                  <c:v>3.92</c:v>
                </c:pt>
                <c:pt idx="703">
                  <c:v>3.21</c:v>
                </c:pt>
                <c:pt idx="704">
                  <c:v>3.13</c:v>
                </c:pt>
                <c:pt idx="705">
                  <c:v>3.21</c:v>
                </c:pt>
                <c:pt idx="706">
                  <c:v>3.48</c:v>
                </c:pt>
                <c:pt idx="707">
                  <c:v>3.36</c:v>
                </c:pt>
                <c:pt idx="708">
                  <c:v>1.86</c:v>
                </c:pt>
                <c:pt idx="709">
                  <c:v>3.95</c:v>
                </c:pt>
                <c:pt idx="710">
                  <c:v>3.52</c:v>
                </c:pt>
                <c:pt idx="711">
                  <c:v>2.98</c:v>
                </c:pt>
                <c:pt idx="712">
                  <c:v>4.21</c:v>
                </c:pt>
                <c:pt idx="713">
                  <c:v>3.35</c:v>
                </c:pt>
                <c:pt idx="714">
                  <c:v>2.2400000000000002</c:v>
                </c:pt>
                <c:pt idx="715">
                  <c:v>4.1500000000000004</c:v>
                </c:pt>
                <c:pt idx="716">
                  <c:v>2.88</c:v>
                </c:pt>
                <c:pt idx="717">
                  <c:v>2.2999999999999998</c:v>
                </c:pt>
                <c:pt idx="718">
                  <c:v>2.93</c:v>
                </c:pt>
                <c:pt idx="719">
                  <c:v>1.99</c:v>
                </c:pt>
                <c:pt idx="720">
                  <c:v>3.55</c:v>
                </c:pt>
                <c:pt idx="721">
                  <c:v>2.5099999999999998</c:v>
                </c:pt>
                <c:pt idx="722">
                  <c:v>2.63</c:v>
                </c:pt>
                <c:pt idx="723">
                  <c:v>2.72</c:v>
                </c:pt>
                <c:pt idx="724">
                  <c:v>4.0999999999999996</c:v>
                </c:pt>
                <c:pt idx="725">
                  <c:v>2.44</c:v>
                </c:pt>
                <c:pt idx="726">
                  <c:v>3.19</c:v>
                </c:pt>
                <c:pt idx="727">
                  <c:v>3.31</c:v>
                </c:pt>
                <c:pt idx="728">
                  <c:v>3.1</c:v>
                </c:pt>
                <c:pt idx="729">
                  <c:v>3.01</c:v>
                </c:pt>
                <c:pt idx="730">
                  <c:v>1.5</c:v>
                </c:pt>
                <c:pt idx="731">
                  <c:v>2.5499999999999998</c:v>
                </c:pt>
                <c:pt idx="732">
                  <c:v>2.69</c:v>
                </c:pt>
                <c:pt idx="733">
                  <c:v>4.84</c:v>
                </c:pt>
                <c:pt idx="734">
                  <c:v>2.84</c:v>
                </c:pt>
                <c:pt idx="735">
                  <c:v>2.19</c:v>
                </c:pt>
                <c:pt idx="736">
                  <c:v>2.89</c:v>
                </c:pt>
                <c:pt idx="737">
                  <c:v>3.35</c:v>
                </c:pt>
                <c:pt idx="738">
                  <c:v>3.19</c:v>
                </c:pt>
                <c:pt idx="739">
                  <c:v>2.98</c:v>
                </c:pt>
                <c:pt idx="740">
                  <c:v>3</c:v>
                </c:pt>
                <c:pt idx="741">
                  <c:v>1.85</c:v>
                </c:pt>
                <c:pt idx="742">
                  <c:v>1.88</c:v>
                </c:pt>
                <c:pt idx="743">
                  <c:v>2.48</c:v>
                </c:pt>
                <c:pt idx="744">
                  <c:v>3.12</c:v>
                </c:pt>
                <c:pt idx="745">
                  <c:v>4.0199999999999996</c:v>
                </c:pt>
                <c:pt idx="746">
                  <c:v>2.2799999999999998</c:v>
                </c:pt>
                <c:pt idx="747">
                  <c:v>1.97</c:v>
                </c:pt>
                <c:pt idx="748">
                  <c:v>3.15</c:v>
                </c:pt>
                <c:pt idx="749">
                  <c:v>3.24</c:v>
                </c:pt>
                <c:pt idx="750">
                  <c:v>3.67</c:v>
                </c:pt>
                <c:pt idx="751">
                  <c:v>3.47</c:v>
                </c:pt>
                <c:pt idx="752">
                  <c:v>3.6</c:v>
                </c:pt>
                <c:pt idx="753">
                  <c:v>3.27</c:v>
                </c:pt>
                <c:pt idx="754">
                  <c:v>3.67</c:v>
                </c:pt>
                <c:pt idx="755">
                  <c:v>2.2400000000000002</c:v>
                </c:pt>
                <c:pt idx="756">
                  <c:v>3.39</c:v>
                </c:pt>
                <c:pt idx="757">
                  <c:v>3.98</c:v>
                </c:pt>
                <c:pt idx="758">
                  <c:v>3.05</c:v>
                </c:pt>
                <c:pt idx="759">
                  <c:v>2.68</c:v>
                </c:pt>
                <c:pt idx="760">
                  <c:v>3.63</c:v>
                </c:pt>
                <c:pt idx="761">
                  <c:v>2.44</c:v>
                </c:pt>
                <c:pt idx="762">
                  <c:v>3</c:v>
                </c:pt>
                <c:pt idx="763">
                  <c:v>2.11</c:v>
                </c:pt>
                <c:pt idx="764">
                  <c:v>2.46</c:v>
                </c:pt>
                <c:pt idx="765">
                  <c:v>2.5299999999999998</c:v>
                </c:pt>
                <c:pt idx="766">
                  <c:v>2.87</c:v>
                </c:pt>
                <c:pt idx="767">
                  <c:v>4.0199999999999996</c:v>
                </c:pt>
                <c:pt idx="768">
                  <c:v>2.98</c:v>
                </c:pt>
                <c:pt idx="769">
                  <c:v>3.67</c:v>
                </c:pt>
                <c:pt idx="770">
                  <c:v>2.66</c:v>
                </c:pt>
                <c:pt idx="771">
                  <c:v>3</c:v>
                </c:pt>
                <c:pt idx="772">
                  <c:v>2.0699999999999998</c:v>
                </c:pt>
                <c:pt idx="773">
                  <c:v>4.01</c:v>
                </c:pt>
                <c:pt idx="774">
                  <c:v>3.07</c:v>
                </c:pt>
                <c:pt idx="775">
                  <c:v>2.52</c:v>
                </c:pt>
                <c:pt idx="776">
                  <c:v>2.69</c:v>
                </c:pt>
                <c:pt idx="777">
                  <c:v>3.1</c:v>
                </c:pt>
                <c:pt idx="778">
                  <c:v>3.78</c:v>
                </c:pt>
                <c:pt idx="779">
                  <c:v>2.56</c:v>
                </c:pt>
                <c:pt idx="780">
                  <c:v>2.73</c:v>
                </c:pt>
                <c:pt idx="781">
                  <c:v>2.37</c:v>
                </c:pt>
                <c:pt idx="782">
                  <c:v>2.17</c:v>
                </c:pt>
                <c:pt idx="783">
                  <c:v>2.67</c:v>
                </c:pt>
                <c:pt idx="784">
                  <c:v>2.57</c:v>
                </c:pt>
                <c:pt idx="785">
                  <c:v>4.5599999999999996</c:v>
                </c:pt>
                <c:pt idx="786">
                  <c:v>3.09</c:v>
                </c:pt>
                <c:pt idx="787">
                  <c:v>3.14</c:v>
                </c:pt>
                <c:pt idx="788">
                  <c:v>3.93</c:v>
                </c:pt>
                <c:pt idx="789">
                  <c:v>3.99</c:v>
                </c:pt>
                <c:pt idx="790">
                  <c:v>2.17</c:v>
                </c:pt>
                <c:pt idx="791">
                  <c:v>3.62</c:v>
                </c:pt>
                <c:pt idx="792">
                  <c:v>3.79</c:v>
                </c:pt>
                <c:pt idx="793">
                  <c:v>3.54</c:v>
                </c:pt>
                <c:pt idx="794">
                  <c:v>3.59</c:v>
                </c:pt>
                <c:pt idx="795">
                  <c:v>2.79</c:v>
                </c:pt>
                <c:pt idx="796">
                  <c:v>3.16</c:v>
                </c:pt>
                <c:pt idx="797">
                  <c:v>3.52</c:v>
                </c:pt>
                <c:pt idx="798">
                  <c:v>3.3</c:v>
                </c:pt>
                <c:pt idx="799">
                  <c:v>2.99</c:v>
                </c:pt>
                <c:pt idx="800">
                  <c:v>2.79</c:v>
                </c:pt>
                <c:pt idx="801">
                  <c:v>5.01</c:v>
                </c:pt>
                <c:pt idx="802">
                  <c:v>4</c:v>
                </c:pt>
                <c:pt idx="803">
                  <c:v>2.92</c:v>
                </c:pt>
                <c:pt idx="804">
                  <c:v>4.2699999999999996</c:v>
                </c:pt>
                <c:pt idx="805">
                  <c:v>1.72</c:v>
                </c:pt>
                <c:pt idx="806">
                  <c:v>2.62</c:v>
                </c:pt>
                <c:pt idx="807">
                  <c:v>2.21</c:v>
                </c:pt>
                <c:pt idx="808">
                  <c:v>3.83</c:v>
                </c:pt>
                <c:pt idx="809">
                  <c:v>3.15</c:v>
                </c:pt>
                <c:pt idx="810">
                  <c:v>2.66</c:v>
                </c:pt>
                <c:pt idx="811">
                  <c:v>4.01</c:v>
                </c:pt>
                <c:pt idx="812">
                  <c:v>1.67</c:v>
                </c:pt>
                <c:pt idx="813">
                  <c:v>2.12</c:v>
                </c:pt>
                <c:pt idx="814">
                  <c:v>2.42</c:v>
                </c:pt>
                <c:pt idx="815">
                  <c:v>3.91</c:v>
                </c:pt>
                <c:pt idx="816">
                  <c:v>3.78</c:v>
                </c:pt>
                <c:pt idx="817">
                  <c:v>3.6</c:v>
                </c:pt>
                <c:pt idx="818">
                  <c:v>3.81</c:v>
                </c:pt>
                <c:pt idx="819">
                  <c:v>4.08</c:v>
                </c:pt>
                <c:pt idx="820">
                  <c:v>2.7</c:v>
                </c:pt>
                <c:pt idx="821">
                  <c:v>3.86</c:v>
                </c:pt>
                <c:pt idx="822">
                  <c:v>2.82</c:v>
                </c:pt>
                <c:pt idx="823">
                  <c:v>3.62</c:v>
                </c:pt>
                <c:pt idx="824">
                  <c:v>2.4300000000000002</c:v>
                </c:pt>
                <c:pt idx="825">
                  <c:v>2.54</c:v>
                </c:pt>
                <c:pt idx="826">
                  <c:v>4.78</c:v>
                </c:pt>
                <c:pt idx="827">
                  <c:v>2.06</c:v>
                </c:pt>
                <c:pt idx="828">
                  <c:v>1.66</c:v>
                </c:pt>
                <c:pt idx="829">
                  <c:v>3.69</c:v>
                </c:pt>
                <c:pt idx="830">
                  <c:v>4.41</c:v>
                </c:pt>
                <c:pt idx="831">
                  <c:v>1.89</c:v>
                </c:pt>
                <c:pt idx="832">
                  <c:v>2.59</c:v>
                </c:pt>
                <c:pt idx="833">
                  <c:v>2.88</c:v>
                </c:pt>
                <c:pt idx="834">
                  <c:v>2.77</c:v>
                </c:pt>
                <c:pt idx="835">
                  <c:v>3.07</c:v>
                </c:pt>
                <c:pt idx="836">
                  <c:v>2.39</c:v>
                </c:pt>
                <c:pt idx="837">
                  <c:v>2.12</c:v>
                </c:pt>
                <c:pt idx="838">
                  <c:v>4.38</c:v>
                </c:pt>
                <c:pt idx="839">
                  <c:v>2.75</c:v>
                </c:pt>
                <c:pt idx="840">
                  <c:v>1.97</c:v>
                </c:pt>
                <c:pt idx="841">
                  <c:v>2.79</c:v>
                </c:pt>
                <c:pt idx="842">
                  <c:v>2.5099999999999998</c:v>
                </c:pt>
                <c:pt idx="843">
                  <c:v>4.0999999999999996</c:v>
                </c:pt>
                <c:pt idx="844">
                  <c:v>2.94</c:v>
                </c:pt>
                <c:pt idx="845">
                  <c:v>2.0699999999999998</c:v>
                </c:pt>
                <c:pt idx="846">
                  <c:v>2.74</c:v>
                </c:pt>
                <c:pt idx="847">
                  <c:v>3.27</c:v>
                </c:pt>
                <c:pt idx="848">
                  <c:v>2.58</c:v>
                </c:pt>
                <c:pt idx="849">
                  <c:v>2.3199999999999998</c:v>
                </c:pt>
                <c:pt idx="850">
                  <c:v>3.68</c:v>
                </c:pt>
                <c:pt idx="851">
                  <c:v>3.06</c:v>
                </c:pt>
                <c:pt idx="852">
                  <c:v>2.4700000000000002</c:v>
                </c:pt>
                <c:pt idx="853">
                  <c:v>3.39</c:v>
                </c:pt>
                <c:pt idx="854">
                  <c:v>3.26</c:v>
                </c:pt>
                <c:pt idx="855">
                  <c:v>2.91</c:v>
                </c:pt>
                <c:pt idx="856">
                  <c:v>2.73</c:v>
                </c:pt>
                <c:pt idx="857">
                  <c:v>4.01</c:v>
                </c:pt>
                <c:pt idx="858">
                  <c:v>2.48</c:v>
                </c:pt>
                <c:pt idx="859">
                  <c:v>2.2599999999999998</c:v>
                </c:pt>
                <c:pt idx="860">
                  <c:v>4.18</c:v>
                </c:pt>
                <c:pt idx="861">
                  <c:v>3.92</c:v>
                </c:pt>
                <c:pt idx="862">
                  <c:v>4.59</c:v>
                </c:pt>
                <c:pt idx="863">
                  <c:v>2.81</c:v>
                </c:pt>
                <c:pt idx="864">
                  <c:v>2.38</c:v>
                </c:pt>
                <c:pt idx="865">
                  <c:v>3.22</c:v>
                </c:pt>
                <c:pt idx="866">
                  <c:v>2.87</c:v>
                </c:pt>
                <c:pt idx="867">
                  <c:v>2.31</c:v>
                </c:pt>
                <c:pt idx="868">
                  <c:v>2.5</c:v>
                </c:pt>
                <c:pt idx="869">
                  <c:v>3.38</c:v>
                </c:pt>
                <c:pt idx="870">
                  <c:v>2.57</c:v>
                </c:pt>
                <c:pt idx="871">
                  <c:v>2.5099999999999998</c:v>
                </c:pt>
                <c:pt idx="872">
                  <c:v>3.69</c:v>
                </c:pt>
                <c:pt idx="873">
                  <c:v>2.57</c:v>
                </c:pt>
                <c:pt idx="874">
                  <c:v>3.78</c:v>
                </c:pt>
                <c:pt idx="875">
                  <c:v>3.21</c:v>
                </c:pt>
                <c:pt idx="876">
                  <c:v>3.48</c:v>
                </c:pt>
                <c:pt idx="877">
                  <c:v>1.75</c:v>
                </c:pt>
                <c:pt idx="878">
                  <c:v>3.08</c:v>
                </c:pt>
                <c:pt idx="879">
                  <c:v>2.95</c:v>
                </c:pt>
                <c:pt idx="880">
                  <c:v>3.22</c:v>
                </c:pt>
                <c:pt idx="881">
                  <c:v>3.82</c:v>
                </c:pt>
                <c:pt idx="882">
                  <c:v>3.18</c:v>
                </c:pt>
                <c:pt idx="883">
                  <c:v>3.61</c:v>
                </c:pt>
                <c:pt idx="884">
                  <c:v>2.4900000000000002</c:v>
                </c:pt>
                <c:pt idx="885">
                  <c:v>2</c:v>
                </c:pt>
                <c:pt idx="886">
                  <c:v>4.54</c:v>
                </c:pt>
                <c:pt idx="887">
                  <c:v>3.49</c:v>
                </c:pt>
                <c:pt idx="888">
                  <c:v>3.13</c:v>
                </c:pt>
                <c:pt idx="889">
                  <c:v>3.41</c:v>
                </c:pt>
                <c:pt idx="890">
                  <c:v>3</c:v>
                </c:pt>
                <c:pt idx="891">
                  <c:v>2.73</c:v>
                </c:pt>
                <c:pt idx="892">
                  <c:v>2.68</c:v>
                </c:pt>
                <c:pt idx="893">
                  <c:v>2.75</c:v>
                </c:pt>
                <c:pt idx="894">
                  <c:v>3.86</c:v>
                </c:pt>
                <c:pt idx="895">
                  <c:v>3.54</c:v>
                </c:pt>
                <c:pt idx="896">
                  <c:v>3.47</c:v>
                </c:pt>
                <c:pt idx="897">
                  <c:v>2.5</c:v>
                </c:pt>
                <c:pt idx="898">
                  <c:v>2.4900000000000002</c:v>
                </c:pt>
                <c:pt idx="899">
                  <c:v>3.59</c:v>
                </c:pt>
                <c:pt idx="900">
                  <c:v>1.87</c:v>
                </c:pt>
                <c:pt idx="901">
                  <c:v>2.4300000000000002</c:v>
                </c:pt>
                <c:pt idx="902">
                  <c:v>3.32</c:v>
                </c:pt>
                <c:pt idx="903">
                  <c:v>1.86</c:v>
                </c:pt>
                <c:pt idx="904">
                  <c:v>2.35</c:v>
                </c:pt>
                <c:pt idx="905">
                  <c:v>4.13</c:v>
                </c:pt>
                <c:pt idx="906">
                  <c:v>3.06</c:v>
                </c:pt>
                <c:pt idx="907">
                  <c:v>3.39</c:v>
                </c:pt>
                <c:pt idx="908">
                  <c:v>3.78</c:v>
                </c:pt>
                <c:pt idx="909">
                  <c:v>3.98</c:v>
                </c:pt>
                <c:pt idx="910">
                  <c:v>2.59</c:v>
                </c:pt>
                <c:pt idx="911">
                  <c:v>3.5</c:v>
                </c:pt>
                <c:pt idx="912">
                  <c:v>2.73</c:v>
                </c:pt>
                <c:pt idx="913">
                  <c:v>4.47</c:v>
                </c:pt>
                <c:pt idx="914">
                  <c:v>4.67</c:v>
                </c:pt>
                <c:pt idx="915">
                  <c:v>4.07</c:v>
                </c:pt>
                <c:pt idx="916">
                  <c:v>3.16</c:v>
                </c:pt>
                <c:pt idx="917">
                  <c:v>1.85</c:v>
                </c:pt>
                <c:pt idx="918">
                  <c:v>2.0699999999999998</c:v>
                </c:pt>
                <c:pt idx="919">
                  <c:v>3.59</c:v>
                </c:pt>
                <c:pt idx="920">
                  <c:v>4.1900000000000004</c:v>
                </c:pt>
                <c:pt idx="921">
                  <c:v>2.42</c:v>
                </c:pt>
                <c:pt idx="922">
                  <c:v>4.47</c:v>
                </c:pt>
                <c:pt idx="923">
                  <c:v>2.82</c:v>
                </c:pt>
                <c:pt idx="924">
                  <c:v>5.88</c:v>
                </c:pt>
                <c:pt idx="925">
                  <c:v>3.31</c:v>
                </c:pt>
                <c:pt idx="926">
                  <c:v>2.78</c:v>
                </c:pt>
                <c:pt idx="927">
                  <c:v>3.24</c:v>
                </c:pt>
                <c:pt idx="928">
                  <c:v>4.03</c:v>
                </c:pt>
                <c:pt idx="929">
                  <c:v>3.62</c:v>
                </c:pt>
                <c:pt idx="930">
                  <c:v>3.3</c:v>
                </c:pt>
                <c:pt idx="931">
                  <c:v>1.71</c:v>
                </c:pt>
                <c:pt idx="932">
                  <c:v>1.82</c:v>
                </c:pt>
                <c:pt idx="933">
                  <c:v>2.92</c:v>
                </c:pt>
                <c:pt idx="934">
                  <c:v>3.21</c:v>
                </c:pt>
                <c:pt idx="935">
                  <c:v>2.73</c:v>
                </c:pt>
                <c:pt idx="936">
                  <c:v>2.25</c:v>
                </c:pt>
                <c:pt idx="937">
                  <c:v>3.89</c:v>
                </c:pt>
                <c:pt idx="938">
                  <c:v>2.81</c:v>
                </c:pt>
                <c:pt idx="939">
                  <c:v>2.88</c:v>
                </c:pt>
                <c:pt idx="940">
                  <c:v>3.5</c:v>
                </c:pt>
                <c:pt idx="941">
                  <c:v>2.76</c:v>
                </c:pt>
                <c:pt idx="942">
                  <c:v>3.56</c:v>
                </c:pt>
                <c:pt idx="943">
                  <c:v>2.67</c:v>
                </c:pt>
                <c:pt idx="944">
                  <c:v>3.26</c:v>
                </c:pt>
                <c:pt idx="945">
                  <c:v>4.3</c:v>
                </c:pt>
                <c:pt idx="946">
                  <c:v>2.08</c:v>
                </c:pt>
                <c:pt idx="947">
                  <c:v>5.1100000000000003</c:v>
                </c:pt>
                <c:pt idx="948">
                  <c:v>3.41</c:v>
                </c:pt>
                <c:pt idx="949">
                  <c:v>2.82</c:v>
                </c:pt>
                <c:pt idx="950">
                  <c:v>2.65</c:v>
                </c:pt>
                <c:pt idx="951">
                  <c:v>2.36</c:v>
                </c:pt>
                <c:pt idx="952">
                  <c:v>1.1499999999999999</c:v>
                </c:pt>
                <c:pt idx="953">
                  <c:v>3.41</c:v>
                </c:pt>
                <c:pt idx="954">
                  <c:v>3.09</c:v>
                </c:pt>
                <c:pt idx="955">
                  <c:v>4.5</c:v>
                </c:pt>
                <c:pt idx="956">
                  <c:v>2.58</c:v>
                </c:pt>
                <c:pt idx="957">
                  <c:v>3.19</c:v>
                </c:pt>
                <c:pt idx="958">
                  <c:v>4.3099999999999996</c:v>
                </c:pt>
                <c:pt idx="959">
                  <c:v>2.31</c:v>
                </c:pt>
                <c:pt idx="960">
                  <c:v>3.81</c:v>
                </c:pt>
                <c:pt idx="961">
                  <c:v>5.21</c:v>
                </c:pt>
                <c:pt idx="962">
                  <c:v>2.5</c:v>
                </c:pt>
                <c:pt idx="963">
                  <c:v>3.56</c:v>
                </c:pt>
                <c:pt idx="964">
                  <c:v>2.19</c:v>
                </c:pt>
                <c:pt idx="965">
                  <c:v>1.86</c:v>
                </c:pt>
                <c:pt idx="966">
                  <c:v>2.48</c:v>
                </c:pt>
                <c:pt idx="967">
                  <c:v>3.48</c:v>
                </c:pt>
                <c:pt idx="968">
                  <c:v>3.85</c:v>
                </c:pt>
                <c:pt idx="969">
                  <c:v>3.31</c:v>
                </c:pt>
                <c:pt idx="970">
                  <c:v>2.75</c:v>
                </c:pt>
                <c:pt idx="971">
                  <c:v>4.45</c:v>
                </c:pt>
                <c:pt idx="972">
                  <c:v>3.68</c:v>
                </c:pt>
                <c:pt idx="973">
                  <c:v>2.65</c:v>
                </c:pt>
                <c:pt idx="974">
                  <c:v>5.3</c:v>
                </c:pt>
                <c:pt idx="975">
                  <c:v>2.59</c:v>
                </c:pt>
                <c:pt idx="976">
                  <c:v>3.36</c:v>
                </c:pt>
                <c:pt idx="977">
                  <c:v>2.71</c:v>
                </c:pt>
                <c:pt idx="978">
                  <c:v>3.3</c:v>
                </c:pt>
                <c:pt idx="979">
                  <c:v>3.37</c:v>
                </c:pt>
                <c:pt idx="980">
                  <c:v>3.37</c:v>
                </c:pt>
                <c:pt idx="981">
                  <c:v>3.49</c:v>
                </c:pt>
                <c:pt idx="982">
                  <c:v>2.72</c:v>
                </c:pt>
                <c:pt idx="983">
                  <c:v>2.86</c:v>
                </c:pt>
                <c:pt idx="984">
                  <c:v>2.39</c:v>
                </c:pt>
                <c:pt idx="985">
                  <c:v>3.27</c:v>
                </c:pt>
                <c:pt idx="986">
                  <c:v>2.2200000000000002</c:v>
                </c:pt>
                <c:pt idx="987">
                  <c:v>2.9</c:v>
                </c:pt>
                <c:pt idx="988">
                  <c:v>2.44</c:v>
                </c:pt>
                <c:pt idx="989">
                  <c:v>3.8</c:v>
                </c:pt>
                <c:pt idx="990">
                  <c:v>4.2699999999999996</c:v>
                </c:pt>
                <c:pt idx="991">
                  <c:v>2.78</c:v>
                </c:pt>
                <c:pt idx="992">
                  <c:v>3.89</c:v>
                </c:pt>
                <c:pt idx="993">
                  <c:v>2.13</c:v>
                </c:pt>
                <c:pt idx="994">
                  <c:v>3.78</c:v>
                </c:pt>
                <c:pt idx="995">
                  <c:v>4.0999999999999996</c:v>
                </c:pt>
                <c:pt idx="996">
                  <c:v>2.4700000000000002</c:v>
                </c:pt>
                <c:pt idx="997">
                  <c:v>2.58</c:v>
                </c:pt>
                <c:pt idx="998">
                  <c:v>3.36</c:v>
                </c:pt>
                <c:pt idx="999">
                  <c:v>3.65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70-455E-AA4A-8D2800625955}"/>
            </c:ext>
          </c:extLst>
        </c:ser>
        <c:ser>
          <c:idx val="1"/>
          <c:order val="1"/>
          <c:tx>
            <c:v>Predicted Energy_kWh</c:v>
          </c:tx>
          <c:spPr>
            <a:ln w="19050">
              <a:noFill/>
            </a:ln>
          </c:spPr>
          <c:xVal>
            <c:numRef>
              <c:f>'Descriptive Stat_Model '!$B$2:$B$1001</c:f>
              <c:numCache>
                <c:formatCode>General</c:formatCode>
                <c:ptCount val="1000"/>
                <c:pt idx="0">
                  <c:v>6</c:v>
                </c:pt>
                <c:pt idx="1">
                  <c:v>6</c:v>
                </c:pt>
                <c:pt idx="2">
                  <c:v>8</c:v>
                </c:pt>
                <c:pt idx="3">
                  <c:v>3</c:v>
                </c:pt>
                <c:pt idx="4">
                  <c:v>5</c:v>
                </c:pt>
                <c:pt idx="5">
                  <c:v>11</c:v>
                </c:pt>
                <c:pt idx="6">
                  <c:v>7</c:v>
                </c:pt>
                <c:pt idx="7">
                  <c:v>7</c:v>
                </c:pt>
                <c:pt idx="8">
                  <c:v>12</c:v>
                </c:pt>
                <c:pt idx="9">
                  <c:v>7</c:v>
                </c:pt>
                <c:pt idx="10">
                  <c:v>12</c:v>
                </c:pt>
                <c:pt idx="11">
                  <c:v>4</c:v>
                </c:pt>
                <c:pt idx="12">
                  <c:v>11</c:v>
                </c:pt>
                <c:pt idx="13">
                  <c:v>5</c:v>
                </c:pt>
                <c:pt idx="14">
                  <c:v>8</c:v>
                </c:pt>
                <c:pt idx="15">
                  <c:v>4</c:v>
                </c:pt>
                <c:pt idx="16">
                  <c:v>9</c:v>
                </c:pt>
                <c:pt idx="17">
                  <c:v>11</c:v>
                </c:pt>
                <c:pt idx="18">
                  <c:v>3</c:v>
                </c:pt>
                <c:pt idx="19">
                  <c:v>9</c:v>
                </c:pt>
                <c:pt idx="20">
                  <c:v>11</c:v>
                </c:pt>
                <c:pt idx="21">
                  <c:v>11</c:v>
                </c:pt>
                <c:pt idx="22">
                  <c:v>8</c:v>
                </c:pt>
                <c:pt idx="23">
                  <c:v>17</c:v>
                </c:pt>
                <c:pt idx="24">
                  <c:v>5</c:v>
                </c:pt>
                <c:pt idx="25">
                  <c:v>5</c:v>
                </c:pt>
                <c:pt idx="26">
                  <c:v>9</c:v>
                </c:pt>
                <c:pt idx="27">
                  <c:v>9</c:v>
                </c:pt>
                <c:pt idx="28">
                  <c:v>4</c:v>
                </c:pt>
                <c:pt idx="29">
                  <c:v>6</c:v>
                </c:pt>
                <c:pt idx="30">
                  <c:v>7</c:v>
                </c:pt>
                <c:pt idx="31">
                  <c:v>12</c:v>
                </c:pt>
                <c:pt idx="32">
                  <c:v>5</c:v>
                </c:pt>
                <c:pt idx="33">
                  <c:v>14</c:v>
                </c:pt>
                <c:pt idx="34">
                  <c:v>8</c:v>
                </c:pt>
                <c:pt idx="35">
                  <c:v>11</c:v>
                </c:pt>
                <c:pt idx="36">
                  <c:v>7</c:v>
                </c:pt>
                <c:pt idx="37">
                  <c:v>4</c:v>
                </c:pt>
                <c:pt idx="38">
                  <c:v>10</c:v>
                </c:pt>
                <c:pt idx="39">
                  <c:v>5</c:v>
                </c:pt>
                <c:pt idx="40">
                  <c:v>6</c:v>
                </c:pt>
                <c:pt idx="41">
                  <c:v>11</c:v>
                </c:pt>
                <c:pt idx="42">
                  <c:v>6</c:v>
                </c:pt>
                <c:pt idx="43">
                  <c:v>12</c:v>
                </c:pt>
                <c:pt idx="44">
                  <c:v>11</c:v>
                </c:pt>
                <c:pt idx="45">
                  <c:v>13</c:v>
                </c:pt>
                <c:pt idx="46">
                  <c:v>10</c:v>
                </c:pt>
                <c:pt idx="47">
                  <c:v>3</c:v>
                </c:pt>
                <c:pt idx="48">
                  <c:v>12</c:v>
                </c:pt>
                <c:pt idx="49">
                  <c:v>6</c:v>
                </c:pt>
                <c:pt idx="50">
                  <c:v>7</c:v>
                </c:pt>
                <c:pt idx="51">
                  <c:v>4</c:v>
                </c:pt>
                <c:pt idx="52">
                  <c:v>7</c:v>
                </c:pt>
                <c:pt idx="53">
                  <c:v>9</c:v>
                </c:pt>
                <c:pt idx="54">
                  <c:v>8</c:v>
                </c:pt>
                <c:pt idx="55">
                  <c:v>10</c:v>
                </c:pt>
                <c:pt idx="56">
                  <c:v>8</c:v>
                </c:pt>
                <c:pt idx="57">
                  <c:v>6</c:v>
                </c:pt>
                <c:pt idx="58">
                  <c:v>10</c:v>
                </c:pt>
                <c:pt idx="59">
                  <c:v>6</c:v>
                </c:pt>
                <c:pt idx="60">
                  <c:v>3</c:v>
                </c:pt>
                <c:pt idx="61">
                  <c:v>12</c:v>
                </c:pt>
                <c:pt idx="62">
                  <c:v>6</c:v>
                </c:pt>
                <c:pt idx="63">
                  <c:v>11</c:v>
                </c:pt>
                <c:pt idx="64">
                  <c:v>10</c:v>
                </c:pt>
                <c:pt idx="65">
                  <c:v>4</c:v>
                </c:pt>
                <c:pt idx="66">
                  <c:v>8</c:v>
                </c:pt>
                <c:pt idx="67">
                  <c:v>10</c:v>
                </c:pt>
                <c:pt idx="68">
                  <c:v>9</c:v>
                </c:pt>
                <c:pt idx="69">
                  <c:v>12</c:v>
                </c:pt>
                <c:pt idx="70">
                  <c:v>4</c:v>
                </c:pt>
                <c:pt idx="71">
                  <c:v>6</c:v>
                </c:pt>
                <c:pt idx="72">
                  <c:v>6</c:v>
                </c:pt>
                <c:pt idx="73">
                  <c:v>8</c:v>
                </c:pt>
                <c:pt idx="74">
                  <c:v>8</c:v>
                </c:pt>
                <c:pt idx="75">
                  <c:v>6</c:v>
                </c:pt>
                <c:pt idx="76">
                  <c:v>4</c:v>
                </c:pt>
                <c:pt idx="77">
                  <c:v>8</c:v>
                </c:pt>
                <c:pt idx="78">
                  <c:v>3</c:v>
                </c:pt>
                <c:pt idx="79">
                  <c:v>10</c:v>
                </c:pt>
                <c:pt idx="80">
                  <c:v>8</c:v>
                </c:pt>
                <c:pt idx="81">
                  <c:v>8</c:v>
                </c:pt>
                <c:pt idx="82">
                  <c:v>5</c:v>
                </c:pt>
                <c:pt idx="83">
                  <c:v>7</c:v>
                </c:pt>
                <c:pt idx="84">
                  <c:v>9</c:v>
                </c:pt>
                <c:pt idx="85">
                  <c:v>4</c:v>
                </c:pt>
                <c:pt idx="86">
                  <c:v>7</c:v>
                </c:pt>
                <c:pt idx="87">
                  <c:v>9</c:v>
                </c:pt>
                <c:pt idx="88">
                  <c:v>11</c:v>
                </c:pt>
                <c:pt idx="89">
                  <c:v>9</c:v>
                </c:pt>
                <c:pt idx="90">
                  <c:v>5</c:v>
                </c:pt>
                <c:pt idx="91">
                  <c:v>9</c:v>
                </c:pt>
                <c:pt idx="92">
                  <c:v>15</c:v>
                </c:pt>
                <c:pt idx="93">
                  <c:v>3</c:v>
                </c:pt>
                <c:pt idx="94">
                  <c:v>11</c:v>
                </c:pt>
                <c:pt idx="95">
                  <c:v>7</c:v>
                </c:pt>
                <c:pt idx="96">
                  <c:v>8</c:v>
                </c:pt>
                <c:pt idx="97">
                  <c:v>10</c:v>
                </c:pt>
                <c:pt idx="98">
                  <c:v>6</c:v>
                </c:pt>
                <c:pt idx="99">
                  <c:v>15</c:v>
                </c:pt>
                <c:pt idx="100">
                  <c:v>5</c:v>
                </c:pt>
                <c:pt idx="101">
                  <c:v>13</c:v>
                </c:pt>
                <c:pt idx="102">
                  <c:v>5</c:v>
                </c:pt>
                <c:pt idx="103">
                  <c:v>7</c:v>
                </c:pt>
                <c:pt idx="104">
                  <c:v>10</c:v>
                </c:pt>
                <c:pt idx="105">
                  <c:v>9</c:v>
                </c:pt>
                <c:pt idx="106">
                  <c:v>5</c:v>
                </c:pt>
                <c:pt idx="107">
                  <c:v>9</c:v>
                </c:pt>
                <c:pt idx="108">
                  <c:v>6</c:v>
                </c:pt>
                <c:pt idx="109">
                  <c:v>5</c:v>
                </c:pt>
                <c:pt idx="110">
                  <c:v>8</c:v>
                </c:pt>
                <c:pt idx="111">
                  <c:v>6</c:v>
                </c:pt>
                <c:pt idx="112">
                  <c:v>6</c:v>
                </c:pt>
                <c:pt idx="113">
                  <c:v>7</c:v>
                </c:pt>
                <c:pt idx="114">
                  <c:v>8</c:v>
                </c:pt>
                <c:pt idx="115">
                  <c:v>11</c:v>
                </c:pt>
                <c:pt idx="116">
                  <c:v>9</c:v>
                </c:pt>
                <c:pt idx="117">
                  <c:v>11</c:v>
                </c:pt>
                <c:pt idx="118">
                  <c:v>8</c:v>
                </c:pt>
                <c:pt idx="119">
                  <c:v>6</c:v>
                </c:pt>
                <c:pt idx="120">
                  <c:v>7</c:v>
                </c:pt>
                <c:pt idx="121">
                  <c:v>8</c:v>
                </c:pt>
                <c:pt idx="122">
                  <c:v>5</c:v>
                </c:pt>
                <c:pt idx="123">
                  <c:v>5</c:v>
                </c:pt>
                <c:pt idx="124">
                  <c:v>9</c:v>
                </c:pt>
                <c:pt idx="125">
                  <c:v>9</c:v>
                </c:pt>
                <c:pt idx="126">
                  <c:v>11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8</c:v>
                </c:pt>
                <c:pt idx="131">
                  <c:v>6</c:v>
                </c:pt>
                <c:pt idx="132">
                  <c:v>8</c:v>
                </c:pt>
                <c:pt idx="133">
                  <c:v>9</c:v>
                </c:pt>
                <c:pt idx="134">
                  <c:v>10</c:v>
                </c:pt>
                <c:pt idx="135">
                  <c:v>10</c:v>
                </c:pt>
                <c:pt idx="136">
                  <c:v>9</c:v>
                </c:pt>
                <c:pt idx="137">
                  <c:v>6</c:v>
                </c:pt>
                <c:pt idx="138">
                  <c:v>4</c:v>
                </c:pt>
                <c:pt idx="139">
                  <c:v>12</c:v>
                </c:pt>
                <c:pt idx="140">
                  <c:v>7</c:v>
                </c:pt>
                <c:pt idx="141">
                  <c:v>10</c:v>
                </c:pt>
                <c:pt idx="142">
                  <c:v>7</c:v>
                </c:pt>
                <c:pt idx="143">
                  <c:v>11</c:v>
                </c:pt>
                <c:pt idx="144">
                  <c:v>9</c:v>
                </c:pt>
                <c:pt idx="145">
                  <c:v>10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8</c:v>
                </c:pt>
                <c:pt idx="150">
                  <c:v>9</c:v>
                </c:pt>
                <c:pt idx="151">
                  <c:v>4</c:v>
                </c:pt>
                <c:pt idx="152">
                  <c:v>8</c:v>
                </c:pt>
                <c:pt idx="153">
                  <c:v>10</c:v>
                </c:pt>
                <c:pt idx="154">
                  <c:v>9</c:v>
                </c:pt>
                <c:pt idx="155">
                  <c:v>3</c:v>
                </c:pt>
                <c:pt idx="156">
                  <c:v>6</c:v>
                </c:pt>
                <c:pt idx="157">
                  <c:v>4</c:v>
                </c:pt>
                <c:pt idx="158">
                  <c:v>7</c:v>
                </c:pt>
                <c:pt idx="159">
                  <c:v>9</c:v>
                </c:pt>
                <c:pt idx="160">
                  <c:v>10</c:v>
                </c:pt>
                <c:pt idx="161">
                  <c:v>9</c:v>
                </c:pt>
                <c:pt idx="162">
                  <c:v>14</c:v>
                </c:pt>
                <c:pt idx="163">
                  <c:v>9</c:v>
                </c:pt>
                <c:pt idx="164">
                  <c:v>4</c:v>
                </c:pt>
                <c:pt idx="165">
                  <c:v>11</c:v>
                </c:pt>
                <c:pt idx="166">
                  <c:v>5</c:v>
                </c:pt>
                <c:pt idx="167">
                  <c:v>10</c:v>
                </c:pt>
                <c:pt idx="168">
                  <c:v>7</c:v>
                </c:pt>
                <c:pt idx="169">
                  <c:v>13</c:v>
                </c:pt>
                <c:pt idx="170">
                  <c:v>3</c:v>
                </c:pt>
                <c:pt idx="171">
                  <c:v>10</c:v>
                </c:pt>
                <c:pt idx="172">
                  <c:v>9</c:v>
                </c:pt>
                <c:pt idx="173">
                  <c:v>8</c:v>
                </c:pt>
                <c:pt idx="174">
                  <c:v>7</c:v>
                </c:pt>
                <c:pt idx="175">
                  <c:v>9</c:v>
                </c:pt>
                <c:pt idx="176">
                  <c:v>6</c:v>
                </c:pt>
                <c:pt idx="177">
                  <c:v>7</c:v>
                </c:pt>
                <c:pt idx="178">
                  <c:v>9</c:v>
                </c:pt>
                <c:pt idx="179">
                  <c:v>5</c:v>
                </c:pt>
                <c:pt idx="180">
                  <c:v>8</c:v>
                </c:pt>
                <c:pt idx="181">
                  <c:v>11</c:v>
                </c:pt>
                <c:pt idx="182">
                  <c:v>13</c:v>
                </c:pt>
                <c:pt idx="183">
                  <c:v>10</c:v>
                </c:pt>
                <c:pt idx="184">
                  <c:v>5</c:v>
                </c:pt>
                <c:pt idx="185">
                  <c:v>10</c:v>
                </c:pt>
                <c:pt idx="186">
                  <c:v>7</c:v>
                </c:pt>
                <c:pt idx="187">
                  <c:v>12</c:v>
                </c:pt>
                <c:pt idx="188">
                  <c:v>8</c:v>
                </c:pt>
                <c:pt idx="189">
                  <c:v>13</c:v>
                </c:pt>
                <c:pt idx="190">
                  <c:v>6</c:v>
                </c:pt>
                <c:pt idx="191">
                  <c:v>9</c:v>
                </c:pt>
                <c:pt idx="192">
                  <c:v>2</c:v>
                </c:pt>
                <c:pt idx="193">
                  <c:v>10</c:v>
                </c:pt>
                <c:pt idx="194">
                  <c:v>8</c:v>
                </c:pt>
                <c:pt idx="195">
                  <c:v>15</c:v>
                </c:pt>
                <c:pt idx="196">
                  <c:v>9</c:v>
                </c:pt>
                <c:pt idx="197">
                  <c:v>5</c:v>
                </c:pt>
                <c:pt idx="198">
                  <c:v>3</c:v>
                </c:pt>
                <c:pt idx="199">
                  <c:v>7</c:v>
                </c:pt>
                <c:pt idx="200">
                  <c:v>11</c:v>
                </c:pt>
                <c:pt idx="201">
                  <c:v>4</c:v>
                </c:pt>
                <c:pt idx="202">
                  <c:v>6</c:v>
                </c:pt>
                <c:pt idx="203">
                  <c:v>8</c:v>
                </c:pt>
                <c:pt idx="204">
                  <c:v>4</c:v>
                </c:pt>
                <c:pt idx="205">
                  <c:v>5</c:v>
                </c:pt>
                <c:pt idx="206">
                  <c:v>14</c:v>
                </c:pt>
                <c:pt idx="207">
                  <c:v>8</c:v>
                </c:pt>
                <c:pt idx="208">
                  <c:v>7</c:v>
                </c:pt>
                <c:pt idx="209">
                  <c:v>6</c:v>
                </c:pt>
                <c:pt idx="210">
                  <c:v>6</c:v>
                </c:pt>
                <c:pt idx="211">
                  <c:v>11</c:v>
                </c:pt>
                <c:pt idx="212">
                  <c:v>5</c:v>
                </c:pt>
                <c:pt idx="213">
                  <c:v>12</c:v>
                </c:pt>
                <c:pt idx="214">
                  <c:v>8</c:v>
                </c:pt>
                <c:pt idx="215">
                  <c:v>11</c:v>
                </c:pt>
                <c:pt idx="216">
                  <c:v>12</c:v>
                </c:pt>
                <c:pt idx="217">
                  <c:v>8</c:v>
                </c:pt>
                <c:pt idx="218">
                  <c:v>8</c:v>
                </c:pt>
                <c:pt idx="219">
                  <c:v>5</c:v>
                </c:pt>
                <c:pt idx="220">
                  <c:v>8</c:v>
                </c:pt>
                <c:pt idx="221">
                  <c:v>7</c:v>
                </c:pt>
                <c:pt idx="222">
                  <c:v>4</c:v>
                </c:pt>
                <c:pt idx="223">
                  <c:v>12</c:v>
                </c:pt>
                <c:pt idx="224">
                  <c:v>10</c:v>
                </c:pt>
                <c:pt idx="225">
                  <c:v>5</c:v>
                </c:pt>
                <c:pt idx="226">
                  <c:v>0</c:v>
                </c:pt>
                <c:pt idx="227">
                  <c:v>4</c:v>
                </c:pt>
                <c:pt idx="228">
                  <c:v>8</c:v>
                </c:pt>
                <c:pt idx="229">
                  <c:v>7</c:v>
                </c:pt>
                <c:pt idx="230">
                  <c:v>9</c:v>
                </c:pt>
                <c:pt idx="231">
                  <c:v>6</c:v>
                </c:pt>
                <c:pt idx="232">
                  <c:v>10</c:v>
                </c:pt>
                <c:pt idx="233">
                  <c:v>8</c:v>
                </c:pt>
                <c:pt idx="234">
                  <c:v>5</c:v>
                </c:pt>
                <c:pt idx="235">
                  <c:v>5</c:v>
                </c:pt>
                <c:pt idx="236">
                  <c:v>7</c:v>
                </c:pt>
                <c:pt idx="237">
                  <c:v>3</c:v>
                </c:pt>
                <c:pt idx="238">
                  <c:v>2</c:v>
                </c:pt>
                <c:pt idx="239">
                  <c:v>9</c:v>
                </c:pt>
                <c:pt idx="240">
                  <c:v>10</c:v>
                </c:pt>
                <c:pt idx="241">
                  <c:v>8</c:v>
                </c:pt>
                <c:pt idx="242">
                  <c:v>7</c:v>
                </c:pt>
                <c:pt idx="243">
                  <c:v>8</c:v>
                </c:pt>
                <c:pt idx="244">
                  <c:v>4</c:v>
                </c:pt>
                <c:pt idx="245">
                  <c:v>11</c:v>
                </c:pt>
                <c:pt idx="246">
                  <c:v>13</c:v>
                </c:pt>
                <c:pt idx="247">
                  <c:v>3</c:v>
                </c:pt>
                <c:pt idx="248">
                  <c:v>7</c:v>
                </c:pt>
                <c:pt idx="249">
                  <c:v>7</c:v>
                </c:pt>
                <c:pt idx="250">
                  <c:v>11</c:v>
                </c:pt>
                <c:pt idx="251">
                  <c:v>2</c:v>
                </c:pt>
                <c:pt idx="252">
                  <c:v>14</c:v>
                </c:pt>
                <c:pt idx="253">
                  <c:v>5</c:v>
                </c:pt>
                <c:pt idx="254">
                  <c:v>11</c:v>
                </c:pt>
                <c:pt idx="255">
                  <c:v>5</c:v>
                </c:pt>
                <c:pt idx="256">
                  <c:v>12</c:v>
                </c:pt>
                <c:pt idx="257">
                  <c:v>7</c:v>
                </c:pt>
                <c:pt idx="258">
                  <c:v>11</c:v>
                </c:pt>
                <c:pt idx="259">
                  <c:v>14</c:v>
                </c:pt>
                <c:pt idx="260">
                  <c:v>4</c:v>
                </c:pt>
                <c:pt idx="261">
                  <c:v>11</c:v>
                </c:pt>
                <c:pt idx="262">
                  <c:v>9</c:v>
                </c:pt>
                <c:pt idx="263">
                  <c:v>8</c:v>
                </c:pt>
                <c:pt idx="264">
                  <c:v>9</c:v>
                </c:pt>
                <c:pt idx="265">
                  <c:v>5</c:v>
                </c:pt>
                <c:pt idx="266">
                  <c:v>9</c:v>
                </c:pt>
                <c:pt idx="267">
                  <c:v>7</c:v>
                </c:pt>
                <c:pt idx="268">
                  <c:v>6</c:v>
                </c:pt>
                <c:pt idx="269">
                  <c:v>10</c:v>
                </c:pt>
                <c:pt idx="270">
                  <c:v>5</c:v>
                </c:pt>
                <c:pt idx="271">
                  <c:v>5</c:v>
                </c:pt>
                <c:pt idx="272">
                  <c:v>6</c:v>
                </c:pt>
                <c:pt idx="273">
                  <c:v>7</c:v>
                </c:pt>
                <c:pt idx="274">
                  <c:v>7</c:v>
                </c:pt>
                <c:pt idx="275">
                  <c:v>10</c:v>
                </c:pt>
                <c:pt idx="276">
                  <c:v>12</c:v>
                </c:pt>
                <c:pt idx="277">
                  <c:v>4</c:v>
                </c:pt>
                <c:pt idx="278">
                  <c:v>6</c:v>
                </c:pt>
                <c:pt idx="279">
                  <c:v>8</c:v>
                </c:pt>
                <c:pt idx="280">
                  <c:v>11</c:v>
                </c:pt>
                <c:pt idx="281">
                  <c:v>11</c:v>
                </c:pt>
                <c:pt idx="282">
                  <c:v>2</c:v>
                </c:pt>
                <c:pt idx="283">
                  <c:v>5</c:v>
                </c:pt>
                <c:pt idx="284">
                  <c:v>10</c:v>
                </c:pt>
                <c:pt idx="285">
                  <c:v>6</c:v>
                </c:pt>
                <c:pt idx="286">
                  <c:v>5</c:v>
                </c:pt>
                <c:pt idx="287">
                  <c:v>7</c:v>
                </c:pt>
                <c:pt idx="288">
                  <c:v>8</c:v>
                </c:pt>
                <c:pt idx="289">
                  <c:v>7</c:v>
                </c:pt>
                <c:pt idx="290">
                  <c:v>8</c:v>
                </c:pt>
                <c:pt idx="291">
                  <c:v>5</c:v>
                </c:pt>
                <c:pt idx="292">
                  <c:v>10</c:v>
                </c:pt>
                <c:pt idx="293">
                  <c:v>10</c:v>
                </c:pt>
                <c:pt idx="294">
                  <c:v>7</c:v>
                </c:pt>
                <c:pt idx="295">
                  <c:v>9</c:v>
                </c:pt>
                <c:pt idx="296">
                  <c:v>9</c:v>
                </c:pt>
                <c:pt idx="297">
                  <c:v>11</c:v>
                </c:pt>
                <c:pt idx="298">
                  <c:v>6</c:v>
                </c:pt>
                <c:pt idx="299">
                  <c:v>5</c:v>
                </c:pt>
                <c:pt idx="300">
                  <c:v>12</c:v>
                </c:pt>
                <c:pt idx="301">
                  <c:v>12</c:v>
                </c:pt>
                <c:pt idx="302">
                  <c:v>9</c:v>
                </c:pt>
                <c:pt idx="303">
                  <c:v>7</c:v>
                </c:pt>
                <c:pt idx="304">
                  <c:v>11</c:v>
                </c:pt>
                <c:pt idx="305">
                  <c:v>12</c:v>
                </c:pt>
                <c:pt idx="306">
                  <c:v>10</c:v>
                </c:pt>
                <c:pt idx="307">
                  <c:v>5</c:v>
                </c:pt>
                <c:pt idx="308">
                  <c:v>6</c:v>
                </c:pt>
                <c:pt idx="309">
                  <c:v>6</c:v>
                </c:pt>
                <c:pt idx="310">
                  <c:v>8</c:v>
                </c:pt>
                <c:pt idx="311">
                  <c:v>10</c:v>
                </c:pt>
                <c:pt idx="312">
                  <c:v>12</c:v>
                </c:pt>
                <c:pt idx="313">
                  <c:v>8</c:v>
                </c:pt>
                <c:pt idx="314">
                  <c:v>6</c:v>
                </c:pt>
                <c:pt idx="315">
                  <c:v>9</c:v>
                </c:pt>
                <c:pt idx="316">
                  <c:v>6</c:v>
                </c:pt>
                <c:pt idx="317">
                  <c:v>8</c:v>
                </c:pt>
                <c:pt idx="318">
                  <c:v>11</c:v>
                </c:pt>
                <c:pt idx="319">
                  <c:v>6</c:v>
                </c:pt>
                <c:pt idx="320">
                  <c:v>5</c:v>
                </c:pt>
                <c:pt idx="321">
                  <c:v>5</c:v>
                </c:pt>
                <c:pt idx="322">
                  <c:v>9</c:v>
                </c:pt>
                <c:pt idx="323">
                  <c:v>7</c:v>
                </c:pt>
                <c:pt idx="324">
                  <c:v>8</c:v>
                </c:pt>
                <c:pt idx="325">
                  <c:v>6</c:v>
                </c:pt>
                <c:pt idx="326">
                  <c:v>5</c:v>
                </c:pt>
                <c:pt idx="327">
                  <c:v>11</c:v>
                </c:pt>
                <c:pt idx="328">
                  <c:v>9</c:v>
                </c:pt>
                <c:pt idx="329">
                  <c:v>9</c:v>
                </c:pt>
                <c:pt idx="330">
                  <c:v>11</c:v>
                </c:pt>
                <c:pt idx="331">
                  <c:v>6</c:v>
                </c:pt>
                <c:pt idx="332">
                  <c:v>4</c:v>
                </c:pt>
                <c:pt idx="333">
                  <c:v>8</c:v>
                </c:pt>
                <c:pt idx="334">
                  <c:v>9</c:v>
                </c:pt>
                <c:pt idx="335">
                  <c:v>6</c:v>
                </c:pt>
                <c:pt idx="336">
                  <c:v>8</c:v>
                </c:pt>
                <c:pt idx="337">
                  <c:v>7</c:v>
                </c:pt>
                <c:pt idx="338">
                  <c:v>9</c:v>
                </c:pt>
                <c:pt idx="339">
                  <c:v>6</c:v>
                </c:pt>
                <c:pt idx="340">
                  <c:v>15</c:v>
                </c:pt>
                <c:pt idx="341">
                  <c:v>12</c:v>
                </c:pt>
                <c:pt idx="342">
                  <c:v>2</c:v>
                </c:pt>
                <c:pt idx="343">
                  <c:v>9</c:v>
                </c:pt>
                <c:pt idx="344">
                  <c:v>7</c:v>
                </c:pt>
                <c:pt idx="345">
                  <c:v>6</c:v>
                </c:pt>
                <c:pt idx="346">
                  <c:v>5</c:v>
                </c:pt>
                <c:pt idx="347">
                  <c:v>5</c:v>
                </c:pt>
                <c:pt idx="348">
                  <c:v>3</c:v>
                </c:pt>
                <c:pt idx="349">
                  <c:v>8</c:v>
                </c:pt>
                <c:pt idx="350">
                  <c:v>9</c:v>
                </c:pt>
                <c:pt idx="351">
                  <c:v>6</c:v>
                </c:pt>
                <c:pt idx="352">
                  <c:v>7</c:v>
                </c:pt>
                <c:pt idx="353">
                  <c:v>9</c:v>
                </c:pt>
                <c:pt idx="354">
                  <c:v>8</c:v>
                </c:pt>
                <c:pt idx="355">
                  <c:v>10</c:v>
                </c:pt>
                <c:pt idx="356">
                  <c:v>5</c:v>
                </c:pt>
                <c:pt idx="357">
                  <c:v>9</c:v>
                </c:pt>
                <c:pt idx="358">
                  <c:v>10</c:v>
                </c:pt>
                <c:pt idx="359">
                  <c:v>7</c:v>
                </c:pt>
                <c:pt idx="360">
                  <c:v>5</c:v>
                </c:pt>
                <c:pt idx="361">
                  <c:v>6</c:v>
                </c:pt>
                <c:pt idx="362">
                  <c:v>13</c:v>
                </c:pt>
                <c:pt idx="363">
                  <c:v>8</c:v>
                </c:pt>
                <c:pt idx="364">
                  <c:v>4</c:v>
                </c:pt>
                <c:pt idx="365">
                  <c:v>7</c:v>
                </c:pt>
                <c:pt idx="366">
                  <c:v>5</c:v>
                </c:pt>
                <c:pt idx="367">
                  <c:v>10</c:v>
                </c:pt>
                <c:pt idx="368">
                  <c:v>9</c:v>
                </c:pt>
                <c:pt idx="369">
                  <c:v>8</c:v>
                </c:pt>
                <c:pt idx="370">
                  <c:v>7</c:v>
                </c:pt>
                <c:pt idx="371">
                  <c:v>12</c:v>
                </c:pt>
                <c:pt idx="372">
                  <c:v>10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8</c:v>
                </c:pt>
                <c:pt idx="377">
                  <c:v>7</c:v>
                </c:pt>
                <c:pt idx="378">
                  <c:v>10</c:v>
                </c:pt>
                <c:pt idx="379">
                  <c:v>8</c:v>
                </c:pt>
                <c:pt idx="380">
                  <c:v>7</c:v>
                </c:pt>
                <c:pt idx="381">
                  <c:v>11</c:v>
                </c:pt>
                <c:pt idx="382">
                  <c:v>6</c:v>
                </c:pt>
                <c:pt idx="383">
                  <c:v>5</c:v>
                </c:pt>
                <c:pt idx="384">
                  <c:v>6</c:v>
                </c:pt>
                <c:pt idx="385">
                  <c:v>7</c:v>
                </c:pt>
                <c:pt idx="386">
                  <c:v>5</c:v>
                </c:pt>
                <c:pt idx="387">
                  <c:v>8</c:v>
                </c:pt>
                <c:pt idx="388">
                  <c:v>5</c:v>
                </c:pt>
                <c:pt idx="389">
                  <c:v>6</c:v>
                </c:pt>
                <c:pt idx="390">
                  <c:v>9</c:v>
                </c:pt>
                <c:pt idx="391">
                  <c:v>10</c:v>
                </c:pt>
                <c:pt idx="392">
                  <c:v>8</c:v>
                </c:pt>
                <c:pt idx="393">
                  <c:v>9</c:v>
                </c:pt>
                <c:pt idx="394">
                  <c:v>10</c:v>
                </c:pt>
                <c:pt idx="395">
                  <c:v>3</c:v>
                </c:pt>
                <c:pt idx="396">
                  <c:v>8</c:v>
                </c:pt>
                <c:pt idx="397">
                  <c:v>9</c:v>
                </c:pt>
                <c:pt idx="398">
                  <c:v>5</c:v>
                </c:pt>
                <c:pt idx="399">
                  <c:v>8</c:v>
                </c:pt>
                <c:pt idx="400">
                  <c:v>10</c:v>
                </c:pt>
                <c:pt idx="401">
                  <c:v>12</c:v>
                </c:pt>
                <c:pt idx="402">
                  <c:v>9</c:v>
                </c:pt>
                <c:pt idx="403">
                  <c:v>11</c:v>
                </c:pt>
                <c:pt idx="404">
                  <c:v>4</c:v>
                </c:pt>
                <c:pt idx="405">
                  <c:v>13</c:v>
                </c:pt>
                <c:pt idx="406">
                  <c:v>12</c:v>
                </c:pt>
                <c:pt idx="407">
                  <c:v>7</c:v>
                </c:pt>
                <c:pt idx="408">
                  <c:v>12</c:v>
                </c:pt>
                <c:pt idx="409">
                  <c:v>7</c:v>
                </c:pt>
                <c:pt idx="410">
                  <c:v>3</c:v>
                </c:pt>
                <c:pt idx="411">
                  <c:v>9</c:v>
                </c:pt>
                <c:pt idx="412">
                  <c:v>10</c:v>
                </c:pt>
                <c:pt idx="413">
                  <c:v>8</c:v>
                </c:pt>
                <c:pt idx="414">
                  <c:v>6</c:v>
                </c:pt>
                <c:pt idx="415">
                  <c:v>6</c:v>
                </c:pt>
                <c:pt idx="416">
                  <c:v>7</c:v>
                </c:pt>
                <c:pt idx="417">
                  <c:v>11</c:v>
                </c:pt>
                <c:pt idx="418">
                  <c:v>3</c:v>
                </c:pt>
                <c:pt idx="419">
                  <c:v>5</c:v>
                </c:pt>
                <c:pt idx="420">
                  <c:v>6</c:v>
                </c:pt>
                <c:pt idx="421">
                  <c:v>5</c:v>
                </c:pt>
                <c:pt idx="422">
                  <c:v>6</c:v>
                </c:pt>
                <c:pt idx="423">
                  <c:v>10</c:v>
                </c:pt>
                <c:pt idx="424">
                  <c:v>8</c:v>
                </c:pt>
                <c:pt idx="425">
                  <c:v>6</c:v>
                </c:pt>
                <c:pt idx="426">
                  <c:v>12</c:v>
                </c:pt>
                <c:pt idx="427">
                  <c:v>7</c:v>
                </c:pt>
                <c:pt idx="428">
                  <c:v>9</c:v>
                </c:pt>
                <c:pt idx="429">
                  <c:v>4</c:v>
                </c:pt>
                <c:pt idx="430">
                  <c:v>4</c:v>
                </c:pt>
                <c:pt idx="431">
                  <c:v>10</c:v>
                </c:pt>
                <c:pt idx="432">
                  <c:v>9</c:v>
                </c:pt>
                <c:pt idx="433">
                  <c:v>13</c:v>
                </c:pt>
                <c:pt idx="434">
                  <c:v>9</c:v>
                </c:pt>
                <c:pt idx="435">
                  <c:v>11</c:v>
                </c:pt>
                <c:pt idx="436">
                  <c:v>4</c:v>
                </c:pt>
                <c:pt idx="437">
                  <c:v>11</c:v>
                </c:pt>
                <c:pt idx="438">
                  <c:v>9</c:v>
                </c:pt>
                <c:pt idx="439">
                  <c:v>6</c:v>
                </c:pt>
                <c:pt idx="440">
                  <c:v>9</c:v>
                </c:pt>
                <c:pt idx="441">
                  <c:v>12</c:v>
                </c:pt>
                <c:pt idx="442">
                  <c:v>6</c:v>
                </c:pt>
                <c:pt idx="443">
                  <c:v>9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7</c:v>
                </c:pt>
                <c:pt idx="448">
                  <c:v>12</c:v>
                </c:pt>
                <c:pt idx="449">
                  <c:v>9</c:v>
                </c:pt>
                <c:pt idx="450">
                  <c:v>4</c:v>
                </c:pt>
                <c:pt idx="451">
                  <c:v>10</c:v>
                </c:pt>
                <c:pt idx="452">
                  <c:v>6</c:v>
                </c:pt>
                <c:pt idx="453">
                  <c:v>6</c:v>
                </c:pt>
                <c:pt idx="454">
                  <c:v>7</c:v>
                </c:pt>
                <c:pt idx="455">
                  <c:v>14</c:v>
                </c:pt>
                <c:pt idx="456">
                  <c:v>12</c:v>
                </c:pt>
                <c:pt idx="457">
                  <c:v>7</c:v>
                </c:pt>
                <c:pt idx="458">
                  <c:v>8</c:v>
                </c:pt>
                <c:pt idx="459">
                  <c:v>12</c:v>
                </c:pt>
                <c:pt idx="460">
                  <c:v>8</c:v>
                </c:pt>
                <c:pt idx="461">
                  <c:v>8</c:v>
                </c:pt>
                <c:pt idx="462">
                  <c:v>9</c:v>
                </c:pt>
                <c:pt idx="463">
                  <c:v>6</c:v>
                </c:pt>
                <c:pt idx="464">
                  <c:v>5</c:v>
                </c:pt>
                <c:pt idx="465">
                  <c:v>14</c:v>
                </c:pt>
                <c:pt idx="466">
                  <c:v>5</c:v>
                </c:pt>
                <c:pt idx="467">
                  <c:v>8</c:v>
                </c:pt>
                <c:pt idx="468">
                  <c:v>6</c:v>
                </c:pt>
                <c:pt idx="469">
                  <c:v>12</c:v>
                </c:pt>
                <c:pt idx="470">
                  <c:v>10</c:v>
                </c:pt>
                <c:pt idx="471">
                  <c:v>7</c:v>
                </c:pt>
                <c:pt idx="472">
                  <c:v>10</c:v>
                </c:pt>
                <c:pt idx="473">
                  <c:v>8</c:v>
                </c:pt>
                <c:pt idx="474">
                  <c:v>8</c:v>
                </c:pt>
                <c:pt idx="475">
                  <c:v>6</c:v>
                </c:pt>
                <c:pt idx="476">
                  <c:v>5</c:v>
                </c:pt>
                <c:pt idx="477">
                  <c:v>6</c:v>
                </c:pt>
                <c:pt idx="478">
                  <c:v>10</c:v>
                </c:pt>
                <c:pt idx="479">
                  <c:v>3</c:v>
                </c:pt>
                <c:pt idx="480">
                  <c:v>13</c:v>
                </c:pt>
                <c:pt idx="481">
                  <c:v>8</c:v>
                </c:pt>
                <c:pt idx="482">
                  <c:v>6</c:v>
                </c:pt>
                <c:pt idx="483">
                  <c:v>10</c:v>
                </c:pt>
                <c:pt idx="484">
                  <c:v>7</c:v>
                </c:pt>
                <c:pt idx="485">
                  <c:v>6</c:v>
                </c:pt>
                <c:pt idx="486">
                  <c:v>11</c:v>
                </c:pt>
                <c:pt idx="487">
                  <c:v>9</c:v>
                </c:pt>
                <c:pt idx="488">
                  <c:v>8</c:v>
                </c:pt>
                <c:pt idx="489">
                  <c:v>9</c:v>
                </c:pt>
                <c:pt idx="490">
                  <c:v>4</c:v>
                </c:pt>
                <c:pt idx="491">
                  <c:v>10</c:v>
                </c:pt>
                <c:pt idx="492">
                  <c:v>8</c:v>
                </c:pt>
                <c:pt idx="493">
                  <c:v>4</c:v>
                </c:pt>
                <c:pt idx="494">
                  <c:v>4</c:v>
                </c:pt>
                <c:pt idx="495">
                  <c:v>7</c:v>
                </c:pt>
                <c:pt idx="496">
                  <c:v>9</c:v>
                </c:pt>
                <c:pt idx="497">
                  <c:v>8</c:v>
                </c:pt>
                <c:pt idx="498">
                  <c:v>7</c:v>
                </c:pt>
                <c:pt idx="499">
                  <c:v>7</c:v>
                </c:pt>
                <c:pt idx="500">
                  <c:v>9</c:v>
                </c:pt>
                <c:pt idx="501">
                  <c:v>8</c:v>
                </c:pt>
                <c:pt idx="502">
                  <c:v>4</c:v>
                </c:pt>
                <c:pt idx="503">
                  <c:v>9</c:v>
                </c:pt>
                <c:pt idx="504">
                  <c:v>12</c:v>
                </c:pt>
                <c:pt idx="505">
                  <c:v>9</c:v>
                </c:pt>
                <c:pt idx="506">
                  <c:v>6</c:v>
                </c:pt>
                <c:pt idx="507">
                  <c:v>4</c:v>
                </c:pt>
                <c:pt idx="508">
                  <c:v>10</c:v>
                </c:pt>
                <c:pt idx="509">
                  <c:v>9</c:v>
                </c:pt>
                <c:pt idx="510">
                  <c:v>9</c:v>
                </c:pt>
                <c:pt idx="511">
                  <c:v>12</c:v>
                </c:pt>
                <c:pt idx="512">
                  <c:v>10</c:v>
                </c:pt>
                <c:pt idx="513">
                  <c:v>5</c:v>
                </c:pt>
                <c:pt idx="514">
                  <c:v>11</c:v>
                </c:pt>
                <c:pt idx="515">
                  <c:v>12</c:v>
                </c:pt>
                <c:pt idx="516">
                  <c:v>7</c:v>
                </c:pt>
                <c:pt idx="517">
                  <c:v>8</c:v>
                </c:pt>
                <c:pt idx="518">
                  <c:v>10</c:v>
                </c:pt>
                <c:pt idx="519">
                  <c:v>8</c:v>
                </c:pt>
                <c:pt idx="520">
                  <c:v>4</c:v>
                </c:pt>
                <c:pt idx="521">
                  <c:v>9</c:v>
                </c:pt>
                <c:pt idx="522">
                  <c:v>11</c:v>
                </c:pt>
                <c:pt idx="523">
                  <c:v>4</c:v>
                </c:pt>
                <c:pt idx="524">
                  <c:v>6</c:v>
                </c:pt>
                <c:pt idx="525">
                  <c:v>9</c:v>
                </c:pt>
                <c:pt idx="526">
                  <c:v>10</c:v>
                </c:pt>
                <c:pt idx="527">
                  <c:v>5</c:v>
                </c:pt>
                <c:pt idx="528">
                  <c:v>10</c:v>
                </c:pt>
                <c:pt idx="529">
                  <c:v>11</c:v>
                </c:pt>
                <c:pt idx="530">
                  <c:v>11</c:v>
                </c:pt>
                <c:pt idx="531">
                  <c:v>6</c:v>
                </c:pt>
                <c:pt idx="532">
                  <c:v>7</c:v>
                </c:pt>
                <c:pt idx="533">
                  <c:v>6</c:v>
                </c:pt>
                <c:pt idx="534">
                  <c:v>6</c:v>
                </c:pt>
                <c:pt idx="535">
                  <c:v>9</c:v>
                </c:pt>
                <c:pt idx="536">
                  <c:v>7</c:v>
                </c:pt>
                <c:pt idx="537">
                  <c:v>9</c:v>
                </c:pt>
                <c:pt idx="538">
                  <c:v>4</c:v>
                </c:pt>
                <c:pt idx="539">
                  <c:v>7</c:v>
                </c:pt>
                <c:pt idx="540">
                  <c:v>8</c:v>
                </c:pt>
                <c:pt idx="541">
                  <c:v>8</c:v>
                </c:pt>
                <c:pt idx="542">
                  <c:v>7</c:v>
                </c:pt>
                <c:pt idx="543">
                  <c:v>6</c:v>
                </c:pt>
                <c:pt idx="544">
                  <c:v>6</c:v>
                </c:pt>
                <c:pt idx="545">
                  <c:v>14</c:v>
                </c:pt>
                <c:pt idx="546">
                  <c:v>7</c:v>
                </c:pt>
                <c:pt idx="547">
                  <c:v>11</c:v>
                </c:pt>
                <c:pt idx="548">
                  <c:v>9</c:v>
                </c:pt>
                <c:pt idx="549">
                  <c:v>11</c:v>
                </c:pt>
                <c:pt idx="550">
                  <c:v>11</c:v>
                </c:pt>
                <c:pt idx="551">
                  <c:v>8</c:v>
                </c:pt>
                <c:pt idx="552">
                  <c:v>6</c:v>
                </c:pt>
                <c:pt idx="553">
                  <c:v>6</c:v>
                </c:pt>
                <c:pt idx="554">
                  <c:v>7</c:v>
                </c:pt>
                <c:pt idx="555">
                  <c:v>10</c:v>
                </c:pt>
                <c:pt idx="556">
                  <c:v>9</c:v>
                </c:pt>
                <c:pt idx="557">
                  <c:v>8</c:v>
                </c:pt>
                <c:pt idx="558">
                  <c:v>9</c:v>
                </c:pt>
                <c:pt idx="559">
                  <c:v>9</c:v>
                </c:pt>
                <c:pt idx="560">
                  <c:v>9</c:v>
                </c:pt>
                <c:pt idx="561">
                  <c:v>12</c:v>
                </c:pt>
                <c:pt idx="562">
                  <c:v>3</c:v>
                </c:pt>
                <c:pt idx="563">
                  <c:v>9</c:v>
                </c:pt>
                <c:pt idx="564">
                  <c:v>7</c:v>
                </c:pt>
                <c:pt idx="565">
                  <c:v>13</c:v>
                </c:pt>
                <c:pt idx="566">
                  <c:v>9</c:v>
                </c:pt>
                <c:pt idx="567">
                  <c:v>5</c:v>
                </c:pt>
                <c:pt idx="568">
                  <c:v>11</c:v>
                </c:pt>
                <c:pt idx="569">
                  <c:v>4</c:v>
                </c:pt>
                <c:pt idx="570">
                  <c:v>5</c:v>
                </c:pt>
                <c:pt idx="571">
                  <c:v>9</c:v>
                </c:pt>
                <c:pt idx="572">
                  <c:v>5</c:v>
                </c:pt>
                <c:pt idx="573">
                  <c:v>6</c:v>
                </c:pt>
                <c:pt idx="574">
                  <c:v>5</c:v>
                </c:pt>
                <c:pt idx="575">
                  <c:v>11</c:v>
                </c:pt>
                <c:pt idx="576">
                  <c:v>7</c:v>
                </c:pt>
                <c:pt idx="577">
                  <c:v>9</c:v>
                </c:pt>
                <c:pt idx="578">
                  <c:v>4</c:v>
                </c:pt>
                <c:pt idx="579">
                  <c:v>10</c:v>
                </c:pt>
                <c:pt idx="580">
                  <c:v>12</c:v>
                </c:pt>
                <c:pt idx="581">
                  <c:v>8</c:v>
                </c:pt>
                <c:pt idx="582">
                  <c:v>10</c:v>
                </c:pt>
                <c:pt idx="583">
                  <c:v>6</c:v>
                </c:pt>
                <c:pt idx="584">
                  <c:v>6</c:v>
                </c:pt>
                <c:pt idx="585">
                  <c:v>10</c:v>
                </c:pt>
                <c:pt idx="586">
                  <c:v>9</c:v>
                </c:pt>
                <c:pt idx="587">
                  <c:v>7</c:v>
                </c:pt>
                <c:pt idx="588">
                  <c:v>7</c:v>
                </c:pt>
                <c:pt idx="589">
                  <c:v>3</c:v>
                </c:pt>
                <c:pt idx="590">
                  <c:v>9</c:v>
                </c:pt>
                <c:pt idx="591">
                  <c:v>9</c:v>
                </c:pt>
                <c:pt idx="592">
                  <c:v>9</c:v>
                </c:pt>
                <c:pt idx="593">
                  <c:v>13</c:v>
                </c:pt>
                <c:pt idx="594">
                  <c:v>3</c:v>
                </c:pt>
                <c:pt idx="595">
                  <c:v>8</c:v>
                </c:pt>
                <c:pt idx="596">
                  <c:v>11</c:v>
                </c:pt>
                <c:pt idx="597">
                  <c:v>9</c:v>
                </c:pt>
                <c:pt idx="598">
                  <c:v>7</c:v>
                </c:pt>
                <c:pt idx="599">
                  <c:v>8</c:v>
                </c:pt>
                <c:pt idx="600">
                  <c:v>9</c:v>
                </c:pt>
                <c:pt idx="601">
                  <c:v>8</c:v>
                </c:pt>
                <c:pt idx="602">
                  <c:v>7</c:v>
                </c:pt>
                <c:pt idx="603">
                  <c:v>4</c:v>
                </c:pt>
                <c:pt idx="604">
                  <c:v>8</c:v>
                </c:pt>
                <c:pt idx="605">
                  <c:v>6</c:v>
                </c:pt>
                <c:pt idx="606">
                  <c:v>7</c:v>
                </c:pt>
                <c:pt idx="607">
                  <c:v>8</c:v>
                </c:pt>
                <c:pt idx="608">
                  <c:v>4</c:v>
                </c:pt>
                <c:pt idx="609">
                  <c:v>12</c:v>
                </c:pt>
                <c:pt idx="610">
                  <c:v>8</c:v>
                </c:pt>
                <c:pt idx="611">
                  <c:v>7</c:v>
                </c:pt>
                <c:pt idx="612">
                  <c:v>9</c:v>
                </c:pt>
                <c:pt idx="613">
                  <c:v>1</c:v>
                </c:pt>
                <c:pt idx="614">
                  <c:v>7</c:v>
                </c:pt>
                <c:pt idx="615">
                  <c:v>9</c:v>
                </c:pt>
                <c:pt idx="616">
                  <c:v>11</c:v>
                </c:pt>
                <c:pt idx="617">
                  <c:v>7</c:v>
                </c:pt>
                <c:pt idx="618">
                  <c:v>10</c:v>
                </c:pt>
                <c:pt idx="619">
                  <c:v>6</c:v>
                </c:pt>
                <c:pt idx="620">
                  <c:v>7</c:v>
                </c:pt>
                <c:pt idx="621">
                  <c:v>5</c:v>
                </c:pt>
                <c:pt idx="622">
                  <c:v>4</c:v>
                </c:pt>
                <c:pt idx="623">
                  <c:v>4</c:v>
                </c:pt>
                <c:pt idx="624">
                  <c:v>9</c:v>
                </c:pt>
                <c:pt idx="625">
                  <c:v>7</c:v>
                </c:pt>
                <c:pt idx="626">
                  <c:v>11</c:v>
                </c:pt>
                <c:pt idx="627">
                  <c:v>10</c:v>
                </c:pt>
                <c:pt idx="628">
                  <c:v>8</c:v>
                </c:pt>
                <c:pt idx="629">
                  <c:v>8</c:v>
                </c:pt>
                <c:pt idx="630">
                  <c:v>10</c:v>
                </c:pt>
                <c:pt idx="631">
                  <c:v>7</c:v>
                </c:pt>
                <c:pt idx="632">
                  <c:v>7</c:v>
                </c:pt>
                <c:pt idx="633">
                  <c:v>11</c:v>
                </c:pt>
                <c:pt idx="634">
                  <c:v>10</c:v>
                </c:pt>
                <c:pt idx="635">
                  <c:v>9</c:v>
                </c:pt>
                <c:pt idx="636">
                  <c:v>6</c:v>
                </c:pt>
                <c:pt idx="637">
                  <c:v>7</c:v>
                </c:pt>
                <c:pt idx="638">
                  <c:v>6</c:v>
                </c:pt>
                <c:pt idx="639">
                  <c:v>7</c:v>
                </c:pt>
                <c:pt idx="640">
                  <c:v>6</c:v>
                </c:pt>
                <c:pt idx="641">
                  <c:v>6</c:v>
                </c:pt>
                <c:pt idx="642">
                  <c:v>7</c:v>
                </c:pt>
                <c:pt idx="643">
                  <c:v>7</c:v>
                </c:pt>
                <c:pt idx="644">
                  <c:v>12</c:v>
                </c:pt>
                <c:pt idx="645">
                  <c:v>12</c:v>
                </c:pt>
                <c:pt idx="646">
                  <c:v>6</c:v>
                </c:pt>
                <c:pt idx="647">
                  <c:v>8</c:v>
                </c:pt>
                <c:pt idx="648">
                  <c:v>4</c:v>
                </c:pt>
                <c:pt idx="649">
                  <c:v>8</c:v>
                </c:pt>
                <c:pt idx="650">
                  <c:v>7</c:v>
                </c:pt>
                <c:pt idx="651">
                  <c:v>8</c:v>
                </c:pt>
                <c:pt idx="652">
                  <c:v>4</c:v>
                </c:pt>
                <c:pt idx="653">
                  <c:v>5</c:v>
                </c:pt>
                <c:pt idx="654">
                  <c:v>10</c:v>
                </c:pt>
                <c:pt idx="655">
                  <c:v>11</c:v>
                </c:pt>
                <c:pt idx="656">
                  <c:v>6</c:v>
                </c:pt>
                <c:pt idx="657">
                  <c:v>10</c:v>
                </c:pt>
                <c:pt idx="658">
                  <c:v>8</c:v>
                </c:pt>
                <c:pt idx="659">
                  <c:v>7</c:v>
                </c:pt>
                <c:pt idx="660">
                  <c:v>6</c:v>
                </c:pt>
                <c:pt idx="661">
                  <c:v>7</c:v>
                </c:pt>
                <c:pt idx="662">
                  <c:v>8</c:v>
                </c:pt>
                <c:pt idx="663">
                  <c:v>10</c:v>
                </c:pt>
                <c:pt idx="664">
                  <c:v>3</c:v>
                </c:pt>
                <c:pt idx="665">
                  <c:v>4</c:v>
                </c:pt>
                <c:pt idx="666">
                  <c:v>9</c:v>
                </c:pt>
                <c:pt idx="667">
                  <c:v>8</c:v>
                </c:pt>
                <c:pt idx="668">
                  <c:v>10</c:v>
                </c:pt>
                <c:pt idx="669">
                  <c:v>11</c:v>
                </c:pt>
                <c:pt idx="670">
                  <c:v>5</c:v>
                </c:pt>
                <c:pt idx="671">
                  <c:v>5</c:v>
                </c:pt>
                <c:pt idx="672">
                  <c:v>10</c:v>
                </c:pt>
                <c:pt idx="673">
                  <c:v>11</c:v>
                </c:pt>
                <c:pt idx="674">
                  <c:v>8</c:v>
                </c:pt>
                <c:pt idx="675">
                  <c:v>11</c:v>
                </c:pt>
                <c:pt idx="676">
                  <c:v>7</c:v>
                </c:pt>
                <c:pt idx="677">
                  <c:v>6</c:v>
                </c:pt>
                <c:pt idx="678">
                  <c:v>4</c:v>
                </c:pt>
                <c:pt idx="679">
                  <c:v>6</c:v>
                </c:pt>
                <c:pt idx="680">
                  <c:v>7</c:v>
                </c:pt>
                <c:pt idx="681">
                  <c:v>9</c:v>
                </c:pt>
                <c:pt idx="682">
                  <c:v>7</c:v>
                </c:pt>
                <c:pt idx="683">
                  <c:v>5</c:v>
                </c:pt>
                <c:pt idx="684">
                  <c:v>6</c:v>
                </c:pt>
                <c:pt idx="685">
                  <c:v>2</c:v>
                </c:pt>
                <c:pt idx="686">
                  <c:v>4</c:v>
                </c:pt>
                <c:pt idx="687">
                  <c:v>4</c:v>
                </c:pt>
                <c:pt idx="688">
                  <c:v>10</c:v>
                </c:pt>
                <c:pt idx="689">
                  <c:v>5</c:v>
                </c:pt>
                <c:pt idx="690">
                  <c:v>11</c:v>
                </c:pt>
                <c:pt idx="691">
                  <c:v>6</c:v>
                </c:pt>
                <c:pt idx="692">
                  <c:v>3</c:v>
                </c:pt>
                <c:pt idx="693">
                  <c:v>5</c:v>
                </c:pt>
                <c:pt idx="694">
                  <c:v>6</c:v>
                </c:pt>
                <c:pt idx="695">
                  <c:v>11</c:v>
                </c:pt>
                <c:pt idx="696">
                  <c:v>5</c:v>
                </c:pt>
                <c:pt idx="697">
                  <c:v>6</c:v>
                </c:pt>
                <c:pt idx="698">
                  <c:v>9</c:v>
                </c:pt>
                <c:pt idx="699">
                  <c:v>9</c:v>
                </c:pt>
                <c:pt idx="700">
                  <c:v>8</c:v>
                </c:pt>
                <c:pt idx="701">
                  <c:v>2</c:v>
                </c:pt>
                <c:pt idx="702">
                  <c:v>11</c:v>
                </c:pt>
                <c:pt idx="703">
                  <c:v>10</c:v>
                </c:pt>
                <c:pt idx="704">
                  <c:v>9</c:v>
                </c:pt>
                <c:pt idx="705">
                  <c:v>8</c:v>
                </c:pt>
                <c:pt idx="706">
                  <c:v>11</c:v>
                </c:pt>
                <c:pt idx="707">
                  <c:v>8</c:v>
                </c:pt>
                <c:pt idx="708">
                  <c:v>4</c:v>
                </c:pt>
                <c:pt idx="709">
                  <c:v>11</c:v>
                </c:pt>
                <c:pt idx="710">
                  <c:v>11</c:v>
                </c:pt>
                <c:pt idx="711">
                  <c:v>7</c:v>
                </c:pt>
                <c:pt idx="712">
                  <c:v>11</c:v>
                </c:pt>
                <c:pt idx="713">
                  <c:v>11</c:v>
                </c:pt>
                <c:pt idx="714">
                  <c:v>5</c:v>
                </c:pt>
                <c:pt idx="715">
                  <c:v>10</c:v>
                </c:pt>
                <c:pt idx="716">
                  <c:v>6</c:v>
                </c:pt>
                <c:pt idx="717">
                  <c:v>9</c:v>
                </c:pt>
                <c:pt idx="718">
                  <c:v>7</c:v>
                </c:pt>
                <c:pt idx="719">
                  <c:v>5</c:v>
                </c:pt>
                <c:pt idx="720">
                  <c:v>9</c:v>
                </c:pt>
                <c:pt idx="721">
                  <c:v>7</c:v>
                </c:pt>
                <c:pt idx="722">
                  <c:v>5</c:v>
                </c:pt>
                <c:pt idx="723">
                  <c:v>8</c:v>
                </c:pt>
                <c:pt idx="724">
                  <c:v>10</c:v>
                </c:pt>
                <c:pt idx="725">
                  <c:v>5</c:v>
                </c:pt>
                <c:pt idx="726">
                  <c:v>7</c:v>
                </c:pt>
                <c:pt idx="727">
                  <c:v>7</c:v>
                </c:pt>
                <c:pt idx="728">
                  <c:v>8</c:v>
                </c:pt>
                <c:pt idx="729">
                  <c:v>7</c:v>
                </c:pt>
                <c:pt idx="730">
                  <c:v>4</c:v>
                </c:pt>
                <c:pt idx="731">
                  <c:v>6</c:v>
                </c:pt>
                <c:pt idx="732">
                  <c:v>7</c:v>
                </c:pt>
                <c:pt idx="733">
                  <c:v>15</c:v>
                </c:pt>
                <c:pt idx="734">
                  <c:v>6</c:v>
                </c:pt>
                <c:pt idx="735">
                  <c:v>5</c:v>
                </c:pt>
                <c:pt idx="736">
                  <c:v>8</c:v>
                </c:pt>
                <c:pt idx="737">
                  <c:v>8</c:v>
                </c:pt>
                <c:pt idx="738">
                  <c:v>7</c:v>
                </c:pt>
                <c:pt idx="739">
                  <c:v>10</c:v>
                </c:pt>
                <c:pt idx="740">
                  <c:v>6</c:v>
                </c:pt>
                <c:pt idx="741">
                  <c:v>5</c:v>
                </c:pt>
                <c:pt idx="742">
                  <c:v>6</c:v>
                </c:pt>
                <c:pt idx="743">
                  <c:v>4</c:v>
                </c:pt>
                <c:pt idx="744">
                  <c:v>8</c:v>
                </c:pt>
                <c:pt idx="745">
                  <c:v>11</c:v>
                </c:pt>
                <c:pt idx="746">
                  <c:v>4</c:v>
                </c:pt>
                <c:pt idx="747">
                  <c:v>4</c:v>
                </c:pt>
                <c:pt idx="748">
                  <c:v>8</c:v>
                </c:pt>
                <c:pt idx="749">
                  <c:v>8</c:v>
                </c:pt>
                <c:pt idx="750">
                  <c:v>11</c:v>
                </c:pt>
                <c:pt idx="751">
                  <c:v>8</c:v>
                </c:pt>
                <c:pt idx="752">
                  <c:v>12</c:v>
                </c:pt>
                <c:pt idx="753">
                  <c:v>7</c:v>
                </c:pt>
                <c:pt idx="754">
                  <c:v>12</c:v>
                </c:pt>
                <c:pt idx="755">
                  <c:v>5</c:v>
                </c:pt>
                <c:pt idx="756">
                  <c:v>9</c:v>
                </c:pt>
                <c:pt idx="757">
                  <c:v>11</c:v>
                </c:pt>
                <c:pt idx="758">
                  <c:v>10</c:v>
                </c:pt>
                <c:pt idx="759">
                  <c:v>7</c:v>
                </c:pt>
                <c:pt idx="760">
                  <c:v>11</c:v>
                </c:pt>
                <c:pt idx="761">
                  <c:v>7</c:v>
                </c:pt>
                <c:pt idx="762">
                  <c:v>8</c:v>
                </c:pt>
                <c:pt idx="763">
                  <c:v>5</c:v>
                </c:pt>
                <c:pt idx="764">
                  <c:v>4</c:v>
                </c:pt>
                <c:pt idx="765">
                  <c:v>5</c:v>
                </c:pt>
                <c:pt idx="766">
                  <c:v>9</c:v>
                </c:pt>
                <c:pt idx="767">
                  <c:v>11</c:v>
                </c:pt>
                <c:pt idx="768">
                  <c:v>9</c:v>
                </c:pt>
                <c:pt idx="769">
                  <c:v>7</c:v>
                </c:pt>
                <c:pt idx="770">
                  <c:v>6</c:v>
                </c:pt>
                <c:pt idx="771">
                  <c:v>7</c:v>
                </c:pt>
                <c:pt idx="772">
                  <c:v>6</c:v>
                </c:pt>
                <c:pt idx="773">
                  <c:v>9</c:v>
                </c:pt>
                <c:pt idx="774">
                  <c:v>7</c:v>
                </c:pt>
                <c:pt idx="775">
                  <c:v>6</c:v>
                </c:pt>
                <c:pt idx="776">
                  <c:v>6</c:v>
                </c:pt>
                <c:pt idx="777">
                  <c:v>9</c:v>
                </c:pt>
                <c:pt idx="778">
                  <c:v>8</c:v>
                </c:pt>
                <c:pt idx="779">
                  <c:v>6</c:v>
                </c:pt>
                <c:pt idx="780">
                  <c:v>5</c:v>
                </c:pt>
                <c:pt idx="781">
                  <c:v>5</c:v>
                </c:pt>
                <c:pt idx="782">
                  <c:v>6</c:v>
                </c:pt>
                <c:pt idx="783">
                  <c:v>5</c:v>
                </c:pt>
                <c:pt idx="784">
                  <c:v>8</c:v>
                </c:pt>
                <c:pt idx="785">
                  <c:v>15</c:v>
                </c:pt>
                <c:pt idx="786">
                  <c:v>8</c:v>
                </c:pt>
                <c:pt idx="787">
                  <c:v>8</c:v>
                </c:pt>
                <c:pt idx="788">
                  <c:v>12</c:v>
                </c:pt>
                <c:pt idx="789">
                  <c:v>9</c:v>
                </c:pt>
                <c:pt idx="790">
                  <c:v>6</c:v>
                </c:pt>
                <c:pt idx="791">
                  <c:v>9</c:v>
                </c:pt>
                <c:pt idx="792">
                  <c:v>9</c:v>
                </c:pt>
                <c:pt idx="793">
                  <c:v>9</c:v>
                </c:pt>
                <c:pt idx="794">
                  <c:v>9</c:v>
                </c:pt>
                <c:pt idx="795">
                  <c:v>8</c:v>
                </c:pt>
                <c:pt idx="796">
                  <c:v>10</c:v>
                </c:pt>
                <c:pt idx="797">
                  <c:v>9</c:v>
                </c:pt>
                <c:pt idx="798">
                  <c:v>11</c:v>
                </c:pt>
                <c:pt idx="799">
                  <c:v>9</c:v>
                </c:pt>
                <c:pt idx="800">
                  <c:v>7</c:v>
                </c:pt>
                <c:pt idx="801">
                  <c:v>16</c:v>
                </c:pt>
                <c:pt idx="802">
                  <c:v>10</c:v>
                </c:pt>
                <c:pt idx="803">
                  <c:v>8</c:v>
                </c:pt>
                <c:pt idx="804">
                  <c:v>13</c:v>
                </c:pt>
                <c:pt idx="805">
                  <c:v>3</c:v>
                </c:pt>
                <c:pt idx="806">
                  <c:v>4</c:v>
                </c:pt>
                <c:pt idx="807">
                  <c:v>2</c:v>
                </c:pt>
                <c:pt idx="808">
                  <c:v>12</c:v>
                </c:pt>
                <c:pt idx="809">
                  <c:v>8</c:v>
                </c:pt>
                <c:pt idx="810">
                  <c:v>8</c:v>
                </c:pt>
                <c:pt idx="811">
                  <c:v>11</c:v>
                </c:pt>
                <c:pt idx="812">
                  <c:v>6</c:v>
                </c:pt>
                <c:pt idx="813">
                  <c:v>6</c:v>
                </c:pt>
                <c:pt idx="814">
                  <c:v>7</c:v>
                </c:pt>
                <c:pt idx="815">
                  <c:v>11</c:v>
                </c:pt>
                <c:pt idx="816">
                  <c:v>11</c:v>
                </c:pt>
                <c:pt idx="817">
                  <c:v>8</c:v>
                </c:pt>
                <c:pt idx="818">
                  <c:v>10</c:v>
                </c:pt>
                <c:pt idx="819">
                  <c:v>11</c:v>
                </c:pt>
                <c:pt idx="820">
                  <c:v>7</c:v>
                </c:pt>
                <c:pt idx="821">
                  <c:v>12</c:v>
                </c:pt>
                <c:pt idx="822">
                  <c:v>5</c:v>
                </c:pt>
                <c:pt idx="823">
                  <c:v>11</c:v>
                </c:pt>
                <c:pt idx="824">
                  <c:v>6</c:v>
                </c:pt>
                <c:pt idx="825">
                  <c:v>7</c:v>
                </c:pt>
                <c:pt idx="826">
                  <c:v>14</c:v>
                </c:pt>
                <c:pt idx="827">
                  <c:v>4</c:v>
                </c:pt>
                <c:pt idx="828">
                  <c:v>4</c:v>
                </c:pt>
                <c:pt idx="829">
                  <c:v>9</c:v>
                </c:pt>
                <c:pt idx="830">
                  <c:v>15</c:v>
                </c:pt>
                <c:pt idx="831">
                  <c:v>5</c:v>
                </c:pt>
                <c:pt idx="832">
                  <c:v>6</c:v>
                </c:pt>
                <c:pt idx="833">
                  <c:v>9</c:v>
                </c:pt>
                <c:pt idx="834">
                  <c:v>8</c:v>
                </c:pt>
                <c:pt idx="835">
                  <c:v>8</c:v>
                </c:pt>
                <c:pt idx="836">
                  <c:v>7</c:v>
                </c:pt>
                <c:pt idx="837">
                  <c:v>4</c:v>
                </c:pt>
                <c:pt idx="838">
                  <c:v>11</c:v>
                </c:pt>
                <c:pt idx="839">
                  <c:v>8</c:v>
                </c:pt>
                <c:pt idx="840">
                  <c:v>6</c:v>
                </c:pt>
                <c:pt idx="841">
                  <c:v>8</c:v>
                </c:pt>
                <c:pt idx="842">
                  <c:v>4</c:v>
                </c:pt>
                <c:pt idx="843">
                  <c:v>13</c:v>
                </c:pt>
                <c:pt idx="844">
                  <c:v>8</c:v>
                </c:pt>
                <c:pt idx="845">
                  <c:v>5</c:v>
                </c:pt>
                <c:pt idx="846">
                  <c:v>8</c:v>
                </c:pt>
                <c:pt idx="847">
                  <c:v>9</c:v>
                </c:pt>
                <c:pt idx="848">
                  <c:v>7</c:v>
                </c:pt>
                <c:pt idx="849">
                  <c:v>5</c:v>
                </c:pt>
                <c:pt idx="850">
                  <c:v>11</c:v>
                </c:pt>
                <c:pt idx="851">
                  <c:v>8</c:v>
                </c:pt>
                <c:pt idx="852">
                  <c:v>7</c:v>
                </c:pt>
                <c:pt idx="853">
                  <c:v>10</c:v>
                </c:pt>
                <c:pt idx="854">
                  <c:v>8</c:v>
                </c:pt>
                <c:pt idx="855">
                  <c:v>6</c:v>
                </c:pt>
                <c:pt idx="856">
                  <c:v>7</c:v>
                </c:pt>
                <c:pt idx="857">
                  <c:v>10</c:v>
                </c:pt>
                <c:pt idx="858">
                  <c:v>8</c:v>
                </c:pt>
                <c:pt idx="859">
                  <c:v>6</c:v>
                </c:pt>
                <c:pt idx="860">
                  <c:v>14</c:v>
                </c:pt>
                <c:pt idx="861">
                  <c:v>12</c:v>
                </c:pt>
                <c:pt idx="862">
                  <c:v>13</c:v>
                </c:pt>
                <c:pt idx="863">
                  <c:v>9</c:v>
                </c:pt>
                <c:pt idx="864">
                  <c:v>5</c:v>
                </c:pt>
                <c:pt idx="865">
                  <c:v>9</c:v>
                </c:pt>
                <c:pt idx="866">
                  <c:v>8</c:v>
                </c:pt>
                <c:pt idx="867">
                  <c:v>5</c:v>
                </c:pt>
                <c:pt idx="868">
                  <c:v>6</c:v>
                </c:pt>
                <c:pt idx="869">
                  <c:v>11</c:v>
                </c:pt>
                <c:pt idx="870">
                  <c:v>5</c:v>
                </c:pt>
                <c:pt idx="871">
                  <c:v>8</c:v>
                </c:pt>
                <c:pt idx="872">
                  <c:v>11</c:v>
                </c:pt>
                <c:pt idx="873">
                  <c:v>5</c:v>
                </c:pt>
                <c:pt idx="874">
                  <c:v>10</c:v>
                </c:pt>
                <c:pt idx="875">
                  <c:v>10</c:v>
                </c:pt>
                <c:pt idx="876">
                  <c:v>11</c:v>
                </c:pt>
                <c:pt idx="877">
                  <c:v>3</c:v>
                </c:pt>
                <c:pt idx="878">
                  <c:v>10</c:v>
                </c:pt>
                <c:pt idx="879">
                  <c:v>7</c:v>
                </c:pt>
                <c:pt idx="880">
                  <c:v>8</c:v>
                </c:pt>
                <c:pt idx="881">
                  <c:v>12</c:v>
                </c:pt>
                <c:pt idx="882">
                  <c:v>10</c:v>
                </c:pt>
                <c:pt idx="883">
                  <c:v>12</c:v>
                </c:pt>
                <c:pt idx="884">
                  <c:v>4</c:v>
                </c:pt>
                <c:pt idx="885">
                  <c:v>4</c:v>
                </c:pt>
                <c:pt idx="886">
                  <c:v>11</c:v>
                </c:pt>
                <c:pt idx="887">
                  <c:v>10</c:v>
                </c:pt>
                <c:pt idx="888">
                  <c:v>5</c:v>
                </c:pt>
                <c:pt idx="889">
                  <c:v>9</c:v>
                </c:pt>
                <c:pt idx="890">
                  <c:v>8</c:v>
                </c:pt>
                <c:pt idx="891">
                  <c:v>7</c:v>
                </c:pt>
                <c:pt idx="892">
                  <c:v>8</c:v>
                </c:pt>
                <c:pt idx="893">
                  <c:v>6</c:v>
                </c:pt>
                <c:pt idx="894">
                  <c:v>9</c:v>
                </c:pt>
                <c:pt idx="895">
                  <c:v>10</c:v>
                </c:pt>
                <c:pt idx="896">
                  <c:v>9</c:v>
                </c:pt>
                <c:pt idx="897">
                  <c:v>3</c:v>
                </c:pt>
                <c:pt idx="898">
                  <c:v>9</c:v>
                </c:pt>
                <c:pt idx="899">
                  <c:v>10</c:v>
                </c:pt>
                <c:pt idx="900">
                  <c:v>5</c:v>
                </c:pt>
                <c:pt idx="901">
                  <c:v>6</c:v>
                </c:pt>
                <c:pt idx="902">
                  <c:v>9</c:v>
                </c:pt>
                <c:pt idx="903">
                  <c:v>6</c:v>
                </c:pt>
                <c:pt idx="904">
                  <c:v>8</c:v>
                </c:pt>
                <c:pt idx="905">
                  <c:v>10</c:v>
                </c:pt>
                <c:pt idx="906">
                  <c:v>7</c:v>
                </c:pt>
                <c:pt idx="907">
                  <c:v>6</c:v>
                </c:pt>
                <c:pt idx="908">
                  <c:v>12</c:v>
                </c:pt>
                <c:pt idx="909">
                  <c:v>13</c:v>
                </c:pt>
                <c:pt idx="910">
                  <c:v>8</c:v>
                </c:pt>
                <c:pt idx="911">
                  <c:v>9</c:v>
                </c:pt>
                <c:pt idx="912">
                  <c:v>5</c:v>
                </c:pt>
                <c:pt idx="913">
                  <c:v>12</c:v>
                </c:pt>
                <c:pt idx="914">
                  <c:v>10</c:v>
                </c:pt>
                <c:pt idx="915">
                  <c:v>11</c:v>
                </c:pt>
                <c:pt idx="916">
                  <c:v>7</c:v>
                </c:pt>
                <c:pt idx="917">
                  <c:v>3</c:v>
                </c:pt>
                <c:pt idx="918">
                  <c:v>4</c:v>
                </c:pt>
                <c:pt idx="919">
                  <c:v>8</c:v>
                </c:pt>
                <c:pt idx="920">
                  <c:v>11</c:v>
                </c:pt>
                <c:pt idx="921">
                  <c:v>6</c:v>
                </c:pt>
                <c:pt idx="922">
                  <c:v>12</c:v>
                </c:pt>
                <c:pt idx="923">
                  <c:v>6</c:v>
                </c:pt>
                <c:pt idx="924">
                  <c:v>15</c:v>
                </c:pt>
                <c:pt idx="925">
                  <c:v>8</c:v>
                </c:pt>
                <c:pt idx="926">
                  <c:v>8</c:v>
                </c:pt>
                <c:pt idx="927">
                  <c:v>11</c:v>
                </c:pt>
                <c:pt idx="928">
                  <c:v>12</c:v>
                </c:pt>
                <c:pt idx="929">
                  <c:v>9</c:v>
                </c:pt>
                <c:pt idx="930">
                  <c:v>9</c:v>
                </c:pt>
                <c:pt idx="931">
                  <c:v>3</c:v>
                </c:pt>
                <c:pt idx="932">
                  <c:v>5</c:v>
                </c:pt>
                <c:pt idx="933">
                  <c:v>8</c:v>
                </c:pt>
                <c:pt idx="934">
                  <c:v>9</c:v>
                </c:pt>
                <c:pt idx="935">
                  <c:v>8</c:v>
                </c:pt>
                <c:pt idx="936">
                  <c:v>4</c:v>
                </c:pt>
                <c:pt idx="937">
                  <c:v>10</c:v>
                </c:pt>
                <c:pt idx="938">
                  <c:v>6</c:v>
                </c:pt>
                <c:pt idx="939">
                  <c:v>7</c:v>
                </c:pt>
                <c:pt idx="940">
                  <c:v>8</c:v>
                </c:pt>
                <c:pt idx="941">
                  <c:v>7</c:v>
                </c:pt>
                <c:pt idx="942">
                  <c:v>9</c:v>
                </c:pt>
                <c:pt idx="943">
                  <c:v>7</c:v>
                </c:pt>
                <c:pt idx="944">
                  <c:v>7</c:v>
                </c:pt>
                <c:pt idx="945">
                  <c:v>11</c:v>
                </c:pt>
                <c:pt idx="946">
                  <c:v>5</c:v>
                </c:pt>
                <c:pt idx="947">
                  <c:v>15</c:v>
                </c:pt>
                <c:pt idx="948">
                  <c:v>10</c:v>
                </c:pt>
                <c:pt idx="949">
                  <c:v>6</c:v>
                </c:pt>
                <c:pt idx="950">
                  <c:v>7</c:v>
                </c:pt>
                <c:pt idx="951">
                  <c:v>6</c:v>
                </c:pt>
                <c:pt idx="952">
                  <c:v>3</c:v>
                </c:pt>
                <c:pt idx="953">
                  <c:v>9</c:v>
                </c:pt>
                <c:pt idx="954">
                  <c:v>8</c:v>
                </c:pt>
                <c:pt idx="955">
                  <c:v>11</c:v>
                </c:pt>
                <c:pt idx="956">
                  <c:v>6</c:v>
                </c:pt>
                <c:pt idx="957">
                  <c:v>10</c:v>
                </c:pt>
                <c:pt idx="958">
                  <c:v>12</c:v>
                </c:pt>
                <c:pt idx="959">
                  <c:v>4</c:v>
                </c:pt>
                <c:pt idx="960">
                  <c:v>12</c:v>
                </c:pt>
                <c:pt idx="961">
                  <c:v>16</c:v>
                </c:pt>
                <c:pt idx="962">
                  <c:v>5</c:v>
                </c:pt>
                <c:pt idx="963">
                  <c:v>12</c:v>
                </c:pt>
                <c:pt idx="964">
                  <c:v>4</c:v>
                </c:pt>
                <c:pt idx="965">
                  <c:v>6</c:v>
                </c:pt>
                <c:pt idx="966">
                  <c:v>7</c:v>
                </c:pt>
                <c:pt idx="967">
                  <c:v>13</c:v>
                </c:pt>
                <c:pt idx="968">
                  <c:v>12</c:v>
                </c:pt>
                <c:pt idx="969">
                  <c:v>8</c:v>
                </c:pt>
                <c:pt idx="970">
                  <c:v>6</c:v>
                </c:pt>
                <c:pt idx="971">
                  <c:v>12</c:v>
                </c:pt>
                <c:pt idx="972">
                  <c:v>8</c:v>
                </c:pt>
                <c:pt idx="973">
                  <c:v>7</c:v>
                </c:pt>
                <c:pt idx="974">
                  <c:v>16</c:v>
                </c:pt>
                <c:pt idx="975">
                  <c:v>6</c:v>
                </c:pt>
                <c:pt idx="976">
                  <c:v>10</c:v>
                </c:pt>
                <c:pt idx="977">
                  <c:v>8</c:v>
                </c:pt>
                <c:pt idx="978">
                  <c:v>11</c:v>
                </c:pt>
                <c:pt idx="979">
                  <c:v>8</c:v>
                </c:pt>
                <c:pt idx="980">
                  <c:v>9</c:v>
                </c:pt>
                <c:pt idx="981">
                  <c:v>10</c:v>
                </c:pt>
                <c:pt idx="982">
                  <c:v>7</c:v>
                </c:pt>
                <c:pt idx="983">
                  <c:v>8</c:v>
                </c:pt>
                <c:pt idx="984">
                  <c:v>6</c:v>
                </c:pt>
                <c:pt idx="985">
                  <c:v>12</c:v>
                </c:pt>
                <c:pt idx="986">
                  <c:v>4</c:v>
                </c:pt>
                <c:pt idx="987">
                  <c:v>7</c:v>
                </c:pt>
                <c:pt idx="988">
                  <c:v>7</c:v>
                </c:pt>
                <c:pt idx="989">
                  <c:v>10</c:v>
                </c:pt>
                <c:pt idx="990">
                  <c:v>12</c:v>
                </c:pt>
                <c:pt idx="991">
                  <c:v>8</c:v>
                </c:pt>
                <c:pt idx="992">
                  <c:v>10</c:v>
                </c:pt>
                <c:pt idx="993">
                  <c:v>6</c:v>
                </c:pt>
                <c:pt idx="994">
                  <c:v>11</c:v>
                </c:pt>
                <c:pt idx="995">
                  <c:v>13</c:v>
                </c:pt>
                <c:pt idx="996">
                  <c:v>6</c:v>
                </c:pt>
                <c:pt idx="997">
                  <c:v>7</c:v>
                </c:pt>
                <c:pt idx="998">
                  <c:v>7</c:v>
                </c:pt>
                <c:pt idx="999">
                  <c:v>9</c:v>
                </c:pt>
              </c:numCache>
            </c:numRef>
          </c:xVal>
          <c:yVal>
            <c:numRef>
              <c:f>'Descriptive Stat_Model '!$M$27:$M$1026</c:f>
              <c:numCache>
                <c:formatCode>General</c:formatCode>
                <c:ptCount val="1000"/>
                <c:pt idx="0">
                  <c:v>2.6088457457847154</c:v>
                </c:pt>
                <c:pt idx="1">
                  <c:v>2.6046031559099401</c:v>
                </c:pt>
                <c:pt idx="2">
                  <c:v>3.3554194295153152</c:v>
                </c:pt>
                <c:pt idx="3">
                  <c:v>1.7797699204244188</c:v>
                </c:pt>
                <c:pt idx="4">
                  <c:v>2.3078417796750443</c:v>
                </c:pt>
                <c:pt idx="5">
                  <c:v>3.6755691309901413</c:v>
                </c:pt>
                <c:pt idx="6">
                  <c:v>2.8863466256639727</c:v>
                </c:pt>
                <c:pt idx="7">
                  <c:v>2.7994038540190536</c:v>
                </c:pt>
                <c:pt idx="8">
                  <c:v>4.0438110757882537</c:v>
                </c:pt>
                <c:pt idx="9">
                  <c:v>2.7272319819021695</c:v>
                </c:pt>
                <c:pt idx="10">
                  <c:v>4.1795920198790713</c:v>
                </c:pt>
                <c:pt idx="11">
                  <c:v>2.0520598548871769</c:v>
                </c:pt>
                <c:pt idx="12">
                  <c:v>3.7979204592232758</c:v>
                </c:pt>
                <c:pt idx="13">
                  <c:v>2.4648575983435825</c:v>
                </c:pt>
                <c:pt idx="14">
                  <c:v>3.2578323547123018</c:v>
                </c:pt>
                <c:pt idx="15">
                  <c:v>1.9860725979759473</c:v>
                </c:pt>
                <c:pt idx="16">
                  <c:v>3.1214558580224967</c:v>
                </c:pt>
                <c:pt idx="17">
                  <c:v>3.8245623239734448</c:v>
                </c:pt>
                <c:pt idx="18">
                  <c:v>1.7121418860436113</c:v>
                </c:pt>
                <c:pt idx="19">
                  <c:v>3.2036060114650002</c:v>
                </c:pt>
                <c:pt idx="20">
                  <c:v>3.6684971423024235</c:v>
                </c:pt>
                <c:pt idx="21">
                  <c:v>3.7399385631292721</c:v>
                </c:pt>
                <c:pt idx="22">
                  <c:v>3.1835528665961346</c:v>
                </c:pt>
                <c:pt idx="23">
                  <c:v>5.26684420331308</c:v>
                </c:pt>
                <c:pt idx="24">
                  <c:v>2.231904528406643</c:v>
                </c:pt>
                <c:pt idx="25">
                  <c:v>2.6074495883577793</c:v>
                </c:pt>
                <c:pt idx="26">
                  <c:v>3.2170727400953192</c:v>
                </c:pt>
                <c:pt idx="27">
                  <c:v>3.1535680628478362</c:v>
                </c:pt>
                <c:pt idx="28">
                  <c:v>2.1420552471932366</c:v>
                </c:pt>
                <c:pt idx="29">
                  <c:v>2.7534759284698387</c:v>
                </c:pt>
                <c:pt idx="30">
                  <c:v>2.7965747675733295</c:v>
                </c:pt>
                <c:pt idx="31">
                  <c:v>4.0660022837744778</c:v>
                </c:pt>
                <c:pt idx="32">
                  <c:v>2.3749453454905574</c:v>
                </c:pt>
                <c:pt idx="33">
                  <c:v>4.6971741485442777</c:v>
                </c:pt>
                <c:pt idx="34">
                  <c:v>3.099653416108429</c:v>
                </c:pt>
                <c:pt idx="35">
                  <c:v>3.7997024798812173</c:v>
                </c:pt>
                <c:pt idx="36">
                  <c:v>2.8477691339610498</c:v>
                </c:pt>
                <c:pt idx="37">
                  <c:v>2.2233548126844642</c:v>
                </c:pt>
                <c:pt idx="38">
                  <c:v>3.546088402472078</c:v>
                </c:pt>
                <c:pt idx="39">
                  <c:v>2.321651191735465</c:v>
                </c:pt>
                <c:pt idx="40">
                  <c:v>2.5848874518406424</c:v>
                </c:pt>
                <c:pt idx="41">
                  <c:v>3.7783360477873247</c:v>
                </c:pt>
                <c:pt idx="42">
                  <c:v>2.6160215742607846</c:v>
                </c:pt>
                <c:pt idx="43">
                  <c:v>4.0254285298369101</c:v>
                </c:pt>
                <c:pt idx="44">
                  <c:v>3.8207082885976611</c:v>
                </c:pt>
                <c:pt idx="45">
                  <c:v>4.1819456417584515</c:v>
                </c:pt>
                <c:pt idx="46">
                  <c:v>3.6220507420914902</c:v>
                </c:pt>
                <c:pt idx="47">
                  <c:v>1.9695562715626234</c:v>
                </c:pt>
                <c:pt idx="48">
                  <c:v>4.0016549827955989</c:v>
                </c:pt>
                <c:pt idx="49">
                  <c:v>2.6188640324263037</c:v>
                </c:pt>
                <c:pt idx="50">
                  <c:v>2.7590678063861822</c:v>
                </c:pt>
                <c:pt idx="51">
                  <c:v>2.0978495160743762</c:v>
                </c:pt>
                <c:pt idx="52">
                  <c:v>2.9171521515002254</c:v>
                </c:pt>
                <c:pt idx="53">
                  <c:v>3.4028020743755474</c:v>
                </c:pt>
                <c:pt idx="54">
                  <c:v>2.9885812127584392</c:v>
                </c:pt>
                <c:pt idx="55">
                  <c:v>3.5038037148750218</c:v>
                </c:pt>
                <c:pt idx="56">
                  <c:v>2.9881155584780803</c:v>
                </c:pt>
                <c:pt idx="57">
                  <c:v>2.6215706457497561</c:v>
                </c:pt>
                <c:pt idx="58">
                  <c:v>3.4608743940184734</c:v>
                </c:pt>
                <c:pt idx="59">
                  <c:v>2.8954382222130395</c:v>
                </c:pt>
                <c:pt idx="60">
                  <c:v>1.7795737091870407</c:v>
                </c:pt>
                <c:pt idx="61">
                  <c:v>4.0437587531348802</c:v>
                </c:pt>
                <c:pt idx="62">
                  <c:v>2.6391032439309923</c:v>
                </c:pt>
                <c:pt idx="63">
                  <c:v>3.7636620278652484</c:v>
                </c:pt>
                <c:pt idx="64">
                  <c:v>3.5690158577049207</c:v>
                </c:pt>
                <c:pt idx="65">
                  <c:v>2.2640217029702754</c:v>
                </c:pt>
                <c:pt idx="66">
                  <c:v>3.1491770377970925</c:v>
                </c:pt>
                <c:pt idx="67">
                  <c:v>3.5688630592178621</c:v>
                </c:pt>
                <c:pt idx="68">
                  <c:v>3.1518959948788581</c:v>
                </c:pt>
                <c:pt idx="69">
                  <c:v>4.01577183056318</c:v>
                </c:pt>
                <c:pt idx="70">
                  <c:v>2.0649704548754682</c:v>
                </c:pt>
                <c:pt idx="71">
                  <c:v>2.2683393967740724</c:v>
                </c:pt>
                <c:pt idx="72">
                  <c:v>2.4854833655301567</c:v>
                </c:pt>
                <c:pt idx="73">
                  <c:v>3.058814592268944</c:v>
                </c:pt>
                <c:pt idx="74">
                  <c:v>3.0957260465209391</c:v>
                </c:pt>
                <c:pt idx="75">
                  <c:v>2.683978312208394</c:v>
                </c:pt>
                <c:pt idx="76">
                  <c:v>2.1025718419268129</c:v>
                </c:pt>
                <c:pt idx="77">
                  <c:v>2.9388667175359737</c:v>
                </c:pt>
                <c:pt idx="78">
                  <c:v>1.8857673161157558</c:v>
                </c:pt>
                <c:pt idx="79">
                  <c:v>3.3475743115736076</c:v>
                </c:pt>
                <c:pt idx="80">
                  <c:v>3.0977809771547307</c:v>
                </c:pt>
                <c:pt idx="81">
                  <c:v>2.8761038300508917</c:v>
                </c:pt>
                <c:pt idx="82">
                  <c:v>2.5195173569324187</c:v>
                </c:pt>
                <c:pt idx="83">
                  <c:v>2.7799202673984791</c:v>
                </c:pt>
                <c:pt idx="84">
                  <c:v>3.3162910823307667</c:v>
                </c:pt>
                <c:pt idx="85">
                  <c:v>2.384198780868795</c:v>
                </c:pt>
                <c:pt idx="86">
                  <c:v>2.9007211403448023</c:v>
                </c:pt>
                <c:pt idx="87">
                  <c:v>3.3257170429195053</c:v>
                </c:pt>
                <c:pt idx="88">
                  <c:v>3.8401859190733334</c:v>
                </c:pt>
                <c:pt idx="89">
                  <c:v>3.3086246490997011</c:v>
                </c:pt>
                <c:pt idx="90">
                  <c:v>2.3595121490805289</c:v>
                </c:pt>
                <c:pt idx="91">
                  <c:v>3.3147994070028233</c:v>
                </c:pt>
                <c:pt idx="92">
                  <c:v>4.6084854742344366</c:v>
                </c:pt>
                <c:pt idx="93">
                  <c:v>1.8444824496227707</c:v>
                </c:pt>
                <c:pt idx="94">
                  <c:v>3.8100744045454125</c:v>
                </c:pt>
                <c:pt idx="95">
                  <c:v>2.9822744218188486</c:v>
                </c:pt>
                <c:pt idx="96">
                  <c:v>3.0210808890953249</c:v>
                </c:pt>
                <c:pt idx="97">
                  <c:v>3.5444162835860986</c:v>
                </c:pt>
                <c:pt idx="98">
                  <c:v>2.7148660163677771</c:v>
                </c:pt>
                <c:pt idx="99">
                  <c:v>4.7199453224426149</c:v>
                </c:pt>
                <c:pt idx="100">
                  <c:v>2.4276630015148619</c:v>
                </c:pt>
                <c:pt idx="101">
                  <c:v>4.2967593493354528</c:v>
                </c:pt>
                <c:pt idx="102">
                  <c:v>2.2791587553374706</c:v>
                </c:pt>
                <c:pt idx="103">
                  <c:v>2.8047465594755261</c:v>
                </c:pt>
                <c:pt idx="104">
                  <c:v>3.5761024126596013</c:v>
                </c:pt>
                <c:pt idx="105">
                  <c:v>3.3001684920406564</c:v>
                </c:pt>
                <c:pt idx="106">
                  <c:v>2.3246957961155212</c:v>
                </c:pt>
                <c:pt idx="107">
                  <c:v>3.3278704510377226</c:v>
                </c:pt>
                <c:pt idx="108">
                  <c:v>2.4921515658098983</c:v>
                </c:pt>
                <c:pt idx="109">
                  <c:v>2.3142968625568101</c:v>
                </c:pt>
                <c:pt idx="110">
                  <c:v>3.0621500254044562</c:v>
                </c:pt>
                <c:pt idx="111">
                  <c:v>2.5461174400968547</c:v>
                </c:pt>
                <c:pt idx="112">
                  <c:v>2.7370323442478028</c:v>
                </c:pt>
                <c:pt idx="113">
                  <c:v>2.939830063083817</c:v>
                </c:pt>
                <c:pt idx="114">
                  <c:v>2.9445290410211458</c:v>
                </c:pt>
                <c:pt idx="115">
                  <c:v>3.9158666470586532</c:v>
                </c:pt>
                <c:pt idx="116">
                  <c:v>3.2933254862595502</c:v>
                </c:pt>
                <c:pt idx="117">
                  <c:v>3.8280781892249696</c:v>
                </c:pt>
                <c:pt idx="118">
                  <c:v>2.9144244809546045</c:v>
                </c:pt>
                <c:pt idx="119">
                  <c:v>2.3371893791055793</c:v>
                </c:pt>
                <c:pt idx="120">
                  <c:v>2.9166629758538605</c:v>
                </c:pt>
                <c:pt idx="121">
                  <c:v>3.1458177663515468</c:v>
                </c:pt>
                <c:pt idx="122">
                  <c:v>2.4389419730749031</c:v>
                </c:pt>
                <c:pt idx="123">
                  <c:v>2.4608940816901699</c:v>
                </c:pt>
                <c:pt idx="124">
                  <c:v>3.3225954194243408</c:v>
                </c:pt>
                <c:pt idx="125">
                  <c:v>3.492282060198268</c:v>
                </c:pt>
                <c:pt idx="126">
                  <c:v>3.9271283880767536</c:v>
                </c:pt>
                <c:pt idx="127">
                  <c:v>2.6943039597161489</c:v>
                </c:pt>
                <c:pt idx="128">
                  <c:v>3.0076197503609277</c:v>
                </c:pt>
                <c:pt idx="129">
                  <c:v>2.6607448070015898</c:v>
                </c:pt>
                <c:pt idx="130">
                  <c:v>3.033649874910533</c:v>
                </c:pt>
                <c:pt idx="131">
                  <c:v>2.463802959757349</c:v>
                </c:pt>
                <c:pt idx="132">
                  <c:v>2.9516661897395737</c:v>
                </c:pt>
                <c:pt idx="133">
                  <c:v>3.3593863771634807</c:v>
                </c:pt>
                <c:pt idx="134">
                  <c:v>3.4660063574408762</c:v>
                </c:pt>
                <c:pt idx="135">
                  <c:v>3.6883239088326287</c:v>
                </c:pt>
                <c:pt idx="136">
                  <c:v>3.4171025277041291</c:v>
                </c:pt>
                <c:pt idx="137">
                  <c:v>2.5103617159498528</c:v>
                </c:pt>
                <c:pt idx="138">
                  <c:v>2.0201247365304207</c:v>
                </c:pt>
                <c:pt idx="139">
                  <c:v>4.0977350224994336</c:v>
                </c:pt>
                <c:pt idx="140">
                  <c:v>2.9446079548309525</c:v>
                </c:pt>
                <c:pt idx="141">
                  <c:v>3.4878535198242</c:v>
                </c:pt>
                <c:pt idx="142">
                  <c:v>2.8297158917105962</c:v>
                </c:pt>
                <c:pt idx="143">
                  <c:v>3.7408456575095119</c:v>
                </c:pt>
                <c:pt idx="144">
                  <c:v>3.3111667736215313</c:v>
                </c:pt>
                <c:pt idx="145">
                  <c:v>3.4784661554663372</c:v>
                </c:pt>
                <c:pt idx="146">
                  <c:v>2.2464411320290933</c:v>
                </c:pt>
                <c:pt idx="147">
                  <c:v>2.552495596543896</c:v>
                </c:pt>
                <c:pt idx="148">
                  <c:v>2.5348999001844357</c:v>
                </c:pt>
                <c:pt idx="149">
                  <c:v>2.7703419935686981</c:v>
                </c:pt>
                <c:pt idx="150">
                  <c:v>3.2394200035403555</c:v>
                </c:pt>
                <c:pt idx="151">
                  <c:v>1.9775274666044065</c:v>
                </c:pt>
                <c:pt idx="152">
                  <c:v>2.9055889888063353</c:v>
                </c:pt>
                <c:pt idx="153">
                  <c:v>3.5380984923901666</c:v>
                </c:pt>
                <c:pt idx="154">
                  <c:v>3.2791841834569135</c:v>
                </c:pt>
                <c:pt idx="155">
                  <c:v>1.7566297013521002</c:v>
                </c:pt>
                <c:pt idx="156">
                  <c:v>2.7125863163522212</c:v>
                </c:pt>
                <c:pt idx="157">
                  <c:v>2.1607414054998664</c:v>
                </c:pt>
                <c:pt idx="158">
                  <c:v>2.9862922240046244</c:v>
                </c:pt>
                <c:pt idx="159">
                  <c:v>3.3716844050119059</c:v>
                </c:pt>
                <c:pt idx="160">
                  <c:v>3.5197513846714408</c:v>
                </c:pt>
                <c:pt idx="161">
                  <c:v>3.3511168400663092</c:v>
                </c:pt>
                <c:pt idx="162">
                  <c:v>4.4908369711102445</c:v>
                </c:pt>
                <c:pt idx="163">
                  <c:v>3.2464990513839611</c:v>
                </c:pt>
                <c:pt idx="164">
                  <c:v>2.0014650842414112</c:v>
                </c:pt>
                <c:pt idx="165">
                  <c:v>3.6287391759762775</c:v>
                </c:pt>
                <c:pt idx="166">
                  <c:v>2.2709518186905373</c:v>
                </c:pt>
                <c:pt idx="167">
                  <c:v>3.6758884457009859</c:v>
                </c:pt>
                <c:pt idx="168">
                  <c:v>2.8746685294643961</c:v>
                </c:pt>
                <c:pt idx="169">
                  <c:v>4.1152464965226683</c:v>
                </c:pt>
                <c:pt idx="170">
                  <c:v>1.6315143751913097</c:v>
                </c:pt>
                <c:pt idx="171">
                  <c:v>3.5450584179078399</c:v>
                </c:pt>
                <c:pt idx="172">
                  <c:v>3.2939248022440504</c:v>
                </c:pt>
                <c:pt idx="173">
                  <c:v>3.0023682613855485</c:v>
                </c:pt>
                <c:pt idx="174">
                  <c:v>2.8480106533198022</c:v>
                </c:pt>
                <c:pt idx="175">
                  <c:v>3.152844292554839</c:v>
                </c:pt>
                <c:pt idx="176">
                  <c:v>2.5998669508840027</c:v>
                </c:pt>
                <c:pt idx="177">
                  <c:v>2.6970656148896626</c:v>
                </c:pt>
                <c:pt idx="178">
                  <c:v>3.2844574020818027</c:v>
                </c:pt>
                <c:pt idx="179">
                  <c:v>2.3481315180095574</c:v>
                </c:pt>
                <c:pt idx="180">
                  <c:v>3.055577626320038</c:v>
                </c:pt>
                <c:pt idx="181">
                  <c:v>3.8325143397925712</c:v>
                </c:pt>
                <c:pt idx="182">
                  <c:v>4.2141418556305492</c:v>
                </c:pt>
                <c:pt idx="183">
                  <c:v>3.4266473710126792</c:v>
                </c:pt>
                <c:pt idx="184">
                  <c:v>2.4004173120511596</c:v>
                </c:pt>
                <c:pt idx="185">
                  <c:v>3.5377750881961654</c:v>
                </c:pt>
                <c:pt idx="186">
                  <c:v>2.7439121436733664</c:v>
                </c:pt>
                <c:pt idx="187">
                  <c:v>4.0662649926150163</c:v>
                </c:pt>
                <c:pt idx="188">
                  <c:v>3.1802643263021375</c:v>
                </c:pt>
                <c:pt idx="189">
                  <c:v>4.3056144433848615</c:v>
                </c:pt>
                <c:pt idx="190">
                  <c:v>2.6356274600848852</c:v>
                </c:pt>
                <c:pt idx="191">
                  <c:v>3.3474095520638945</c:v>
                </c:pt>
                <c:pt idx="192">
                  <c:v>1.3899238595396612</c:v>
                </c:pt>
                <c:pt idx="193">
                  <c:v>3.5362555761433656</c:v>
                </c:pt>
                <c:pt idx="194">
                  <c:v>3.0929013841332811</c:v>
                </c:pt>
                <c:pt idx="195">
                  <c:v>4.6518453080592135</c:v>
                </c:pt>
                <c:pt idx="196">
                  <c:v>3.2550866143523765</c:v>
                </c:pt>
                <c:pt idx="197">
                  <c:v>2.3858173105737457</c:v>
                </c:pt>
                <c:pt idx="198">
                  <c:v>1.9725375020117095</c:v>
                </c:pt>
                <c:pt idx="199">
                  <c:v>2.8315875474578425</c:v>
                </c:pt>
                <c:pt idx="200">
                  <c:v>3.8964382739184806</c:v>
                </c:pt>
                <c:pt idx="201">
                  <c:v>2.275743977391488</c:v>
                </c:pt>
                <c:pt idx="202">
                  <c:v>2.6354922485587737</c:v>
                </c:pt>
                <c:pt idx="203">
                  <c:v>2.9924870055516761</c:v>
                </c:pt>
                <c:pt idx="204">
                  <c:v>1.8970910598426638</c:v>
                </c:pt>
                <c:pt idx="205">
                  <c:v>2.4319774810459815</c:v>
                </c:pt>
                <c:pt idx="206">
                  <c:v>4.6687384875785352</c:v>
                </c:pt>
                <c:pt idx="207">
                  <c:v>3.0682350143466084</c:v>
                </c:pt>
                <c:pt idx="208">
                  <c:v>3.0361530300872941</c:v>
                </c:pt>
                <c:pt idx="209">
                  <c:v>2.5668072682036063</c:v>
                </c:pt>
                <c:pt idx="210">
                  <c:v>2.5662270306477089</c:v>
                </c:pt>
                <c:pt idx="211">
                  <c:v>3.9709907126296793</c:v>
                </c:pt>
                <c:pt idx="212">
                  <c:v>2.1897596045444185</c:v>
                </c:pt>
                <c:pt idx="213">
                  <c:v>3.8931657868865459</c:v>
                </c:pt>
                <c:pt idx="214">
                  <c:v>3.0211692163614385</c:v>
                </c:pt>
                <c:pt idx="215">
                  <c:v>3.8642335162880546</c:v>
                </c:pt>
                <c:pt idx="216">
                  <c:v>4.0115496807177049</c:v>
                </c:pt>
                <c:pt idx="217">
                  <c:v>3.2864898942327798</c:v>
                </c:pt>
                <c:pt idx="218">
                  <c:v>3.1716190125847925</c:v>
                </c:pt>
                <c:pt idx="219">
                  <c:v>2.4256785920715025</c:v>
                </c:pt>
                <c:pt idx="220">
                  <c:v>3.0407025088448014</c:v>
                </c:pt>
                <c:pt idx="221">
                  <c:v>2.9862238619238699</c:v>
                </c:pt>
                <c:pt idx="222">
                  <c:v>2.0032678853288273</c:v>
                </c:pt>
                <c:pt idx="223">
                  <c:v>4.0347624055992881</c:v>
                </c:pt>
                <c:pt idx="224">
                  <c:v>3.5931070032579298</c:v>
                </c:pt>
                <c:pt idx="225">
                  <c:v>2.2399940779103824</c:v>
                </c:pt>
                <c:pt idx="226">
                  <c:v>1.0483356207367256</c:v>
                </c:pt>
                <c:pt idx="227">
                  <c:v>2.1856812579356246</c:v>
                </c:pt>
                <c:pt idx="228">
                  <c:v>3.0366734088058402</c:v>
                </c:pt>
                <c:pt idx="229">
                  <c:v>2.8794952437501706</c:v>
                </c:pt>
                <c:pt idx="230">
                  <c:v>3.352059327483178</c:v>
                </c:pt>
                <c:pt idx="231">
                  <c:v>2.5250569922895476</c:v>
                </c:pt>
                <c:pt idx="232">
                  <c:v>3.6940457708827719</c:v>
                </c:pt>
                <c:pt idx="233">
                  <c:v>3.0672442101285036</c:v>
                </c:pt>
                <c:pt idx="234">
                  <c:v>2.3079390986546748</c:v>
                </c:pt>
                <c:pt idx="235">
                  <c:v>2.3366661055552971</c:v>
                </c:pt>
                <c:pt idx="236">
                  <c:v>2.8967289385405515</c:v>
                </c:pt>
                <c:pt idx="237">
                  <c:v>1.8601055223943246</c:v>
                </c:pt>
                <c:pt idx="238">
                  <c:v>1.7187526272417475</c:v>
                </c:pt>
                <c:pt idx="239">
                  <c:v>3.2203548631309014</c:v>
                </c:pt>
                <c:pt idx="240">
                  <c:v>3.4040183414662444</c:v>
                </c:pt>
                <c:pt idx="241">
                  <c:v>2.9286885440742818</c:v>
                </c:pt>
                <c:pt idx="242">
                  <c:v>2.6951272098147578</c:v>
                </c:pt>
                <c:pt idx="243">
                  <c:v>2.809480487643206</c:v>
                </c:pt>
                <c:pt idx="244">
                  <c:v>2.1425177703640923</c:v>
                </c:pt>
                <c:pt idx="245">
                  <c:v>3.809650157800899</c:v>
                </c:pt>
                <c:pt idx="246">
                  <c:v>4.3032366921002243</c:v>
                </c:pt>
                <c:pt idx="247">
                  <c:v>1.9192186826883444</c:v>
                </c:pt>
                <c:pt idx="248">
                  <c:v>2.8174803075566981</c:v>
                </c:pt>
                <c:pt idx="249">
                  <c:v>2.665946121095506</c:v>
                </c:pt>
                <c:pt idx="250">
                  <c:v>3.6163926316633201</c:v>
                </c:pt>
                <c:pt idx="251">
                  <c:v>1.5590556892204717</c:v>
                </c:pt>
                <c:pt idx="252">
                  <c:v>4.5662966638178997</c:v>
                </c:pt>
                <c:pt idx="253">
                  <c:v>2.3353703731493001</c:v>
                </c:pt>
                <c:pt idx="254">
                  <c:v>3.8700059560831135</c:v>
                </c:pt>
                <c:pt idx="255">
                  <c:v>2.4733877126324679</c:v>
                </c:pt>
                <c:pt idx="256">
                  <c:v>4.2328164242081598</c:v>
                </c:pt>
                <c:pt idx="257">
                  <c:v>2.894164650820807</c:v>
                </c:pt>
                <c:pt idx="258">
                  <c:v>3.8173536534597012</c:v>
                </c:pt>
                <c:pt idx="259">
                  <c:v>4.5714633217414473</c:v>
                </c:pt>
                <c:pt idx="260">
                  <c:v>1.917597869364178</c:v>
                </c:pt>
                <c:pt idx="261">
                  <c:v>3.7362402147791705</c:v>
                </c:pt>
                <c:pt idx="262">
                  <c:v>3.2631316801324748</c:v>
                </c:pt>
                <c:pt idx="263">
                  <c:v>2.9820499157078615</c:v>
                </c:pt>
                <c:pt idx="264">
                  <c:v>3.4793420141646312</c:v>
                </c:pt>
                <c:pt idx="265">
                  <c:v>2.1821094550279181</c:v>
                </c:pt>
                <c:pt idx="266">
                  <c:v>3.1054404760522112</c:v>
                </c:pt>
                <c:pt idx="267">
                  <c:v>2.8423182338823976</c:v>
                </c:pt>
                <c:pt idx="268">
                  <c:v>2.6706025018902233</c:v>
                </c:pt>
                <c:pt idx="269">
                  <c:v>3.7386382194838839</c:v>
                </c:pt>
                <c:pt idx="270">
                  <c:v>2.3215357011075293</c:v>
                </c:pt>
                <c:pt idx="271">
                  <c:v>2.2351917305560889</c:v>
                </c:pt>
                <c:pt idx="272">
                  <c:v>2.777105565187302</c:v>
                </c:pt>
                <c:pt idx="273">
                  <c:v>2.7300613584031685</c:v>
                </c:pt>
                <c:pt idx="274">
                  <c:v>2.8769140870564009</c:v>
                </c:pt>
                <c:pt idx="275">
                  <c:v>3.3516562897761428</c:v>
                </c:pt>
                <c:pt idx="276">
                  <c:v>3.9709706783243375</c:v>
                </c:pt>
                <c:pt idx="277">
                  <c:v>2.1820279459588594</c:v>
                </c:pt>
                <c:pt idx="278">
                  <c:v>2.6673523095352092</c:v>
                </c:pt>
                <c:pt idx="279">
                  <c:v>3.1825856077722836</c:v>
                </c:pt>
                <c:pt idx="280">
                  <c:v>3.630763469450164</c:v>
                </c:pt>
                <c:pt idx="281">
                  <c:v>3.8038559781627646</c:v>
                </c:pt>
                <c:pt idx="282">
                  <c:v>1.5244385887824681</c:v>
                </c:pt>
                <c:pt idx="283">
                  <c:v>2.176468246079283</c:v>
                </c:pt>
                <c:pt idx="284">
                  <c:v>3.664369307801373</c:v>
                </c:pt>
                <c:pt idx="285">
                  <c:v>2.4629763548576928</c:v>
                </c:pt>
                <c:pt idx="286">
                  <c:v>2.6339672922873323</c:v>
                </c:pt>
                <c:pt idx="287">
                  <c:v>2.8136619260956599</c:v>
                </c:pt>
                <c:pt idx="288">
                  <c:v>3.0310163211902426</c:v>
                </c:pt>
                <c:pt idx="289">
                  <c:v>2.6964096666139499</c:v>
                </c:pt>
                <c:pt idx="290">
                  <c:v>3.1371095226537111</c:v>
                </c:pt>
                <c:pt idx="291">
                  <c:v>2.3864176803685337</c:v>
                </c:pt>
                <c:pt idx="292">
                  <c:v>3.5889405812117747</c:v>
                </c:pt>
                <c:pt idx="293">
                  <c:v>3.4235306206749705</c:v>
                </c:pt>
                <c:pt idx="294">
                  <c:v>2.8781849502261219</c:v>
                </c:pt>
                <c:pt idx="295">
                  <c:v>3.3583846229296794</c:v>
                </c:pt>
                <c:pt idx="296">
                  <c:v>3.3453914916318581</c:v>
                </c:pt>
                <c:pt idx="297">
                  <c:v>3.8776208372810328</c:v>
                </c:pt>
                <c:pt idx="298">
                  <c:v>2.715915132566022</c:v>
                </c:pt>
                <c:pt idx="299">
                  <c:v>2.4868354852638266</c:v>
                </c:pt>
                <c:pt idx="300">
                  <c:v>4.091045696813234</c:v>
                </c:pt>
                <c:pt idx="301">
                  <c:v>4.1699557114339445</c:v>
                </c:pt>
                <c:pt idx="302">
                  <c:v>3.1673936379094823</c:v>
                </c:pt>
                <c:pt idx="303">
                  <c:v>2.9165987952602914</c:v>
                </c:pt>
                <c:pt idx="304">
                  <c:v>3.698641963414139</c:v>
                </c:pt>
                <c:pt idx="305">
                  <c:v>4.0628183544611591</c:v>
                </c:pt>
                <c:pt idx="306">
                  <c:v>3.4719702903552649</c:v>
                </c:pt>
                <c:pt idx="307">
                  <c:v>2.1393279250572057</c:v>
                </c:pt>
                <c:pt idx="308">
                  <c:v>2.5247283299140273</c:v>
                </c:pt>
                <c:pt idx="309">
                  <c:v>2.3574483870257925</c:v>
                </c:pt>
                <c:pt idx="310">
                  <c:v>3.0533399871798226</c:v>
                </c:pt>
                <c:pt idx="311">
                  <c:v>3.6882402401860457</c:v>
                </c:pt>
                <c:pt idx="312">
                  <c:v>4.2126772176979239</c:v>
                </c:pt>
                <c:pt idx="313">
                  <c:v>2.8226601199058647</c:v>
                </c:pt>
                <c:pt idx="314">
                  <c:v>2.5141847382952864</c:v>
                </c:pt>
                <c:pt idx="315">
                  <c:v>3.244602794143769</c:v>
                </c:pt>
                <c:pt idx="316">
                  <c:v>2.6108073106577097</c:v>
                </c:pt>
                <c:pt idx="317">
                  <c:v>2.9554069571003252</c:v>
                </c:pt>
                <c:pt idx="318">
                  <c:v>3.7469746221494984</c:v>
                </c:pt>
                <c:pt idx="319">
                  <c:v>2.5024493501718901</c:v>
                </c:pt>
                <c:pt idx="320">
                  <c:v>2.1563858309043744</c:v>
                </c:pt>
                <c:pt idx="321">
                  <c:v>2.4738296138458624</c:v>
                </c:pt>
                <c:pt idx="322">
                  <c:v>3.4808884841949466</c:v>
                </c:pt>
                <c:pt idx="323">
                  <c:v>2.6856096964537146</c:v>
                </c:pt>
                <c:pt idx="324">
                  <c:v>3.1627997017449858</c:v>
                </c:pt>
                <c:pt idx="325">
                  <c:v>2.5233194708019782</c:v>
                </c:pt>
                <c:pt idx="326">
                  <c:v>2.3277797581930626</c:v>
                </c:pt>
                <c:pt idx="327">
                  <c:v>3.8637367837578163</c:v>
                </c:pt>
                <c:pt idx="328">
                  <c:v>3.2097169022859751</c:v>
                </c:pt>
                <c:pt idx="329">
                  <c:v>3.3194402284672648</c:v>
                </c:pt>
                <c:pt idx="330">
                  <c:v>3.8444306823603154</c:v>
                </c:pt>
                <c:pt idx="331">
                  <c:v>2.7504239296826309</c:v>
                </c:pt>
                <c:pt idx="332">
                  <c:v>1.8916866109434511</c:v>
                </c:pt>
                <c:pt idx="333">
                  <c:v>3.0152373897626665</c:v>
                </c:pt>
                <c:pt idx="334">
                  <c:v>3.238608887134689</c:v>
                </c:pt>
                <c:pt idx="335">
                  <c:v>2.6323482684955115</c:v>
                </c:pt>
                <c:pt idx="336">
                  <c:v>2.7778472487474017</c:v>
                </c:pt>
                <c:pt idx="337">
                  <c:v>2.8895610760006667</c:v>
                </c:pt>
                <c:pt idx="338">
                  <c:v>3.2723686471117364</c:v>
                </c:pt>
                <c:pt idx="339">
                  <c:v>2.4396295569312536</c:v>
                </c:pt>
                <c:pt idx="340">
                  <c:v>4.9484086210611071</c:v>
                </c:pt>
                <c:pt idx="341">
                  <c:v>3.825837535216035</c:v>
                </c:pt>
                <c:pt idx="342">
                  <c:v>1.7781326504026362</c:v>
                </c:pt>
                <c:pt idx="343">
                  <c:v>3.452112773752722</c:v>
                </c:pt>
                <c:pt idx="344">
                  <c:v>2.7822303614309583</c:v>
                </c:pt>
                <c:pt idx="345">
                  <c:v>2.6969110851203193</c:v>
                </c:pt>
                <c:pt idx="346">
                  <c:v>2.3902996451495571</c:v>
                </c:pt>
                <c:pt idx="347">
                  <c:v>2.3424116749043149</c:v>
                </c:pt>
                <c:pt idx="348">
                  <c:v>1.6503666562203989</c:v>
                </c:pt>
                <c:pt idx="349">
                  <c:v>3.2010385644985413</c:v>
                </c:pt>
                <c:pt idx="350">
                  <c:v>3.3828880840580604</c:v>
                </c:pt>
                <c:pt idx="351">
                  <c:v>2.7289411631116307</c:v>
                </c:pt>
                <c:pt idx="352">
                  <c:v>2.8086843012565677</c:v>
                </c:pt>
                <c:pt idx="353">
                  <c:v>3.4169799270033052</c:v>
                </c:pt>
                <c:pt idx="354">
                  <c:v>3.1318120618153875</c:v>
                </c:pt>
                <c:pt idx="355">
                  <c:v>3.569394506272785</c:v>
                </c:pt>
                <c:pt idx="356">
                  <c:v>2.2251312966518895</c:v>
                </c:pt>
                <c:pt idx="357">
                  <c:v>3.4961486148631575</c:v>
                </c:pt>
                <c:pt idx="358">
                  <c:v>3.6709666241785635</c:v>
                </c:pt>
                <c:pt idx="359">
                  <c:v>2.7985016104843252</c:v>
                </c:pt>
                <c:pt idx="360">
                  <c:v>2.3591662372837305</c:v>
                </c:pt>
                <c:pt idx="361">
                  <c:v>2.3859962724940993</c:v>
                </c:pt>
                <c:pt idx="362">
                  <c:v>4.1758613170257162</c:v>
                </c:pt>
                <c:pt idx="363">
                  <c:v>2.9755811796325426</c:v>
                </c:pt>
                <c:pt idx="364">
                  <c:v>1.9864330371368304</c:v>
                </c:pt>
                <c:pt idx="365">
                  <c:v>2.5734637902871631</c:v>
                </c:pt>
                <c:pt idx="366">
                  <c:v>2.4964042308534826</c:v>
                </c:pt>
                <c:pt idx="367">
                  <c:v>3.4432916219957219</c:v>
                </c:pt>
                <c:pt idx="368">
                  <c:v>3.2528027603104901</c:v>
                </c:pt>
                <c:pt idx="369">
                  <c:v>3.0850036349671797</c:v>
                </c:pt>
                <c:pt idx="370">
                  <c:v>2.9242939594102855</c:v>
                </c:pt>
                <c:pt idx="371">
                  <c:v>3.991037338406128</c:v>
                </c:pt>
                <c:pt idx="372">
                  <c:v>3.5972147723516681</c:v>
                </c:pt>
                <c:pt idx="373">
                  <c:v>2.6877754482259899</c:v>
                </c:pt>
                <c:pt idx="374">
                  <c:v>2.865563174350914</c:v>
                </c:pt>
                <c:pt idx="375">
                  <c:v>2.8776326969971731</c:v>
                </c:pt>
                <c:pt idx="376">
                  <c:v>3.0767408887104644</c:v>
                </c:pt>
                <c:pt idx="377">
                  <c:v>2.9573277802589386</c:v>
                </c:pt>
                <c:pt idx="378">
                  <c:v>3.5980910825420107</c:v>
                </c:pt>
                <c:pt idx="379">
                  <c:v>2.9950646730006323</c:v>
                </c:pt>
                <c:pt idx="380">
                  <c:v>2.7861684779382427</c:v>
                </c:pt>
                <c:pt idx="381">
                  <c:v>3.7969540247971585</c:v>
                </c:pt>
                <c:pt idx="382">
                  <c:v>2.5930490506169415</c:v>
                </c:pt>
                <c:pt idx="383">
                  <c:v>2.2794432366308488</c:v>
                </c:pt>
                <c:pt idx="384">
                  <c:v>2.493657342286582</c:v>
                </c:pt>
                <c:pt idx="385">
                  <c:v>3.0604427570926771</c:v>
                </c:pt>
                <c:pt idx="386">
                  <c:v>2.1467204271118971</c:v>
                </c:pt>
                <c:pt idx="387">
                  <c:v>3.1945562976593127</c:v>
                </c:pt>
                <c:pt idx="388">
                  <c:v>2.5091808344584701</c:v>
                </c:pt>
                <c:pt idx="389">
                  <c:v>2.4162716316377661</c:v>
                </c:pt>
                <c:pt idx="390">
                  <c:v>3.1306309351011272</c:v>
                </c:pt>
                <c:pt idx="391">
                  <c:v>3.457178859261747</c:v>
                </c:pt>
                <c:pt idx="392">
                  <c:v>3.2191003670982568</c:v>
                </c:pt>
                <c:pt idx="393">
                  <c:v>3.4432235767547406</c:v>
                </c:pt>
                <c:pt idx="394">
                  <c:v>3.5878773140919904</c:v>
                </c:pt>
                <c:pt idx="395">
                  <c:v>1.9217421698715458</c:v>
                </c:pt>
                <c:pt idx="396">
                  <c:v>3.1696834760249715</c:v>
                </c:pt>
                <c:pt idx="397">
                  <c:v>3.3651761075710995</c:v>
                </c:pt>
                <c:pt idx="398">
                  <c:v>2.163707081767587</c:v>
                </c:pt>
                <c:pt idx="399">
                  <c:v>3.3261450968928075</c:v>
                </c:pt>
                <c:pt idx="400">
                  <c:v>3.4939869537182418</c:v>
                </c:pt>
                <c:pt idx="401">
                  <c:v>4.1131278428719593</c:v>
                </c:pt>
                <c:pt idx="402">
                  <c:v>3.5225273863208262</c:v>
                </c:pt>
                <c:pt idx="403">
                  <c:v>3.7768713836423022</c:v>
                </c:pt>
                <c:pt idx="404">
                  <c:v>2.204576635915207</c:v>
                </c:pt>
                <c:pt idx="405">
                  <c:v>4.3899333773030422</c:v>
                </c:pt>
                <c:pt idx="406">
                  <c:v>3.9030666017139724</c:v>
                </c:pt>
                <c:pt idx="407">
                  <c:v>2.840186293287116</c:v>
                </c:pt>
                <c:pt idx="408">
                  <c:v>4.075204376612839</c:v>
                </c:pt>
                <c:pt idx="409">
                  <c:v>2.9337625781479475</c:v>
                </c:pt>
                <c:pt idx="410">
                  <c:v>1.8414808695363636</c:v>
                </c:pt>
                <c:pt idx="411">
                  <c:v>3.3299649516185195</c:v>
                </c:pt>
                <c:pt idx="412">
                  <c:v>3.3172508404409102</c:v>
                </c:pt>
                <c:pt idx="413">
                  <c:v>3.1173487787784708</c:v>
                </c:pt>
                <c:pt idx="414">
                  <c:v>2.3278175020975036</c:v>
                </c:pt>
                <c:pt idx="415">
                  <c:v>2.5647334101759114</c:v>
                </c:pt>
                <c:pt idx="416">
                  <c:v>2.7954338371525607</c:v>
                </c:pt>
                <c:pt idx="417">
                  <c:v>3.6284202404642301</c:v>
                </c:pt>
                <c:pt idx="418">
                  <c:v>1.7267320531025394</c:v>
                </c:pt>
                <c:pt idx="419">
                  <c:v>2.4393634725897728</c:v>
                </c:pt>
                <c:pt idx="420">
                  <c:v>2.4576258018899715</c:v>
                </c:pt>
                <c:pt idx="421">
                  <c:v>2.3548127930886054</c:v>
                </c:pt>
                <c:pt idx="422">
                  <c:v>2.7565422515252296</c:v>
                </c:pt>
                <c:pt idx="423">
                  <c:v>3.4460537297012319</c:v>
                </c:pt>
                <c:pt idx="424">
                  <c:v>3.0049511687087866</c:v>
                </c:pt>
                <c:pt idx="425">
                  <c:v>2.5311612370116534</c:v>
                </c:pt>
                <c:pt idx="426">
                  <c:v>3.8908950476910453</c:v>
                </c:pt>
                <c:pt idx="427">
                  <c:v>2.730343857366119</c:v>
                </c:pt>
                <c:pt idx="428">
                  <c:v>3.2678612653761956</c:v>
                </c:pt>
                <c:pt idx="429">
                  <c:v>1.9315668106814936</c:v>
                </c:pt>
                <c:pt idx="430">
                  <c:v>1.969839881078129</c:v>
                </c:pt>
                <c:pt idx="431">
                  <c:v>3.4226455476115647</c:v>
                </c:pt>
                <c:pt idx="432">
                  <c:v>3.339905037756159</c:v>
                </c:pt>
                <c:pt idx="433">
                  <c:v>4.4361127389078048</c:v>
                </c:pt>
                <c:pt idx="434">
                  <c:v>3.3724237456093542</c:v>
                </c:pt>
                <c:pt idx="435">
                  <c:v>4.0033360149129837</c:v>
                </c:pt>
                <c:pt idx="436">
                  <c:v>2.1773954085188318</c:v>
                </c:pt>
                <c:pt idx="437">
                  <c:v>3.9063649517218524</c:v>
                </c:pt>
                <c:pt idx="438">
                  <c:v>3.1671443591430553</c:v>
                </c:pt>
                <c:pt idx="439">
                  <c:v>2.7047061518586628</c:v>
                </c:pt>
                <c:pt idx="440">
                  <c:v>3.3409817298011442</c:v>
                </c:pt>
                <c:pt idx="441">
                  <c:v>4.0053188334473457</c:v>
                </c:pt>
                <c:pt idx="442">
                  <c:v>2.7969988820582263</c:v>
                </c:pt>
                <c:pt idx="443">
                  <c:v>3.0676407546961815</c:v>
                </c:pt>
                <c:pt idx="444">
                  <c:v>2.3361570471061359</c:v>
                </c:pt>
                <c:pt idx="445">
                  <c:v>2.2782271492841626</c:v>
                </c:pt>
                <c:pt idx="446">
                  <c:v>2.3250486497874752</c:v>
                </c:pt>
                <c:pt idx="447">
                  <c:v>2.7420895107001551</c:v>
                </c:pt>
                <c:pt idx="448">
                  <c:v>3.9235976940681008</c:v>
                </c:pt>
                <c:pt idx="449">
                  <c:v>3.1977767746136019</c:v>
                </c:pt>
                <c:pt idx="450">
                  <c:v>2.1439377110750986</c:v>
                </c:pt>
                <c:pt idx="451">
                  <c:v>3.6355891452681268</c:v>
                </c:pt>
                <c:pt idx="452">
                  <c:v>2.5353698875587805</c:v>
                </c:pt>
                <c:pt idx="453">
                  <c:v>2.5353027852447223</c:v>
                </c:pt>
                <c:pt idx="454">
                  <c:v>2.7991653439122635</c:v>
                </c:pt>
                <c:pt idx="455">
                  <c:v>4.347839855687722</c:v>
                </c:pt>
                <c:pt idx="456">
                  <c:v>3.9665543756613628</c:v>
                </c:pt>
                <c:pt idx="457">
                  <c:v>2.6872086573351361</c:v>
                </c:pt>
                <c:pt idx="458">
                  <c:v>3.034751111238351</c:v>
                </c:pt>
                <c:pt idx="459">
                  <c:v>3.7641244138360861</c:v>
                </c:pt>
                <c:pt idx="460">
                  <c:v>3.1228086757195497</c:v>
                </c:pt>
                <c:pt idx="461">
                  <c:v>3.0176017161221029</c:v>
                </c:pt>
                <c:pt idx="462">
                  <c:v>3.2940692743712114</c:v>
                </c:pt>
                <c:pt idx="463">
                  <c:v>2.5221381139988077</c:v>
                </c:pt>
                <c:pt idx="464">
                  <c:v>2.3793829469066337</c:v>
                </c:pt>
                <c:pt idx="465">
                  <c:v>4.3310610448017588</c:v>
                </c:pt>
                <c:pt idx="466">
                  <c:v>2.3106132744159549</c:v>
                </c:pt>
                <c:pt idx="467">
                  <c:v>3.0677673737311135</c:v>
                </c:pt>
                <c:pt idx="468">
                  <c:v>2.804423404613364</c:v>
                </c:pt>
                <c:pt idx="469">
                  <c:v>3.963956660644484</c:v>
                </c:pt>
                <c:pt idx="470">
                  <c:v>3.3517400619730315</c:v>
                </c:pt>
                <c:pt idx="471">
                  <c:v>2.940684046455321</c:v>
                </c:pt>
                <c:pt idx="472">
                  <c:v>3.6351105449112158</c:v>
                </c:pt>
                <c:pt idx="473">
                  <c:v>2.8825277505839111</c:v>
                </c:pt>
                <c:pt idx="474">
                  <c:v>3.1952188708661522</c:v>
                </c:pt>
                <c:pt idx="475">
                  <c:v>2.5610076089808138</c:v>
                </c:pt>
                <c:pt idx="476">
                  <c:v>2.4272822344565004</c:v>
                </c:pt>
                <c:pt idx="477">
                  <c:v>2.4273282314918943</c:v>
                </c:pt>
                <c:pt idx="478">
                  <c:v>3.7077800328824879</c:v>
                </c:pt>
                <c:pt idx="479">
                  <c:v>1.6515137739149273</c:v>
                </c:pt>
                <c:pt idx="480">
                  <c:v>4.3249711168062666</c:v>
                </c:pt>
                <c:pt idx="481">
                  <c:v>3.0571420620422503</c:v>
                </c:pt>
                <c:pt idx="482">
                  <c:v>2.5079263975607513</c:v>
                </c:pt>
                <c:pt idx="483">
                  <c:v>3.4712607253334147</c:v>
                </c:pt>
                <c:pt idx="484">
                  <c:v>2.5483742018217139</c:v>
                </c:pt>
                <c:pt idx="485">
                  <c:v>2.5304354248897107</c:v>
                </c:pt>
                <c:pt idx="486">
                  <c:v>3.8277436679617405</c:v>
                </c:pt>
                <c:pt idx="487">
                  <c:v>3.345693606798477</c:v>
                </c:pt>
                <c:pt idx="488">
                  <c:v>2.9414552114267813</c:v>
                </c:pt>
                <c:pt idx="489">
                  <c:v>3.4490280198872121</c:v>
                </c:pt>
                <c:pt idx="490">
                  <c:v>2.205849904198093</c:v>
                </c:pt>
                <c:pt idx="491">
                  <c:v>3.392945804018737</c:v>
                </c:pt>
                <c:pt idx="492">
                  <c:v>3.0854979354954994</c:v>
                </c:pt>
                <c:pt idx="493">
                  <c:v>2.2228190605685114</c:v>
                </c:pt>
                <c:pt idx="494">
                  <c:v>2.2165259040473906</c:v>
                </c:pt>
                <c:pt idx="495">
                  <c:v>2.7202799519522407</c:v>
                </c:pt>
                <c:pt idx="496">
                  <c:v>3.3863008578295171</c:v>
                </c:pt>
                <c:pt idx="497">
                  <c:v>2.9258846432367616</c:v>
                </c:pt>
                <c:pt idx="498">
                  <c:v>2.9205610109557263</c:v>
                </c:pt>
                <c:pt idx="499">
                  <c:v>2.5714850211888791</c:v>
                </c:pt>
                <c:pt idx="500">
                  <c:v>3.3843884953703132</c:v>
                </c:pt>
                <c:pt idx="501">
                  <c:v>3.2180115888447238</c:v>
                </c:pt>
                <c:pt idx="502">
                  <c:v>2.0354699678143522</c:v>
                </c:pt>
                <c:pt idx="503">
                  <c:v>3.3626897182859046</c:v>
                </c:pt>
                <c:pt idx="504">
                  <c:v>4.1561828594964654</c:v>
                </c:pt>
                <c:pt idx="505">
                  <c:v>3.1956581748446546</c:v>
                </c:pt>
                <c:pt idx="506">
                  <c:v>2.4544662166240885</c:v>
                </c:pt>
                <c:pt idx="507">
                  <c:v>2.0127425099841894</c:v>
                </c:pt>
                <c:pt idx="508">
                  <c:v>3.6407634058436384</c:v>
                </c:pt>
                <c:pt idx="509">
                  <c:v>3.3293520688277374</c:v>
                </c:pt>
                <c:pt idx="510">
                  <c:v>3.3678334938804122</c:v>
                </c:pt>
                <c:pt idx="511">
                  <c:v>3.9499507718917597</c:v>
                </c:pt>
                <c:pt idx="512">
                  <c:v>3.5545986442559876</c:v>
                </c:pt>
                <c:pt idx="513">
                  <c:v>2.2325671147718085</c:v>
                </c:pt>
                <c:pt idx="514">
                  <c:v>3.8508962203902968</c:v>
                </c:pt>
                <c:pt idx="515">
                  <c:v>4.0661083421710247</c:v>
                </c:pt>
                <c:pt idx="516">
                  <c:v>2.7155671710351168</c:v>
                </c:pt>
                <c:pt idx="517">
                  <c:v>3.1371992464186924</c:v>
                </c:pt>
                <c:pt idx="518">
                  <c:v>3.4138688514409958</c:v>
                </c:pt>
                <c:pt idx="519">
                  <c:v>3.0530979569347574</c:v>
                </c:pt>
                <c:pt idx="520">
                  <c:v>2.1408713868755056</c:v>
                </c:pt>
                <c:pt idx="521">
                  <c:v>3.2948228499890648</c:v>
                </c:pt>
                <c:pt idx="522">
                  <c:v>3.8054930896082784</c:v>
                </c:pt>
                <c:pt idx="523">
                  <c:v>2.1739793445937554</c:v>
                </c:pt>
                <c:pt idx="524">
                  <c:v>2.5809072550065788</c:v>
                </c:pt>
                <c:pt idx="525">
                  <c:v>3.3275079231356006</c:v>
                </c:pt>
                <c:pt idx="526">
                  <c:v>3.6745190060733433</c:v>
                </c:pt>
                <c:pt idx="527">
                  <c:v>2.272908573337201</c:v>
                </c:pt>
                <c:pt idx="528">
                  <c:v>3.5253245908188333</c:v>
                </c:pt>
                <c:pt idx="529">
                  <c:v>3.4163014455887533</c:v>
                </c:pt>
                <c:pt idx="530">
                  <c:v>3.6898238625682294</c:v>
                </c:pt>
                <c:pt idx="531">
                  <c:v>2.6349311523626033</c:v>
                </c:pt>
                <c:pt idx="532">
                  <c:v>2.9830526069390646</c:v>
                </c:pt>
                <c:pt idx="533">
                  <c:v>2.5378345026748317</c:v>
                </c:pt>
                <c:pt idx="534">
                  <c:v>2.5697495545843276</c:v>
                </c:pt>
                <c:pt idx="535">
                  <c:v>3.3726470584216317</c:v>
                </c:pt>
                <c:pt idx="536">
                  <c:v>2.8981853375404976</c:v>
                </c:pt>
                <c:pt idx="537">
                  <c:v>3.3661445803935561</c:v>
                </c:pt>
                <c:pt idx="538">
                  <c:v>2.0137890666019631</c:v>
                </c:pt>
                <c:pt idx="539">
                  <c:v>2.7586121106702555</c:v>
                </c:pt>
                <c:pt idx="540">
                  <c:v>2.9845985478800858</c:v>
                </c:pt>
                <c:pt idx="541">
                  <c:v>3.0139654167167471</c:v>
                </c:pt>
                <c:pt idx="542">
                  <c:v>2.7038289372806816</c:v>
                </c:pt>
                <c:pt idx="543">
                  <c:v>2.5320791498243294</c:v>
                </c:pt>
                <c:pt idx="544">
                  <c:v>2.4743823265762757</c:v>
                </c:pt>
                <c:pt idx="545">
                  <c:v>4.7098602686339781</c:v>
                </c:pt>
                <c:pt idx="546">
                  <c:v>2.9452071735582601</c:v>
                </c:pt>
                <c:pt idx="547">
                  <c:v>3.9034677331800296</c:v>
                </c:pt>
                <c:pt idx="548">
                  <c:v>3.3328688614552</c:v>
                </c:pt>
                <c:pt idx="549">
                  <c:v>3.7160049673632365</c:v>
                </c:pt>
                <c:pt idx="550">
                  <c:v>3.8356075430197225</c:v>
                </c:pt>
                <c:pt idx="551">
                  <c:v>3.407506226187019</c:v>
                </c:pt>
                <c:pt idx="552">
                  <c:v>2.6583175379711834</c:v>
                </c:pt>
                <c:pt idx="553">
                  <c:v>2.7307349724855303</c:v>
                </c:pt>
                <c:pt idx="554">
                  <c:v>2.7561858841123685</c:v>
                </c:pt>
                <c:pt idx="555">
                  <c:v>3.8087514331559893</c:v>
                </c:pt>
                <c:pt idx="556">
                  <c:v>3.3890257114534115</c:v>
                </c:pt>
                <c:pt idx="557">
                  <c:v>2.9625824503251299</c:v>
                </c:pt>
                <c:pt idx="558">
                  <c:v>3.3544911120035774</c:v>
                </c:pt>
                <c:pt idx="559">
                  <c:v>3.4129372727442875</c:v>
                </c:pt>
                <c:pt idx="560">
                  <c:v>3.2553590792335454</c:v>
                </c:pt>
                <c:pt idx="561">
                  <c:v>4.0435158389935646</c:v>
                </c:pt>
                <c:pt idx="562">
                  <c:v>1.9578705927346225</c:v>
                </c:pt>
                <c:pt idx="563">
                  <c:v>3.1461162607943458</c:v>
                </c:pt>
                <c:pt idx="564">
                  <c:v>2.7319952461675228</c:v>
                </c:pt>
                <c:pt idx="565">
                  <c:v>4.2721086310915926</c:v>
                </c:pt>
                <c:pt idx="566">
                  <c:v>3.2759074599118296</c:v>
                </c:pt>
                <c:pt idx="567">
                  <c:v>2.3512125852553623</c:v>
                </c:pt>
                <c:pt idx="568">
                  <c:v>3.7118099722980666</c:v>
                </c:pt>
                <c:pt idx="569">
                  <c:v>2.0426562771831889</c:v>
                </c:pt>
                <c:pt idx="570">
                  <c:v>2.4254097445858012</c:v>
                </c:pt>
                <c:pt idx="571">
                  <c:v>3.17178147282005</c:v>
                </c:pt>
                <c:pt idx="572">
                  <c:v>2.2332427152935606</c:v>
                </c:pt>
                <c:pt idx="573">
                  <c:v>2.5294760742198288</c:v>
                </c:pt>
                <c:pt idx="574">
                  <c:v>2.3591146000075152</c:v>
                </c:pt>
                <c:pt idx="575">
                  <c:v>3.8546490791085066</c:v>
                </c:pt>
                <c:pt idx="576">
                  <c:v>2.836840803185777</c:v>
                </c:pt>
                <c:pt idx="577">
                  <c:v>3.346620748174538</c:v>
                </c:pt>
                <c:pt idx="578">
                  <c:v>2.0947914730386925</c:v>
                </c:pt>
                <c:pt idx="579">
                  <c:v>3.4273753960218065</c:v>
                </c:pt>
                <c:pt idx="580">
                  <c:v>4.1342377739947143</c:v>
                </c:pt>
                <c:pt idx="581">
                  <c:v>2.9690028238311212</c:v>
                </c:pt>
                <c:pt idx="582">
                  <c:v>3.5066965854482293</c:v>
                </c:pt>
                <c:pt idx="583">
                  <c:v>2.7246066497430155</c:v>
                </c:pt>
                <c:pt idx="584">
                  <c:v>2.6466945597111184</c:v>
                </c:pt>
                <c:pt idx="585">
                  <c:v>3.7282737052456718</c:v>
                </c:pt>
                <c:pt idx="586">
                  <c:v>3.4035454322671557</c:v>
                </c:pt>
                <c:pt idx="587">
                  <c:v>2.78857078780824</c:v>
                </c:pt>
                <c:pt idx="588">
                  <c:v>2.7975761899884732</c:v>
                </c:pt>
                <c:pt idx="589">
                  <c:v>1.9725053110251252</c:v>
                </c:pt>
                <c:pt idx="590">
                  <c:v>3.3346955529138529</c:v>
                </c:pt>
                <c:pt idx="591">
                  <c:v>3.2656592967416587</c:v>
                </c:pt>
                <c:pt idx="592">
                  <c:v>3.2739415121720512</c:v>
                </c:pt>
                <c:pt idx="593">
                  <c:v>4.2713801369595359</c:v>
                </c:pt>
                <c:pt idx="594">
                  <c:v>1.8266837014126782</c:v>
                </c:pt>
                <c:pt idx="595">
                  <c:v>3.0498054279516569</c:v>
                </c:pt>
                <c:pt idx="596">
                  <c:v>3.8665119021873062</c:v>
                </c:pt>
                <c:pt idx="597">
                  <c:v>3.2647519363343918</c:v>
                </c:pt>
                <c:pt idx="598">
                  <c:v>2.9446986717635015</c:v>
                </c:pt>
                <c:pt idx="599">
                  <c:v>2.9266578608028344</c:v>
                </c:pt>
                <c:pt idx="600">
                  <c:v>3.217946029019576</c:v>
                </c:pt>
                <c:pt idx="601">
                  <c:v>2.7111604362957546</c:v>
                </c:pt>
                <c:pt idx="602">
                  <c:v>2.6530661828674686</c:v>
                </c:pt>
                <c:pt idx="603">
                  <c:v>2.1699867737842746</c:v>
                </c:pt>
                <c:pt idx="604">
                  <c:v>3.0871878341405079</c:v>
                </c:pt>
                <c:pt idx="605">
                  <c:v>2.7719575920867774</c:v>
                </c:pt>
                <c:pt idx="606">
                  <c:v>2.9444790432825241</c:v>
                </c:pt>
                <c:pt idx="607">
                  <c:v>3.1098155587242569</c:v>
                </c:pt>
                <c:pt idx="608">
                  <c:v>2.0360868993648564</c:v>
                </c:pt>
                <c:pt idx="609">
                  <c:v>3.8723750126789769</c:v>
                </c:pt>
                <c:pt idx="610">
                  <c:v>3.0814877531247222</c:v>
                </c:pt>
                <c:pt idx="611">
                  <c:v>2.7937544823314444</c:v>
                </c:pt>
                <c:pt idx="612">
                  <c:v>3.163553456534749</c:v>
                </c:pt>
                <c:pt idx="613">
                  <c:v>1.2774557842412011</c:v>
                </c:pt>
                <c:pt idx="614">
                  <c:v>2.9675778399443677</c:v>
                </c:pt>
                <c:pt idx="615">
                  <c:v>3.1643693923203653</c:v>
                </c:pt>
                <c:pt idx="616">
                  <c:v>3.7712766401756355</c:v>
                </c:pt>
                <c:pt idx="617">
                  <c:v>2.7001102827729451</c:v>
                </c:pt>
                <c:pt idx="618">
                  <c:v>3.4089023207870852</c:v>
                </c:pt>
                <c:pt idx="619">
                  <c:v>2.7943469221281658</c:v>
                </c:pt>
                <c:pt idx="620">
                  <c:v>2.9554590376506642</c:v>
                </c:pt>
                <c:pt idx="621">
                  <c:v>2.462810589594187</c:v>
                </c:pt>
                <c:pt idx="622">
                  <c:v>1.9261012041711019</c:v>
                </c:pt>
                <c:pt idx="623">
                  <c:v>2.1391879369544755</c:v>
                </c:pt>
                <c:pt idx="624">
                  <c:v>3.4242219962091256</c:v>
                </c:pt>
                <c:pt idx="625">
                  <c:v>2.7121886712704715</c:v>
                </c:pt>
                <c:pt idx="626">
                  <c:v>3.7014837962731186</c:v>
                </c:pt>
                <c:pt idx="627">
                  <c:v>3.7311708597121673</c:v>
                </c:pt>
                <c:pt idx="628">
                  <c:v>3.1781580759082591</c:v>
                </c:pt>
                <c:pt idx="629">
                  <c:v>3.2210898899815477</c:v>
                </c:pt>
                <c:pt idx="630">
                  <c:v>3.5687591010045767</c:v>
                </c:pt>
                <c:pt idx="631">
                  <c:v>2.7551845486565965</c:v>
                </c:pt>
                <c:pt idx="632">
                  <c:v>3.0155163078403673</c:v>
                </c:pt>
                <c:pt idx="633">
                  <c:v>3.7881118608054694</c:v>
                </c:pt>
                <c:pt idx="634">
                  <c:v>3.3418707104195473</c:v>
                </c:pt>
                <c:pt idx="635">
                  <c:v>3.2335923027805009</c:v>
                </c:pt>
                <c:pt idx="636">
                  <c:v>2.5256619400376064</c:v>
                </c:pt>
                <c:pt idx="637">
                  <c:v>2.754053345099301</c:v>
                </c:pt>
                <c:pt idx="638">
                  <c:v>2.9304636478210089</c:v>
                </c:pt>
                <c:pt idx="639">
                  <c:v>2.5600635432411725</c:v>
                </c:pt>
                <c:pt idx="640">
                  <c:v>2.5175718144280257</c:v>
                </c:pt>
                <c:pt idx="641">
                  <c:v>2.4934059347318369</c:v>
                </c:pt>
                <c:pt idx="642">
                  <c:v>2.7299395878210886</c:v>
                </c:pt>
                <c:pt idx="643">
                  <c:v>2.916899092861609</c:v>
                </c:pt>
                <c:pt idx="644">
                  <c:v>4.3883592540880798</c:v>
                </c:pt>
                <c:pt idx="645">
                  <c:v>3.8861300894342361</c:v>
                </c:pt>
                <c:pt idx="646">
                  <c:v>2.2982687891992319</c:v>
                </c:pt>
                <c:pt idx="647">
                  <c:v>3.2755277196707482</c:v>
                </c:pt>
                <c:pt idx="648">
                  <c:v>1.9650467205238387</c:v>
                </c:pt>
                <c:pt idx="649">
                  <c:v>2.8958991025179479</c:v>
                </c:pt>
                <c:pt idx="650">
                  <c:v>2.7178628584168498</c:v>
                </c:pt>
                <c:pt idx="651">
                  <c:v>3.0242539953993983</c:v>
                </c:pt>
                <c:pt idx="652">
                  <c:v>2.0054755252019012</c:v>
                </c:pt>
                <c:pt idx="653">
                  <c:v>2.389943536794255</c:v>
                </c:pt>
                <c:pt idx="654">
                  <c:v>3.4638355036706914</c:v>
                </c:pt>
                <c:pt idx="655">
                  <c:v>3.7953244507840789</c:v>
                </c:pt>
                <c:pt idx="656">
                  <c:v>2.5558949751394113</c:v>
                </c:pt>
                <c:pt idx="657">
                  <c:v>3.6221096078655286</c:v>
                </c:pt>
                <c:pt idx="658">
                  <c:v>3.0915914092695633</c:v>
                </c:pt>
                <c:pt idx="659">
                  <c:v>2.7236863296330238</c:v>
                </c:pt>
                <c:pt idx="660">
                  <c:v>2.5770447782785695</c:v>
                </c:pt>
                <c:pt idx="661">
                  <c:v>2.8353695083886157</c:v>
                </c:pt>
                <c:pt idx="662">
                  <c:v>3.3152500418078681</c:v>
                </c:pt>
                <c:pt idx="663">
                  <c:v>3.6266826868347435</c:v>
                </c:pt>
                <c:pt idx="664">
                  <c:v>2.0376231652950985</c:v>
                </c:pt>
                <c:pt idx="665">
                  <c:v>2.1020607857004934</c:v>
                </c:pt>
                <c:pt idx="666">
                  <c:v>3.4127934230631602</c:v>
                </c:pt>
                <c:pt idx="667">
                  <c:v>2.9547714889009922</c:v>
                </c:pt>
                <c:pt idx="668">
                  <c:v>3.563984745414547</c:v>
                </c:pt>
                <c:pt idx="669">
                  <c:v>3.7277664267073911</c:v>
                </c:pt>
                <c:pt idx="670">
                  <c:v>2.3513994460718131</c:v>
                </c:pt>
                <c:pt idx="671">
                  <c:v>2.4014473555418143</c:v>
                </c:pt>
                <c:pt idx="672">
                  <c:v>3.7057840343864656</c:v>
                </c:pt>
                <c:pt idx="673">
                  <c:v>3.7966730447627173</c:v>
                </c:pt>
                <c:pt idx="674">
                  <c:v>3.0235094790029948</c:v>
                </c:pt>
                <c:pt idx="675">
                  <c:v>3.7973268865620557</c:v>
                </c:pt>
                <c:pt idx="676">
                  <c:v>2.8042330569447591</c:v>
                </c:pt>
                <c:pt idx="677">
                  <c:v>2.5583011838786343</c:v>
                </c:pt>
                <c:pt idx="678">
                  <c:v>2.1720804356648094</c:v>
                </c:pt>
                <c:pt idx="679">
                  <c:v>2.8444125587238918</c:v>
                </c:pt>
                <c:pt idx="680">
                  <c:v>2.9138335307007259</c:v>
                </c:pt>
                <c:pt idx="681">
                  <c:v>3.211999815221497</c:v>
                </c:pt>
                <c:pt idx="682">
                  <c:v>2.9444471761051818</c:v>
                </c:pt>
                <c:pt idx="683">
                  <c:v>2.332199791527529</c:v>
                </c:pt>
                <c:pt idx="684">
                  <c:v>2.7245825986113603</c:v>
                </c:pt>
                <c:pt idx="685">
                  <c:v>1.5171786419883249</c:v>
                </c:pt>
                <c:pt idx="686">
                  <c:v>2.1274379156282843</c:v>
                </c:pt>
                <c:pt idx="687">
                  <c:v>2.0731334089593529</c:v>
                </c:pt>
                <c:pt idx="688">
                  <c:v>3.6295814815151886</c:v>
                </c:pt>
                <c:pt idx="689">
                  <c:v>2.590208428791807</c:v>
                </c:pt>
                <c:pt idx="690">
                  <c:v>3.9033190835703917</c:v>
                </c:pt>
                <c:pt idx="691">
                  <c:v>2.5137279206890364</c:v>
                </c:pt>
                <c:pt idx="692">
                  <c:v>2.1106921085803618</c:v>
                </c:pt>
                <c:pt idx="693">
                  <c:v>2.446668161125169</c:v>
                </c:pt>
                <c:pt idx="694">
                  <c:v>2.7395756106834956</c:v>
                </c:pt>
                <c:pt idx="695">
                  <c:v>3.7387963803791218</c:v>
                </c:pt>
                <c:pt idx="696">
                  <c:v>2.4246768063721391</c:v>
                </c:pt>
                <c:pt idx="697">
                  <c:v>2.5077042089272008</c:v>
                </c:pt>
                <c:pt idx="698">
                  <c:v>3.4644015816192786</c:v>
                </c:pt>
                <c:pt idx="699">
                  <c:v>3.2366881868735646</c:v>
                </c:pt>
                <c:pt idx="700">
                  <c:v>3.3362462495230885</c:v>
                </c:pt>
                <c:pt idx="701">
                  <c:v>1.7097759731434767</c:v>
                </c:pt>
                <c:pt idx="702">
                  <c:v>3.6720091327129705</c:v>
                </c:pt>
                <c:pt idx="703">
                  <c:v>3.4485976529090263</c:v>
                </c:pt>
                <c:pt idx="704">
                  <c:v>3.403921384522377</c:v>
                </c:pt>
                <c:pt idx="705">
                  <c:v>3.172097263960012</c:v>
                </c:pt>
                <c:pt idx="706">
                  <c:v>3.7403105987801331</c:v>
                </c:pt>
                <c:pt idx="707">
                  <c:v>3.013127677584829</c:v>
                </c:pt>
                <c:pt idx="708">
                  <c:v>2.0748357713996572</c:v>
                </c:pt>
                <c:pt idx="709">
                  <c:v>3.5533643802163395</c:v>
                </c:pt>
                <c:pt idx="710">
                  <c:v>3.6971037528078892</c:v>
                </c:pt>
                <c:pt idx="711">
                  <c:v>2.8000970649578991</c:v>
                </c:pt>
                <c:pt idx="712">
                  <c:v>3.8413111813603567</c:v>
                </c:pt>
                <c:pt idx="713">
                  <c:v>3.8043966400506455</c:v>
                </c:pt>
                <c:pt idx="714">
                  <c:v>2.292254697785804</c:v>
                </c:pt>
                <c:pt idx="715">
                  <c:v>3.6587412869280689</c:v>
                </c:pt>
                <c:pt idx="716">
                  <c:v>2.7259604664329022</c:v>
                </c:pt>
                <c:pt idx="717">
                  <c:v>3.2334518622500283</c:v>
                </c:pt>
                <c:pt idx="718">
                  <c:v>2.6023792993623882</c:v>
                </c:pt>
                <c:pt idx="719">
                  <c:v>2.2464444872979872</c:v>
                </c:pt>
                <c:pt idx="720">
                  <c:v>3.1701418063708733</c:v>
                </c:pt>
                <c:pt idx="721">
                  <c:v>2.7225147431730132</c:v>
                </c:pt>
                <c:pt idx="722">
                  <c:v>2.1247429446671546</c:v>
                </c:pt>
                <c:pt idx="723">
                  <c:v>3.0897669152513645</c:v>
                </c:pt>
                <c:pt idx="724">
                  <c:v>3.6623140321905971</c:v>
                </c:pt>
                <c:pt idx="725">
                  <c:v>2.4559961471063776</c:v>
                </c:pt>
                <c:pt idx="726">
                  <c:v>2.6797788674448615</c:v>
                </c:pt>
                <c:pt idx="727">
                  <c:v>2.5104223072851646</c:v>
                </c:pt>
                <c:pt idx="728">
                  <c:v>3.1199063586124245</c:v>
                </c:pt>
                <c:pt idx="729">
                  <c:v>2.8750940874647073</c:v>
                </c:pt>
                <c:pt idx="730">
                  <c:v>2.032162213503784</c:v>
                </c:pt>
                <c:pt idx="731">
                  <c:v>2.6615211796011602</c:v>
                </c:pt>
                <c:pt idx="732">
                  <c:v>2.8037441793630844</c:v>
                </c:pt>
                <c:pt idx="733">
                  <c:v>4.8199009554371495</c:v>
                </c:pt>
                <c:pt idx="734">
                  <c:v>2.5950826813534293</c:v>
                </c:pt>
                <c:pt idx="735">
                  <c:v>2.3011532743818703</c:v>
                </c:pt>
                <c:pt idx="736">
                  <c:v>2.8298030130917748</c:v>
                </c:pt>
                <c:pt idx="737">
                  <c:v>3.1669844533393592</c:v>
                </c:pt>
                <c:pt idx="738">
                  <c:v>2.8977452390177754</c:v>
                </c:pt>
                <c:pt idx="739">
                  <c:v>3.555189584107791</c:v>
                </c:pt>
                <c:pt idx="740">
                  <c:v>2.6196575870434726</c:v>
                </c:pt>
                <c:pt idx="741">
                  <c:v>2.2890846608043121</c:v>
                </c:pt>
                <c:pt idx="742">
                  <c:v>2.5409423671377334</c:v>
                </c:pt>
                <c:pt idx="743">
                  <c:v>1.9793351099558172</c:v>
                </c:pt>
                <c:pt idx="744">
                  <c:v>3.1371311578022798</c:v>
                </c:pt>
                <c:pt idx="745">
                  <c:v>3.5766088241010716</c:v>
                </c:pt>
                <c:pt idx="746">
                  <c:v>2.1354109264148109</c:v>
                </c:pt>
                <c:pt idx="747">
                  <c:v>2.1077229106665718</c:v>
                </c:pt>
                <c:pt idx="748">
                  <c:v>3.1443926446926747</c:v>
                </c:pt>
                <c:pt idx="749">
                  <c:v>3.1511899052671399</c:v>
                </c:pt>
                <c:pt idx="750">
                  <c:v>3.6583448518402166</c:v>
                </c:pt>
                <c:pt idx="751">
                  <c:v>3.226676266469136</c:v>
                </c:pt>
                <c:pt idx="752">
                  <c:v>3.8757486661749199</c:v>
                </c:pt>
                <c:pt idx="753">
                  <c:v>2.9805820093614597</c:v>
                </c:pt>
                <c:pt idx="754">
                  <c:v>3.9192804804656642</c:v>
                </c:pt>
                <c:pt idx="755">
                  <c:v>2.4364138696076547</c:v>
                </c:pt>
                <c:pt idx="756">
                  <c:v>3.3991792582497071</c:v>
                </c:pt>
                <c:pt idx="757">
                  <c:v>3.6655242096081784</c:v>
                </c:pt>
                <c:pt idx="758">
                  <c:v>3.5494236840007893</c:v>
                </c:pt>
                <c:pt idx="759">
                  <c:v>2.6342638680071833</c:v>
                </c:pt>
                <c:pt idx="760">
                  <c:v>3.8206790364945999</c:v>
                </c:pt>
                <c:pt idx="761">
                  <c:v>2.766062081428017</c:v>
                </c:pt>
                <c:pt idx="762">
                  <c:v>3.1482953086648124</c:v>
                </c:pt>
                <c:pt idx="763">
                  <c:v>2.3847055493013736</c:v>
                </c:pt>
                <c:pt idx="764">
                  <c:v>1.9050088868980477</c:v>
                </c:pt>
                <c:pt idx="765">
                  <c:v>2.1912681580000051</c:v>
                </c:pt>
                <c:pt idx="766">
                  <c:v>3.2152707599730297</c:v>
                </c:pt>
                <c:pt idx="767">
                  <c:v>3.8714349359920304</c:v>
                </c:pt>
                <c:pt idx="768">
                  <c:v>3.2101100318777318</c:v>
                </c:pt>
                <c:pt idx="769">
                  <c:v>3.0133201294414036</c:v>
                </c:pt>
                <c:pt idx="770">
                  <c:v>2.434523356367098</c:v>
                </c:pt>
                <c:pt idx="771">
                  <c:v>2.9280739397269349</c:v>
                </c:pt>
                <c:pt idx="772">
                  <c:v>2.6217969008781639</c:v>
                </c:pt>
                <c:pt idx="773">
                  <c:v>3.3965550440804226</c:v>
                </c:pt>
                <c:pt idx="774">
                  <c:v>2.7629558154156824</c:v>
                </c:pt>
                <c:pt idx="775">
                  <c:v>2.6052345587586174</c:v>
                </c:pt>
                <c:pt idx="776">
                  <c:v>2.7034338904737716</c:v>
                </c:pt>
                <c:pt idx="777">
                  <c:v>3.4209437909221059</c:v>
                </c:pt>
                <c:pt idx="778">
                  <c:v>3.367710128748219</c:v>
                </c:pt>
                <c:pt idx="779">
                  <c:v>2.6032407931733195</c:v>
                </c:pt>
                <c:pt idx="780">
                  <c:v>2.3126951224080816</c:v>
                </c:pt>
                <c:pt idx="781">
                  <c:v>2.3683867861046606</c:v>
                </c:pt>
                <c:pt idx="782">
                  <c:v>2.5452360353459165</c:v>
                </c:pt>
                <c:pt idx="783">
                  <c:v>2.4013834192354291</c:v>
                </c:pt>
                <c:pt idx="784">
                  <c:v>3.0150727316191088</c:v>
                </c:pt>
                <c:pt idx="785">
                  <c:v>5.0190677874123768</c:v>
                </c:pt>
                <c:pt idx="786">
                  <c:v>2.9301847321359666</c:v>
                </c:pt>
                <c:pt idx="787">
                  <c:v>3.0347491826854296</c:v>
                </c:pt>
                <c:pt idx="788">
                  <c:v>4.0352435878486155</c:v>
                </c:pt>
                <c:pt idx="789">
                  <c:v>3.5288594228349845</c:v>
                </c:pt>
                <c:pt idx="790">
                  <c:v>2.5618138671036546</c:v>
                </c:pt>
                <c:pt idx="791">
                  <c:v>3.198498318288987</c:v>
                </c:pt>
                <c:pt idx="792">
                  <c:v>3.5078324320740704</c:v>
                </c:pt>
                <c:pt idx="793">
                  <c:v>3.1614415308976263</c:v>
                </c:pt>
                <c:pt idx="794">
                  <c:v>3.2019650984074532</c:v>
                </c:pt>
                <c:pt idx="795">
                  <c:v>3.007887684877474</c:v>
                </c:pt>
                <c:pt idx="796">
                  <c:v>3.4663677817599119</c:v>
                </c:pt>
                <c:pt idx="797">
                  <c:v>3.2516758103251231</c:v>
                </c:pt>
                <c:pt idx="798">
                  <c:v>3.7581264407999955</c:v>
                </c:pt>
                <c:pt idx="799">
                  <c:v>3.441139594825386</c:v>
                </c:pt>
                <c:pt idx="800">
                  <c:v>2.8428048459435828</c:v>
                </c:pt>
                <c:pt idx="801">
                  <c:v>5.0211190080745727</c:v>
                </c:pt>
                <c:pt idx="802">
                  <c:v>3.747259571889451</c:v>
                </c:pt>
                <c:pt idx="803">
                  <c:v>3.0559947978898321</c:v>
                </c:pt>
                <c:pt idx="804">
                  <c:v>4.3554179626926217</c:v>
                </c:pt>
                <c:pt idx="805">
                  <c:v>1.9284254707607085</c:v>
                </c:pt>
                <c:pt idx="806">
                  <c:v>2.2274718812821286</c:v>
                </c:pt>
                <c:pt idx="807">
                  <c:v>1.6879163183598005</c:v>
                </c:pt>
                <c:pt idx="808">
                  <c:v>3.9966765919130882</c:v>
                </c:pt>
                <c:pt idx="809">
                  <c:v>3.1661081906334099</c:v>
                </c:pt>
                <c:pt idx="810">
                  <c:v>3.0615362999087052</c:v>
                </c:pt>
                <c:pt idx="811">
                  <c:v>3.6393650122818793</c:v>
                </c:pt>
                <c:pt idx="812">
                  <c:v>2.6291219482044985</c:v>
                </c:pt>
                <c:pt idx="813">
                  <c:v>2.4616048070373733</c:v>
                </c:pt>
                <c:pt idx="814">
                  <c:v>2.8024698017761001</c:v>
                </c:pt>
                <c:pt idx="815">
                  <c:v>3.8618660645401253</c:v>
                </c:pt>
                <c:pt idx="816">
                  <c:v>3.7059327418825725</c:v>
                </c:pt>
                <c:pt idx="817">
                  <c:v>3.2125857159022608</c:v>
                </c:pt>
                <c:pt idx="818">
                  <c:v>3.5096623720272144</c:v>
                </c:pt>
                <c:pt idx="819">
                  <c:v>3.8338725547959731</c:v>
                </c:pt>
                <c:pt idx="820">
                  <c:v>2.8441757244055763</c:v>
                </c:pt>
                <c:pt idx="821">
                  <c:v>4.0212804522136034</c:v>
                </c:pt>
                <c:pt idx="822">
                  <c:v>2.1195567826717614</c:v>
                </c:pt>
                <c:pt idx="823">
                  <c:v>3.7887498376682736</c:v>
                </c:pt>
                <c:pt idx="824">
                  <c:v>2.4139840789620512</c:v>
                </c:pt>
                <c:pt idx="825">
                  <c:v>2.8379530850701804</c:v>
                </c:pt>
                <c:pt idx="826">
                  <c:v>4.3978263180633697</c:v>
                </c:pt>
                <c:pt idx="827">
                  <c:v>1.9973160472045035</c:v>
                </c:pt>
                <c:pt idx="828">
                  <c:v>1.956146187913997</c:v>
                </c:pt>
                <c:pt idx="829">
                  <c:v>3.2944755050789269</c:v>
                </c:pt>
                <c:pt idx="830">
                  <c:v>4.723664926638234</c:v>
                </c:pt>
                <c:pt idx="831">
                  <c:v>2.303847898181866</c:v>
                </c:pt>
                <c:pt idx="832">
                  <c:v>2.640707491598989</c:v>
                </c:pt>
                <c:pt idx="833">
                  <c:v>3.3236734490417761</c:v>
                </c:pt>
                <c:pt idx="834">
                  <c:v>3.1753118870712482</c:v>
                </c:pt>
                <c:pt idx="835">
                  <c:v>3.0412791862153448</c:v>
                </c:pt>
                <c:pt idx="836">
                  <c:v>2.6726522842901685</c:v>
                </c:pt>
                <c:pt idx="837">
                  <c:v>2.1610559404099936</c:v>
                </c:pt>
                <c:pt idx="838">
                  <c:v>3.8301727555973968</c:v>
                </c:pt>
                <c:pt idx="839">
                  <c:v>3.0465110121790175</c:v>
                </c:pt>
                <c:pt idx="840">
                  <c:v>2.5359091598130084</c:v>
                </c:pt>
                <c:pt idx="841">
                  <c:v>2.9237281503492314</c:v>
                </c:pt>
                <c:pt idx="842">
                  <c:v>2.2273448885609022</c:v>
                </c:pt>
                <c:pt idx="843">
                  <c:v>4.1902290019632122</c:v>
                </c:pt>
                <c:pt idx="844">
                  <c:v>2.9892609438503759</c:v>
                </c:pt>
                <c:pt idx="845">
                  <c:v>2.3324571186127034</c:v>
                </c:pt>
                <c:pt idx="846">
                  <c:v>2.9707661036001287</c:v>
                </c:pt>
                <c:pt idx="847">
                  <c:v>3.4281493040096933</c:v>
                </c:pt>
                <c:pt idx="848">
                  <c:v>2.9839983621976085</c:v>
                </c:pt>
                <c:pt idx="849">
                  <c:v>2.4422583397959365</c:v>
                </c:pt>
                <c:pt idx="850">
                  <c:v>3.8779639326239508</c:v>
                </c:pt>
                <c:pt idx="851">
                  <c:v>2.8279092444915137</c:v>
                </c:pt>
                <c:pt idx="852">
                  <c:v>2.7315065659607392</c:v>
                </c:pt>
                <c:pt idx="853">
                  <c:v>3.5950829696327595</c:v>
                </c:pt>
                <c:pt idx="854">
                  <c:v>2.9331065424450165</c:v>
                </c:pt>
                <c:pt idx="855">
                  <c:v>2.7572298455751456</c:v>
                </c:pt>
                <c:pt idx="856">
                  <c:v>2.791439766293907</c:v>
                </c:pt>
                <c:pt idx="857">
                  <c:v>3.371281209404958</c:v>
                </c:pt>
                <c:pt idx="858">
                  <c:v>3.0760303385304617</c:v>
                </c:pt>
                <c:pt idx="859">
                  <c:v>2.5372614919004537</c:v>
                </c:pt>
                <c:pt idx="860">
                  <c:v>4.3584727460003014</c:v>
                </c:pt>
                <c:pt idx="861">
                  <c:v>4.1277813123492173</c:v>
                </c:pt>
                <c:pt idx="862">
                  <c:v>4.3994486611859678</c:v>
                </c:pt>
                <c:pt idx="863">
                  <c:v>3.2425416459148568</c:v>
                </c:pt>
                <c:pt idx="864">
                  <c:v>2.4966157372146665</c:v>
                </c:pt>
                <c:pt idx="865">
                  <c:v>3.4253523313169003</c:v>
                </c:pt>
                <c:pt idx="866">
                  <c:v>3.0558305602406071</c:v>
                </c:pt>
                <c:pt idx="867">
                  <c:v>2.4075472889097771</c:v>
                </c:pt>
                <c:pt idx="868">
                  <c:v>2.3845893814099495</c:v>
                </c:pt>
                <c:pt idx="869">
                  <c:v>3.7832145589655308</c:v>
                </c:pt>
                <c:pt idx="870">
                  <c:v>2.1894820216465085</c:v>
                </c:pt>
                <c:pt idx="871">
                  <c:v>3.0100574362087746</c:v>
                </c:pt>
                <c:pt idx="872">
                  <c:v>3.724429315027153</c:v>
                </c:pt>
                <c:pt idx="873">
                  <c:v>2.4811921635457055</c:v>
                </c:pt>
                <c:pt idx="874">
                  <c:v>3.52445483175857</c:v>
                </c:pt>
                <c:pt idx="875">
                  <c:v>3.5926954274093226</c:v>
                </c:pt>
                <c:pt idx="876">
                  <c:v>3.7596041047990765</c:v>
                </c:pt>
                <c:pt idx="877">
                  <c:v>1.7696027736399755</c:v>
                </c:pt>
                <c:pt idx="878">
                  <c:v>3.6083124788164458</c:v>
                </c:pt>
                <c:pt idx="879">
                  <c:v>2.9238376200805831</c:v>
                </c:pt>
                <c:pt idx="880">
                  <c:v>2.897347940629313</c:v>
                </c:pt>
                <c:pt idx="881">
                  <c:v>3.9578323580566352</c:v>
                </c:pt>
                <c:pt idx="882">
                  <c:v>3.4842270268043745</c:v>
                </c:pt>
                <c:pt idx="883">
                  <c:v>3.950469747714072</c:v>
                </c:pt>
                <c:pt idx="884">
                  <c:v>2.0829369339843069</c:v>
                </c:pt>
                <c:pt idx="885">
                  <c:v>2.143812825974448</c:v>
                </c:pt>
                <c:pt idx="886">
                  <c:v>3.8903964997796554</c:v>
                </c:pt>
                <c:pt idx="887">
                  <c:v>3.5152464686917853</c:v>
                </c:pt>
                <c:pt idx="888">
                  <c:v>2.5767801173247089</c:v>
                </c:pt>
                <c:pt idx="889">
                  <c:v>3.1194377112031892</c:v>
                </c:pt>
                <c:pt idx="890">
                  <c:v>3.2324143750472709</c:v>
                </c:pt>
                <c:pt idx="891">
                  <c:v>2.7899427412482636</c:v>
                </c:pt>
                <c:pt idx="892">
                  <c:v>3.0140834411806035</c:v>
                </c:pt>
                <c:pt idx="893">
                  <c:v>2.6758740225189479</c:v>
                </c:pt>
                <c:pt idx="894">
                  <c:v>3.5125196892712212</c:v>
                </c:pt>
                <c:pt idx="895">
                  <c:v>3.4876879474630305</c:v>
                </c:pt>
                <c:pt idx="896">
                  <c:v>3.1851931424372735</c:v>
                </c:pt>
                <c:pt idx="897">
                  <c:v>1.8532448426928991</c:v>
                </c:pt>
                <c:pt idx="898">
                  <c:v>3.250397020694197</c:v>
                </c:pt>
                <c:pt idx="899">
                  <c:v>3.6241635584900784</c:v>
                </c:pt>
                <c:pt idx="900">
                  <c:v>2.3424188610666534</c:v>
                </c:pt>
                <c:pt idx="901">
                  <c:v>2.6774947770209523</c:v>
                </c:pt>
                <c:pt idx="902">
                  <c:v>3.1302895686478354</c:v>
                </c:pt>
                <c:pt idx="903">
                  <c:v>2.5203711247260503</c:v>
                </c:pt>
                <c:pt idx="904">
                  <c:v>3.0048460708700429</c:v>
                </c:pt>
                <c:pt idx="905">
                  <c:v>3.8549111121933519</c:v>
                </c:pt>
                <c:pt idx="906">
                  <c:v>2.9199965021762946</c:v>
                </c:pt>
                <c:pt idx="907">
                  <c:v>2.760001336311348</c:v>
                </c:pt>
                <c:pt idx="908">
                  <c:v>3.9979542184624099</c:v>
                </c:pt>
                <c:pt idx="909">
                  <c:v>4.1893872632722697</c:v>
                </c:pt>
                <c:pt idx="910">
                  <c:v>2.9725093592573599</c:v>
                </c:pt>
                <c:pt idx="911">
                  <c:v>3.3677005215581377</c:v>
                </c:pt>
                <c:pt idx="912">
                  <c:v>2.2845930702042603</c:v>
                </c:pt>
                <c:pt idx="913">
                  <c:v>4.0026532609429122</c:v>
                </c:pt>
                <c:pt idx="914">
                  <c:v>3.9346475989862553</c:v>
                </c:pt>
                <c:pt idx="915">
                  <c:v>3.7316862279689849</c:v>
                </c:pt>
                <c:pt idx="916">
                  <c:v>2.6507805490189558</c:v>
                </c:pt>
                <c:pt idx="917">
                  <c:v>1.7198566801277004</c:v>
                </c:pt>
                <c:pt idx="918">
                  <c:v>2.2087881463959009</c:v>
                </c:pt>
                <c:pt idx="919">
                  <c:v>3.0524505369706434</c:v>
                </c:pt>
                <c:pt idx="920">
                  <c:v>3.8861691935866638</c:v>
                </c:pt>
                <c:pt idx="921">
                  <c:v>2.4665656172520487</c:v>
                </c:pt>
                <c:pt idx="922">
                  <c:v>4.0413786825522484</c:v>
                </c:pt>
                <c:pt idx="923">
                  <c:v>2.6670730503809779</c:v>
                </c:pt>
                <c:pt idx="924">
                  <c:v>4.9226324511647483</c:v>
                </c:pt>
                <c:pt idx="925">
                  <c:v>3.1116211894238797</c:v>
                </c:pt>
                <c:pt idx="926">
                  <c:v>3.1299786413032016</c:v>
                </c:pt>
                <c:pt idx="927">
                  <c:v>3.7380045615167918</c:v>
                </c:pt>
                <c:pt idx="928">
                  <c:v>4.079151725116116</c:v>
                </c:pt>
                <c:pt idx="929">
                  <c:v>3.3321433519747572</c:v>
                </c:pt>
                <c:pt idx="930">
                  <c:v>3.1843465483240103</c:v>
                </c:pt>
                <c:pt idx="931">
                  <c:v>1.8410398453540071</c:v>
                </c:pt>
                <c:pt idx="932">
                  <c:v>2.2656402956063504</c:v>
                </c:pt>
                <c:pt idx="933">
                  <c:v>3.1557536973186533</c:v>
                </c:pt>
                <c:pt idx="934">
                  <c:v>3.1647876085468294</c:v>
                </c:pt>
                <c:pt idx="935">
                  <c:v>2.9612186550472712</c:v>
                </c:pt>
                <c:pt idx="936">
                  <c:v>2.1299030370538388</c:v>
                </c:pt>
                <c:pt idx="937">
                  <c:v>3.5395483780187069</c:v>
                </c:pt>
                <c:pt idx="938">
                  <c:v>2.6911224931939559</c:v>
                </c:pt>
                <c:pt idx="939">
                  <c:v>2.6954347982729212</c:v>
                </c:pt>
                <c:pt idx="940">
                  <c:v>2.8589085152371574</c:v>
                </c:pt>
                <c:pt idx="941">
                  <c:v>2.9396757393751356</c:v>
                </c:pt>
                <c:pt idx="942">
                  <c:v>3.199274224730388</c:v>
                </c:pt>
                <c:pt idx="943">
                  <c:v>2.7826782788598727</c:v>
                </c:pt>
                <c:pt idx="944">
                  <c:v>2.8746689917221122</c:v>
                </c:pt>
                <c:pt idx="945">
                  <c:v>3.7979839813284402</c:v>
                </c:pt>
                <c:pt idx="946">
                  <c:v>2.1820301978531758</c:v>
                </c:pt>
                <c:pt idx="947">
                  <c:v>4.4929173363204873</c:v>
                </c:pt>
                <c:pt idx="948">
                  <c:v>3.4489533121649387</c:v>
                </c:pt>
                <c:pt idx="949">
                  <c:v>2.3916516300758688</c:v>
                </c:pt>
                <c:pt idx="950">
                  <c:v>2.9862015442586491</c:v>
                </c:pt>
                <c:pt idx="951">
                  <c:v>2.7225469838281411</c:v>
                </c:pt>
                <c:pt idx="952">
                  <c:v>1.8657466054807101</c:v>
                </c:pt>
                <c:pt idx="953">
                  <c:v>3.1757270581076331</c:v>
                </c:pt>
                <c:pt idx="954">
                  <c:v>2.9721682937292639</c:v>
                </c:pt>
                <c:pt idx="955">
                  <c:v>3.964422897219543</c:v>
                </c:pt>
                <c:pt idx="956">
                  <c:v>2.4945188985607913</c:v>
                </c:pt>
                <c:pt idx="957">
                  <c:v>3.5764577275106308</c:v>
                </c:pt>
                <c:pt idx="958">
                  <c:v>4.1448205419548803</c:v>
                </c:pt>
                <c:pt idx="959">
                  <c:v>2.1353212718740666</c:v>
                </c:pt>
                <c:pt idx="960">
                  <c:v>3.9962708669427744</c:v>
                </c:pt>
                <c:pt idx="961">
                  <c:v>5.0011851835828853</c:v>
                </c:pt>
                <c:pt idx="962">
                  <c:v>2.5162554027501995</c:v>
                </c:pt>
                <c:pt idx="963">
                  <c:v>3.8728563185021487</c:v>
                </c:pt>
                <c:pt idx="964">
                  <c:v>2.1649954808769998</c:v>
                </c:pt>
                <c:pt idx="965">
                  <c:v>2.5904211915913349</c:v>
                </c:pt>
                <c:pt idx="966">
                  <c:v>2.7454645498250438</c:v>
                </c:pt>
                <c:pt idx="967">
                  <c:v>4.2355812740986583</c:v>
                </c:pt>
                <c:pt idx="968">
                  <c:v>4.1450003527690615</c:v>
                </c:pt>
                <c:pt idx="969">
                  <c:v>3.2456989535418721</c:v>
                </c:pt>
                <c:pt idx="970">
                  <c:v>2.7093299618958975</c:v>
                </c:pt>
                <c:pt idx="971">
                  <c:v>3.9921689750439819</c:v>
                </c:pt>
                <c:pt idx="972">
                  <c:v>3.2062966247317957</c:v>
                </c:pt>
                <c:pt idx="973">
                  <c:v>2.7205508727324501</c:v>
                </c:pt>
                <c:pt idx="974">
                  <c:v>4.8645172458851569</c:v>
                </c:pt>
                <c:pt idx="975">
                  <c:v>2.5212321626766325</c:v>
                </c:pt>
                <c:pt idx="976">
                  <c:v>3.432438448146367</c:v>
                </c:pt>
                <c:pt idx="977">
                  <c:v>3.0453456301558002</c:v>
                </c:pt>
                <c:pt idx="978">
                  <c:v>3.7961265737599259</c:v>
                </c:pt>
                <c:pt idx="979">
                  <c:v>3.0460183552972548</c:v>
                </c:pt>
                <c:pt idx="980">
                  <c:v>3.3999973062327085</c:v>
                </c:pt>
                <c:pt idx="981">
                  <c:v>3.4364615617190664</c:v>
                </c:pt>
                <c:pt idx="982">
                  <c:v>2.7942213546151171</c:v>
                </c:pt>
                <c:pt idx="983">
                  <c:v>3.0598670146396412</c:v>
                </c:pt>
                <c:pt idx="984">
                  <c:v>2.5350008806113209</c:v>
                </c:pt>
                <c:pt idx="985">
                  <c:v>3.9684282866312777</c:v>
                </c:pt>
                <c:pt idx="986">
                  <c:v>2.1293478569554907</c:v>
                </c:pt>
                <c:pt idx="987">
                  <c:v>2.9287835665357074</c:v>
                </c:pt>
                <c:pt idx="988">
                  <c:v>2.8960657863673651</c:v>
                </c:pt>
                <c:pt idx="989">
                  <c:v>3.4838113272507965</c:v>
                </c:pt>
                <c:pt idx="990">
                  <c:v>4.2082867316707029</c:v>
                </c:pt>
                <c:pt idx="991">
                  <c:v>3.1166924552044142</c:v>
                </c:pt>
                <c:pt idx="992">
                  <c:v>3.5831221072990029</c:v>
                </c:pt>
                <c:pt idx="993">
                  <c:v>2.5560014826353479</c:v>
                </c:pt>
                <c:pt idx="994">
                  <c:v>3.6323545719504144</c:v>
                </c:pt>
                <c:pt idx="995">
                  <c:v>4.2443141719227446</c:v>
                </c:pt>
                <c:pt idx="996">
                  <c:v>2.377307929334195</c:v>
                </c:pt>
                <c:pt idx="997">
                  <c:v>2.8655815107643461</c:v>
                </c:pt>
                <c:pt idx="998">
                  <c:v>2.9904176647302778</c:v>
                </c:pt>
                <c:pt idx="999">
                  <c:v>3.2930981681672367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70-455E-AA4A-8D2800625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437504"/>
        <c:axId val="809449504"/>
      </c:scatterChart>
      <c:valAx>
        <c:axId val="809437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Occupancy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449504"/>
        <c:crosses val="autoZero"/>
        <c:crossBetween val="midCat"/>
      </c:valAx>
      <c:valAx>
        <c:axId val="809449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Energy_kWh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4375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Temperature_C Line Fit  Plot</a:t>
            </a:r>
          </a:p>
        </c:rich>
      </c:tx>
      <c:layout>
        <c:manualLayout>
          <c:xMode val="edge"/>
          <c:yMode val="edge"/>
          <c:x val="0.1249652777777778"/>
          <c:y val="4.5977011494252873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Energy_kWh</c:v>
          </c:tx>
          <c:spPr>
            <a:ln w="19050">
              <a:noFill/>
            </a:ln>
          </c:spPr>
          <c:xVal>
            <c:numRef>
              <c:f>'Descriptive Stat_Model '!$C$2:$C$1001</c:f>
              <c:numCache>
                <c:formatCode>General</c:formatCode>
                <c:ptCount val="1000"/>
                <c:pt idx="0">
                  <c:v>23.558082580000001</c:v>
                </c:pt>
                <c:pt idx="1">
                  <c:v>23.48392454</c:v>
                </c:pt>
                <c:pt idx="2">
                  <c:v>28.118976060000001</c:v>
                </c:pt>
                <c:pt idx="3">
                  <c:v>21.799492300000001</c:v>
                </c:pt>
                <c:pt idx="4">
                  <c:v>22.541099089999999</c:v>
                </c:pt>
                <c:pt idx="5">
                  <c:v>20.981829309999998</c:v>
                </c:pt>
                <c:pt idx="6">
                  <c:v>24.16424559</c:v>
                </c:pt>
                <c:pt idx="7">
                  <c:v>22.64453576</c:v>
                </c:pt>
                <c:pt idx="8">
                  <c:v>23.174094140000001</c:v>
                </c:pt>
                <c:pt idx="9">
                  <c:v>21.383012789999999</c:v>
                </c:pt>
                <c:pt idx="10">
                  <c:v>25.54746724</c:v>
                </c:pt>
                <c:pt idx="11">
                  <c:v>22.314570969999998</c:v>
                </c:pt>
                <c:pt idx="12">
                  <c:v>23.120460420000001</c:v>
                </c:pt>
                <c:pt idx="13">
                  <c:v>25.285645630000001</c:v>
                </c:pt>
                <c:pt idx="14">
                  <c:v>26.413209909999999</c:v>
                </c:pt>
                <c:pt idx="15">
                  <c:v>21.161151530000001</c:v>
                </c:pt>
                <c:pt idx="16">
                  <c:v>19.78503353</c:v>
                </c:pt>
                <c:pt idx="17">
                  <c:v>23.586144950000001</c:v>
                </c:pt>
                <c:pt idx="18">
                  <c:v>20.617393010000001</c:v>
                </c:pt>
                <c:pt idx="19">
                  <c:v>21.22097114</c:v>
                </c:pt>
                <c:pt idx="20">
                  <c:v>20.858215000000001</c:v>
                </c:pt>
                <c:pt idx="21">
                  <c:v>22.106970100000002</c:v>
                </c:pt>
                <c:pt idx="22">
                  <c:v>25.114847019999999</c:v>
                </c:pt>
                <c:pt idx="23">
                  <c:v>23.330045599999998</c:v>
                </c:pt>
                <c:pt idx="24">
                  <c:v>21.213759450000001</c:v>
                </c:pt>
                <c:pt idx="25">
                  <c:v>27.778071910000001</c:v>
                </c:pt>
                <c:pt idx="26">
                  <c:v>21.45636184</c:v>
                </c:pt>
                <c:pt idx="27">
                  <c:v>20.346336470000001</c:v>
                </c:pt>
                <c:pt idx="28">
                  <c:v>23.887638859999999</c:v>
                </c:pt>
                <c:pt idx="29">
                  <c:v>26.086135299999999</c:v>
                </c:pt>
                <c:pt idx="30">
                  <c:v>22.59508495</c:v>
                </c:pt>
                <c:pt idx="31">
                  <c:v>23.561983739999999</c:v>
                </c:pt>
                <c:pt idx="32">
                  <c:v>23.71403097</c:v>
                </c:pt>
                <c:pt idx="33">
                  <c:v>26.10571955</c:v>
                </c:pt>
                <c:pt idx="34">
                  <c:v>23.648332700000001</c:v>
                </c:pt>
                <c:pt idx="35">
                  <c:v>23.15160912</c:v>
                </c:pt>
                <c:pt idx="36">
                  <c:v>23.489933140000002</c:v>
                </c:pt>
                <c:pt idx="37">
                  <c:v>25.308708679999999</c:v>
                </c:pt>
                <c:pt idx="38">
                  <c:v>22.962973730000002</c:v>
                </c:pt>
                <c:pt idx="39">
                  <c:v>22.7824797</c:v>
                </c:pt>
                <c:pt idx="40">
                  <c:v>23.139305329999999</c:v>
                </c:pt>
                <c:pt idx="41">
                  <c:v>22.77813613</c:v>
                </c:pt>
                <c:pt idx="42">
                  <c:v>23.68351195</c:v>
                </c:pt>
                <c:pt idx="43">
                  <c:v>22.852777769999999</c:v>
                </c:pt>
                <c:pt idx="44">
                  <c:v>23.518778619999999</c:v>
                </c:pt>
                <c:pt idx="45">
                  <c:v>21.344213839999998</c:v>
                </c:pt>
                <c:pt idx="46">
                  <c:v>24.2907519</c:v>
                </c:pt>
                <c:pt idx="47">
                  <c:v>25.116848969999999</c:v>
                </c:pt>
                <c:pt idx="48">
                  <c:v>22.43722979</c:v>
                </c:pt>
                <c:pt idx="49">
                  <c:v>23.733196490000001</c:v>
                </c:pt>
                <c:pt idx="50">
                  <c:v>21.939484759999999</c:v>
                </c:pt>
                <c:pt idx="51">
                  <c:v>23.114948009999999</c:v>
                </c:pt>
                <c:pt idx="52">
                  <c:v>24.702708529999999</c:v>
                </c:pt>
                <c:pt idx="53">
                  <c:v>24.702804180000001</c:v>
                </c:pt>
                <c:pt idx="54">
                  <c:v>21.706854230000001</c:v>
                </c:pt>
                <c:pt idx="55">
                  <c:v>22.223861620000001</c:v>
                </c:pt>
                <c:pt idx="56">
                  <c:v>21.698714859999999</c:v>
                </c:pt>
                <c:pt idx="57">
                  <c:v>23.780506540000001</c:v>
                </c:pt>
                <c:pt idx="58">
                  <c:v>21.47348169</c:v>
                </c:pt>
                <c:pt idx="59">
                  <c:v>28.56755485</c:v>
                </c:pt>
                <c:pt idx="60">
                  <c:v>21.796062639999999</c:v>
                </c:pt>
                <c:pt idx="61">
                  <c:v>23.173179569999999</c:v>
                </c:pt>
                <c:pt idx="62">
                  <c:v>24.086966310000001</c:v>
                </c:pt>
                <c:pt idx="63">
                  <c:v>22.521642669999999</c:v>
                </c:pt>
                <c:pt idx="64">
                  <c:v>23.363732509999998</c:v>
                </c:pt>
                <c:pt idx="65">
                  <c:v>26.019542619999999</c:v>
                </c:pt>
                <c:pt idx="66">
                  <c:v>24.513977229999998</c:v>
                </c:pt>
                <c:pt idx="67">
                  <c:v>23.361061679999999</c:v>
                </c:pt>
                <c:pt idx="68">
                  <c:v>20.317109680000002</c:v>
                </c:pt>
                <c:pt idx="69">
                  <c:v>22.683984200000001</c:v>
                </c:pt>
                <c:pt idx="70">
                  <c:v>22.540240860000001</c:v>
                </c:pt>
                <c:pt idx="71">
                  <c:v>17.606226710000001</c:v>
                </c:pt>
                <c:pt idx="72">
                  <c:v>21.40177886</c:v>
                </c:pt>
                <c:pt idx="73">
                  <c:v>22.934493459999999</c:v>
                </c:pt>
                <c:pt idx="74">
                  <c:v>23.579684530000002</c:v>
                </c:pt>
                <c:pt idx="75">
                  <c:v>24.87135679</c:v>
                </c:pt>
                <c:pt idx="76">
                  <c:v>23.19749156</c:v>
                </c:pt>
                <c:pt idx="77">
                  <c:v>20.837873340000002</c:v>
                </c:pt>
                <c:pt idx="78">
                  <c:v>23.652266040000001</c:v>
                </c:pt>
                <c:pt idx="79">
                  <c:v>19.493061170000001</c:v>
                </c:pt>
                <c:pt idx="80">
                  <c:v>23.615603539999999</c:v>
                </c:pt>
                <c:pt idx="81">
                  <c:v>19.740814029999999</c:v>
                </c:pt>
                <c:pt idx="82">
                  <c:v>26.241066889999999</c:v>
                </c:pt>
                <c:pt idx="83">
                  <c:v>22.30397383</c:v>
                </c:pt>
                <c:pt idx="84">
                  <c:v>23.19064161</c:v>
                </c:pt>
                <c:pt idx="85">
                  <c:v>28.12016908</c:v>
                </c:pt>
                <c:pt idx="86">
                  <c:v>24.415503869999998</c:v>
                </c:pt>
                <c:pt idx="87">
                  <c:v>23.355402000000002</c:v>
                </c:pt>
                <c:pt idx="88">
                  <c:v>23.85923644</c:v>
                </c:pt>
                <c:pt idx="89">
                  <c:v>23.056636749999999</c:v>
                </c:pt>
                <c:pt idx="90">
                  <c:v>23.444267539999998</c:v>
                </c:pt>
                <c:pt idx="91">
                  <c:v>23.164567980000001</c:v>
                </c:pt>
                <c:pt idx="92">
                  <c:v>20.311098980000001</c:v>
                </c:pt>
                <c:pt idx="93">
                  <c:v>22.930630229999998</c:v>
                </c:pt>
                <c:pt idx="94">
                  <c:v>23.332904419999998</c:v>
                </c:pt>
                <c:pt idx="95">
                  <c:v>25.841008500000001</c:v>
                </c:pt>
                <c:pt idx="96">
                  <c:v>22.274929950000001</c:v>
                </c:pt>
                <c:pt idx="97">
                  <c:v>22.93374605</c:v>
                </c:pt>
                <c:pt idx="98">
                  <c:v>25.411256160000001</c:v>
                </c:pt>
                <c:pt idx="99">
                  <c:v>22.259353260000001</c:v>
                </c:pt>
                <c:pt idx="100">
                  <c:v>24.635505389999999</c:v>
                </c:pt>
                <c:pt idx="101">
                  <c:v>23.351091660000002</c:v>
                </c:pt>
                <c:pt idx="102">
                  <c:v>22.039736260000002</c:v>
                </c:pt>
                <c:pt idx="103">
                  <c:v>22.73792319</c:v>
                </c:pt>
                <c:pt idx="104">
                  <c:v>23.487601430000002</c:v>
                </c:pt>
                <c:pt idx="105">
                  <c:v>22.908827970000001</c:v>
                </c:pt>
                <c:pt idx="106">
                  <c:v>22.835697639999999</c:v>
                </c:pt>
                <c:pt idx="107">
                  <c:v>23.393042340000001</c:v>
                </c:pt>
                <c:pt idx="108">
                  <c:v>21.518335180000001</c:v>
                </c:pt>
                <c:pt idx="109">
                  <c:v>22.653930240000001</c:v>
                </c:pt>
                <c:pt idx="110">
                  <c:v>22.992794920000001</c:v>
                </c:pt>
                <c:pt idx="111">
                  <c:v>22.461627740000001</c:v>
                </c:pt>
                <c:pt idx="112">
                  <c:v>25.798710870000001</c:v>
                </c:pt>
                <c:pt idx="113">
                  <c:v>25.099105430000002</c:v>
                </c:pt>
                <c:pt idx="114">
                  <c:v>20.93684751</c:v>
                </c:pt>
                <c:pt idx="115">
                  <c:v>25.1820922</c:v>
                </c:pt>
                <c:pt idx="116">
                  <c:v>22.789216150000001</c:v>
                </c:pt>
                <c:pt idx="117">
                  <c:v>23.647600260000001</c:v>
                </c:pt>
                <c:pt idx="118">
                  <c:v>20.410637049999998</c:v>
                </c:pt>
                <c:pt idx="119">
                  <c:v>18.809684950000001</c:v>
                </c:pt>
                <c:pt idx="120">
                  <c:v>24.69415802</c:v>
                </c:pt>
                <c:pt idx="121">
                  <c:v>24.455259089999998</c:v>
                </c:pt>
                <c:pt idx="122">
                  <c:v>24.83265535</c:v>
                </c:pt>
                <c:pt idx="123">
                  <c:v>25.216365629999999</c:v>
                </c:pt>
                <c:pt idx="124">
                  <c:v>23.300837810000001</c:v>
                </c:pt>
                <c:pt idx="125">
                  <c:v>26.266863059999999</c:v>
                </c:pt>
                <c:pt idx="126">
                  <c:v>25.378940979999999</c:v>
                </c:pt>
                <c:pt idx="127">
                  <c:v>20.807449829999999</c:v>
                </c:pt>
                <c:pt idx="128">
                  <c:v>26.284030319999999</c:v>
                </c:pt>
                <c:pt idx="129">
                  <c:v>20.220855069999999</c:v>
                </c:pt>
                <c:pt idx="130">
                  <c:v>22.49462862</c:v>
                </c:pt>
                <c:pt idx="131">
                  <c:v>21.022817790000001</c:v>
                </c:pt>
                <c:pt idx="132">
                  <c:v>21.061600779999999</c:v>
                </c:pt>
                <c:pt idx="133">
                  <c:v>23.943922669999999</c:v>
                </c:pt>
                <c:pt idx="134">
                  <c:v>21.563185470000001</c:v>
                </c:pt>
                <c:pt idx="135">
                  <c:v>25.449168879999998</c:v>
                </c:pt>
                <c:pt idx="136">
                  <c:v>24.952767909999999</c:v>
                </c:pt>
                <c:pt idx="137">
                  <c:v>21.836638170000001</c:v>
                </c:pt>
                <c:pt idx="138">
                  <c:v>21.756363400000001</c:v>
                </c:pt>
                <c:pt idx="139">
                  <c:v>24.116653830000001</c:v>
                </c:pt>
                <c:pt idx="140">
                  <c:v>25.182620239999999</c:v>
                </c:pt>
                <c:pt idx="141">
                  <c:v>21.94506135</c:v>
                </c:pt>
                <c:pt idx="142">
                  <c:v>23.174372810000001</c:v>
                </c:pt>
                <c:pt idx="143">
                  <c:v>22.122825590000001</c:v>
                </c:pt>
                <c:pt idx="144">
                  <c:v>23.10107163</c:v>
                </c:pt>
                <c:pt idx="145">
                  <c:v>21.780975600000001</c:v>
                </c:pt>
                <c:pt idx="146">
                  <c:v>17.223457589999999</c:v>
                </c:pt>
                <c:pt idx="147">
                  <c:v>22.573114260000001</c:v>
                </c:pt>
                <c:pt idx="148">
                  <c:v>22.26555157</c:v>
                </c:pt>
                <c:pt idx="149">
                  <c:v>17.892157730000001</c:v>
                </c:pt>
                <c:pt idx="150">
                  <c:v>21.8469792</c:v>
                </c:pt>
                <c:pt idx="151">
                  <c:v>21.011787529999999</c:v>
                </c:pt>
                <c:pt idx="152">
                  <c:v>20.256197709999999</c:v>
                </c:pt>
                <c:pt idx="153">
                  <c:v>22.823314679999999</c:v>
                </c:pt>
                <c:pt idx="154">
                  <c:v>22.542034279999999</c:v>
                </c:pt>
                <c:pt idx="155">
                  <c:v>21.395014530000001</c:v>
                </c:pt>
                <c:pt idx="156">
                  <c:v>25.37140831</c:v>
                </c:pt>
                <c:pt idx="157">
                  <c:v>24.2142622</c:v>
                </c:pt>
                <c:pt idx="158">
                  <c:v>25.911237379999999</c:v>
                </c:pt>
                <c:pt idx="159">
                  <c:v>24.15888515</c:v>
                </c:pt>
                <c:pt idx="160">
                  <c:v>22.502617749999999</c:v>
                </c:pt>
                <c:pt idx="161">
                  <c:v>23.799375900000001</c:v>
                </c:pt>
                <c:pt idx="162">
                  <c:v>22.499063920000001</c:v>
                </c:pt>
                <c:pt idx="163">
                  <c:v>21.970716899999999</c:v>
                </c:pt>
                <c:pt idx="164">
                  <c:v>21.430203370000001</c:v>
                </c:pt>
                <c:pt idx="165">
                  <c:v>20.16326853</c:v>
                </c:pt>
                <c:pt idx="166">
                  <c:v>21.896283709999999</c:v>
                </c:pt>
                <c:pt idx="167">
                  <c:v>25.231804109999999</c:v>
                </c:pt>
                <c:pt idx="168">
                  <c:v>23.960119160000001</c:v>
                </c:pt>
                <c:pt idx="169">
                  <c:v>20.178350999999999</c:v>
                </c:pt>
                <c:pt idx="170">
                  <c:v>19.208070320000001</c:v>
                </c:pt>
                <c:pt idx="171">
                  <c:v>22.944970189999999</c:v>
                </c:pt>
                <c:pt idx="172">
                  <c:v>22.799691849999999</c:v>
                </c:pt>
                <c:pt idx="173">
                  <c:v>21.947843939999998</c:v>
                </c:pt>
                <c:pt idx="174">
                  <c:v>23.494154760000001</c:v>
                </c:pt>
                <c:pt idx="175">
                  <c:v>20.333685379999999</c:v>
                </c:pt>
                <c:pt idx="176">
                  <c:v>23.40113839</c:v>
                </c:pt>
                <c:pt idx="177">
                  <c:v>20.855721979999998</c:v>
                </c:pt>
                <c:pt idx="178">
                  <c:v>22.634207119999999</c:v>
                </c:pt>
                <c:pt idx="179">
                  <c:v>23.245340630000001</c:v>
                </c:pt>
                <c:pt idx="180">
                  <c:v>22.877913150000001</c:v>
                </c:pt>
                <c:pt idx="181">
                  <c:v>23.72514163</c:v>
                </c:pt>
                <c:pt idx="182">
                  <c:v>21.906985209999998</c:v>
                </c:pt>
                <c:pt idx="183">
                  <c:v>20.875212940000001</c:v>
                </c:pt>
                <c:pt idx="184">
                  <c:v>24.159266349999999</c:v>
                </c:pt>
                <c:pt idx="185">
                  <c:v>22.81766176</c:v>
                </c:pt>
                <c:pt idx="186">
                  <c:v>21.67457246</c:v>
                </c:pt>
                <c:pt idx="187">
                  <c:v>23.566575740000001</c:v>
                </c:pt>
                <c:pt idx="188">
                  <c:v>25.057365220000001</c:v>
                </c:pt>
                <c:pt idx="189">
                  <c:v>23.50587363</c:v>
                </c:pt>
                <c:pt idx="190">
                  <c:v>24.0262116</c:v>
                </c:pt>
                <c:pt idx="191">
                  <c:v>23.734574630000001</c:v>
                </c:pt>
                <c:pt idx="192">
                  <c:v>19.2295999</c:v>
                </c:pt>
                <c:pt idx="193">
                  <c:v>22.791101560000001</c:v>
                </c:pt>
                <c:pt idx="194">
                  <c:v>23.530311050000002</c:v>
                </c:pt>
                <c:pt idx="195">
                  <c:v>21.069004029999999</c:v>
                </c:pt>
                <c:pt idx="196">
                  <c:v>22.120822579999999</c:v>
                </c:pt>
                <c:pt idx="197">
                  <c:v>23.904066690000001</c:v>
                </c:pt>
                <c:pt idx="198">
                  <c:v>25.168959170000001</c:v>
                </c:pt>
                <c:pt idx="199">
                  <c:v>23.207088280000001</c:v>
                </c:pt>
                <c:pt idx="200">
                  <c:v>24.842495370000002</c:v>
                </c:pt>
                <c:pt idx="201">
                  <c:v>26.224441259999999</c:v>
                </c:pt>
                <c:pt idx="202">
                  <c:v>24.023848180000002</c:v>
                </c:pt>
                <c:pt idx="203">
                  <c:v>21.775125249999999</c:v>
                </c:pt>
                <c:pt idx="204">
                  <c:v>19.605805230000001</c:v>
                </c:pt>
                <c:pt idx="205">
                  <c:v>24.71092002</c:v>
                </c:pt>
                <c:pt idx="206">
                  <c:v>25.608680490000001</c:v>
                </c:pt>
                <c:pt idx="207">
                  <c:v>23.099157040000001</c:v>
                </c:pt>
                <c:pt idx="208">
                  <c:v>26.782775699999998</c:v>
                </c:pt>
                <c:pt idx="209">
                  <c:v>22.823274080000001</c:v>
                </c:pt>
                <c:pt idx="210">
                  <c:v>22.813131859999999</c:v>
                </c:pt>
                <c:pt idx="211">
                  <c:v>26.145629280000001</c:v>
                </c:pt>
                <c:pt idx="212">
                  <c:v>20.477090329999999</c:v>
                </c:pt>
                <c:pt idx="213">
                  <c:v>20.54090081</c:v>
                </c:pt>
                <c:pt idx="214">
                  <c:v>22.276473859999999</c:v>
                </c:pt>
                <c:pt idx="215">
                  <c:v>24.279574660000002</c:v>
                </c:pt>
                <c:pt idx="216">
                  <c:v>22.61018344</c:v>
                </c:pt>
                <c:pt idx="217">
                  <c:v>26.914127279999999</c:v>
                </c:pt>
                <c:pt idx="218">
                  <c:v>24.90625009</c:v>
                </c:pt>
                <c:pt idx="219">
                  <c:v>24.600819049999998</c:v>
                </c:pt>
                <c:pt idx="220">
                  <c:v>22.617904620000001</c:v>
                </c:pt>
                <c:pt idx="221">
                  <c:v>25.910042449999999</c:v>
                </c:pt>
                <c:pt idx="222">
                  <c:v>21.461715300000002</c:v>
                </c:pt>
                <c:pt idx="223">
                  <c:v>23.01592857</c:v>
                </c:pt>
                <c:pt idx="224">
                  <c:v>23.784831929999999</c:v>
                </c:pt>
                <c:pt idx="225">
                  <c:v>21.355160139999999</c:v>
                </c:pt>
                <c:pt idx="226">
                  <c:v>21.74761994</c:v>
                </c:pt>
                <c:pt idx="227">
                  <c:v>24.650196529999999</c:v>
                </c:pt>
                <c:pt idx="228">
                  <c:v>22.547478259999998</c:v>
                </c:pt>
                <c:pt idx="229">
                  <c:v>24.044487360000002</c:v>
                </c:pt>
                <c:pt idx="230">
                  <c:v>23.815850040000001</c:v>
                </c:pt>
                <c:pt idx="231">
                  <c:v>22.093503179999999</c:v>
                </c:pt>
                <c:pt idx="232">
                  <c:v>25.549183750000001</c:v>
                </c:pt>
                <c:pt idx="233">
                  <c:v>23.081838350000002</c:v>
                </c:pt>
                <c:pt idx="234">
                  <c:v>22.54280017</c:v>
                </c:pt>
                <c:pt idx="235">
                  <c:v>23.04493179</c:v>
                </c:pt>
                <c:pt idx="236">
                  <c:v>24.345722469999998</c:v>
                </c:pt>
                <c:pt idx="237">
                  <c:v>23.203712589999999</c:v>
                </c:pt>
                <c:pt idx="238">
                  <c:v>24.977338339999999</c:v>
                </c:pt>
                <c:pt idx="239">
                  <c:v>21.51373147</c:v>
                </c:pt>
                <c:pt idx="240">
                  <c:v>20.479670469999999</c:v>
                </c:pt>
                <c:pt idx="241">
                  <c:v>20.6599647</c:v>
                </c:pt>
                <c:pt idx="242">
                  <c:v>20.82183977</c:v>
                </c:pt>
                <c:pt idx="243">
                  <c:v>18.576276180000001</c:v>
                </c:pt>
                <c:pt idx="244">
                  <c:v>23.895723499999999</c:v>
                </c:pt>
                <c:pt idx="245">
                  <c:v>23.325488830000001</c:v>
                </c:pt>
                <c:pt idx="246">
                  <c:v>23.464311899999998</c:v>
                </c:pt>
                <c:pt idx="247">
                  <c:v>24.236976760000001</c:v>
                </c:pt>
                <c:pt idx="248">
                  <c:v>22.96050181</c:v>
                </c:pt>
                <c:pt idx="249">
                  <c:v>20.311771060000002</c:v>
                </c:pt>
                <c:pt idx="250">
                  <c:v>19.947458009999998</c:v>
                </c:pt>
                <c:pt idx="251">
                  <c:v>22.185927370000002</c:v>
                </c:pt>
                <c:pt idx="252">
                  <c:v>23.818056110000001</c:v>
                </c:pt>
                <c:pt idx="253">
                  <c:v>23.022283130000002</c:v>
                </c:pt>
                <c:pt idx="254">
                  <c:v>24.380473599999998</c:v>
                </c:pt>
                <c:pt idx="255">
                  <c:v>25.434747139999999</c:v>
                </c:pt>
                <c:pt idx="256">
                  <c:v>26.47779933</c:v>
                </c:pt>
                <c:pt idx="257">
                  <c:v>24.30090019</c:v>
                </c:pt>
                <c:pt idx="258">
                  <c:v>23.460141520000001</c:v>
                </c:pt>
                <c:pt idx="259">
                  <c:v>23.90836633</c:v>
                </c:pt>
                <c:pt idx="260">
                  <c:v>19.964252510000001</c:v>
                </c:pt>
                <c:pt idx="261">
                  <c:v>22.042325089999999</c:v>
                </c:pt>
                <c:pt idx="262">
                  <c:v>22.261445720000001</c:v>
                </c:pt>
                <c:pt idx="263">
                  <c:v>21.592690900000001</c:v>
                </c:pt>
                <c:pt idx="264">
                  <c:v>26.04067847</c:v>
                </c:pt>
                <c:pt idx="265">
                  <c:v>20.343370100000001</c:v>
                </c:pt>
                <c:pt idx="266">
                  <c:v>19.50509383</c:v>
                </c:pt>
                <c:pt idx="267">
                  <c:v>23.39465453</c:v>
                </c:pt>
                <c:pt idx="268">
                  <c:v>24.637555290000002</c:v>
                </c:pt>
                <c:pt idx="269">
                  <c:v>26.3286342</c:v>
                </c:pt>
                <c:pt idx="270">
                  <c:v>22.780460990000002</c:v>
                </c:pt>
                <c:pt idx="271">
                  <c:v>21.27121786</c:v>
                </c:pt>
                <c:pt idx="272">
                  <c:v>26.499167809999999</c:v>
                </c:pt>
                <c:pt idx="273">
                  <c:v>21.432468669999999</c:v>
                </c:pt>
                <c:pt idx="274">
                  <c:v>23.999370219999999</c:v>
                </c:pt>
                <c:pt idx="275">
                  <c:v>19.564411809999999</c:v>
                </c:pt>
                <c:pt idx="276">
                  <c:v>21.900885729999999</c:v>
                </c:pt>
                <c:pt idx="277">
                  <c:v>24.586338730000001</c:v>
                </c:pt>
                <c:pt idx="278">
                  <c:v>24.58074379</c:v>
                </c:pt>
                <c:pt idx="279">
                  <c:v>25.097939889999999</c:v>
                </c:pt>
                <c:pt idx="280">
                  <c:v>20.198652020000001</c:v>
                </c:pt>
                <c:pt idx="281">
                  <c:v>23.224209890000001</c:v>
                </c:pt>
                <c:pt idx="282">
                  <c:v>21.580840290000001</c:v>
                </c:pt>
                <c:pt idx="283">
                  <c:v>20.244765000000001</c:v>
                </c:pt>
                <c:pt idx="284">
                  <c:v>25.030456180000002</c:v>
                </c:pt>
                <c:pt idx="285">
                  <c:v>21.008369210000001</c:v>
                </c:pt>
                <c:pt idx="286">
                  <c:v>28.241586179999999</c:v>
                </c:pt>
                <c:pt idx="287">
                  <c:v>22.893758689999999</c:v>
                </c:pt>
                <c:pt idx="288">
                  <c:v>22.448595610000002</c:v>
                </c:pt>
                <c:pt idx="289">
                  <c:v>20.844256380000001</c:v>
                </c:pt>
                <c:pt idx="290">
                  <c:v>24.303043980000002</c:v>
                </c:pt>
                <c:pt idx="291">
                  <c:v>23.914560810000001</c:v>
                </c:pt>
                <c:pt idx="292">
                  <c:v>23.712005260000002</c:v>
                </c:pt>
                <c:pt idx="293">
                  <c:v>20.820733929999999</c:v>
                </c:pt>
                <c:pt idx="294">
                  <c:v>24.021584180000001</c:v>
                </c:pt>
                <c:pt idx="295">
                  <c:v>23.926412580000001</c:v>
                </c:pt>
                <c:pt idx="296">
                  <c:v>23.699300090000001</c:v>
                </c:pt>
                <c:pt idx="297">
                  <c:v>24.513577359999999</c:v>
                </c:pt>
                <c:pt idx="298">
                  <c:v>25.42959411</c:v>
                </c:pt>
                <c:pt idx="299">
                  <c:v>25.6698065</c:v>
                </c:pt>
                <c:pt idx="300">
                  <c:v>23.99972825</c:v>
                </c:pt>
                <c:pt idx="301">
                  <c:v>25.379030090000001</c:v>
                </c:pt>
                <c:pt idx="302">
                  <c:v>20.5879996</c:v>
                </c:pt>
                <c:pt idx="303">
                  <c:v>24.69303618</c:v>
                </c:pt>
                <c:pt idx="304">
                  <c:v>21.385129200000002</c:v>
                </c:pt>
                <c:pt idx="305">
                  <c:v>23.506330479999999</c:v>
                </c:pt>
                <c:pt idx="306">
                  <c:v>21.6674316</c:v>
                </c:pt>
                <c:pt idx="307">
                  <c:v>19.595573470000001</c:v>
                </c:pt>
                <c:pt idx="308">
                  <c:v>22.087758350000001</c:v>
                </c:pt>
                <c:pt idx="309">
                  <c:v>19.163800800000001</c:v>
                </c:pt>
                <c:pt idx="310">
                  <c:v>22.838800500000001</c:v>
                </c:pt>
                <c:pt idx="311">
                  <c:v>25.447706400000001</c:v>
                </c:pt>
                <c:pt idx="312">
                  <c:v>26.125777540000001</c:v>
                </c:pt>
                <c:pt idx="313">
                  <c:v>18.806648599999999</c:v>
                </c:pt>
                <c:pt idx="314">
                  <c:v>21.903462409999999</c:v>
                </c:pt>
                <c:pt idx="315">
                  <c:v>21.93757141</c:v>
                </c:pt>
                <c:pt idx="316">
                  <c:v>23.592369609999999</c:v>
                </c:pt>
                <c:pt idx="317">
                  <c:v>21.126987249999999</c:v>
                </c:pt>
                <c:pt idx="318">
                  <c:v>22.229956380000001</c:v>
                </c:pt>
                <c:pt idx="319">
                  <c:v>21.698334549999998</c:v>
                </c:pt>
                <c:pt idx="320">
                  <c:v>19.893735889999999</c:v>
                </c:pt>
                <c:pt idx="321">
                  <c:v>25.442471319999999</c:v>
                </c:pt>
                <c:pt idx="322">
                  <c:v>26.067709879999999</c:v>
                </c:pt>
                <c:pt idx="323">
                  <c:v>20.65547909</c:v>
                </c:pt>
                <c:pt idx="324">
                  <c:v>24.752093590000001</c:v>
                </c:pt>
                <c:pt idx="325">
                  <c:v>22.063132299999999</c:v>
                </c:pt>
                <c:pt idx="326">
                  <c:v>22.889603529999999</c:v>
                </c:pt>
                <c:pt idx="327">
                  <c:v>24.270892060000001</c:v>
                </c:pt>
                <c:pt idx="328">
                  <c:v>21.327786010000001</c:v>
                </c:pt>
                <c:pt idx="329">
                  <c:v>23.245686880000001</c:v>
                </c:pt>
                <c:pt idx="330">
                  <c:v>23.93343247</c:v>
                </c:pt>
                <c:pt idx="331">
                  <c:v>26.032788109999998</c:v>
                </c:pt>
                <c:pt idx="332">
                  <c:v>19.511338559999999</c:v>
                </c:pt>
                <c:pt idx="333">
                  <c:v>22.172788929999999</c:v>
                </c:pt>
                <c:pt idx="334">
                  <c:v>21.83280135</c:v>
                </c:pt>
                <c:pt idx="335">
                  <c:v>23.968893210000001</c:v>
                </c:pt>
                <c:pt idx="336">
                  <c:v>18.023345290000002</c:v>
                </c:pt>
                <c:pt idx="337">
                  <c:v>24.220432339999999</c:v>
                </c:pt>
                <c:pt idx="338">
                  <c:v>22.422902610000001</c:v>
                </c:pt>
                <c:pt idx="339">
                  <c:v>20.600280560000002</c:v>
                </c:pt>
                <c:pt idx="340">
                  <c:v>26.252760810000002</c:v>
                </c:pt>
                <c:pt idx="341">
                  <c:v>19.36404155</c:v>
                </c:pt>
                <c:pt idx="342">
                  <c:v>26.015267120000001</c:v>
                </c:pt>
                <c:pt idx="343">
                  <c:v>25.564726950000001</c:v>
                </c:pt>
                <c:pt idx="344">
                  <c:v>22.344352950000001</c:v>
                </c:pt>
                <c:pt idx="345">
                  <c:v>25.09741425</c:v>
                </c:pt>
                <c:pt idx="346">
                  <c:v>23.982415329999998</c:v>
                </c:pt>
                <c:pt idx="347">
                  <c:v>23.145361050000002</c:v>
                </c:pt>
                <c:pt idx="348">
                  <c:v>19.537597389999998</c:v>
                </c:pt>
                <c:pt idx="349">
                  <c:v>25.420487000000001</c:v>
                </c:pt>
                <c:pt idx="350">
                  <c:v>24.354719039999999</c:v>
                </c:pt>
                <c:pt idx="351">
                  <c:v>25.657281659999999</c:v>
                </c:pt>
                <c:pt idx="352">
                  <c:v>22.806752660000001</c:v>
                </c:pt>
                <c:pt idx="353">
                  <c:v>24.950624919999999</c:v>
                </c:pt>
                <c:pt idx="354">
                  <c:v>24.2104474</c:v>
                </c:pt>
                <c:pt idx="355">
                  <c:v>23.370351070000002</c:v>
                </c:pt>
                <c:pt idx="356">
                  <c:v>21.095367240000002</c:v>
                </c:pt>
                <c:pt idx="357">
                  <c:v>26.334448219999999</c:v>
                </c:pt>
                <c:pt idx="358">
                  <c:v>25.14577349</c:v>
                </c:pt>
                <c:pt idx="359">
                  <c:v>22.628765059999999</c:v>
                </c:pt>
                <c:pt idx="360">
                  <c:v>23.438221200000001</c:v>
                </c:pt>
                <c:pt idx="361">
                  <c:v>19.662801479999999</c:v>
                </c:pt>
                <c:pt idx="362">
                  <c:v>21.23786333</c:v>
                </c:pt>
                <c:pt idx="363">
                  <c:v>21.479621099999999</c:v>
                </c:pt>
                <c:pt idx="364">
                  <c:v>21.167451799999998</c:v>
                </c:pt>
                <c:pt idx="365">
                  <c:v>18.695232910000001</c:v>
                </c:pt>
                <c:pt idx="366">
                  <c:v>25.83706269</c:v>
                </c:pt>
                <c:pt idx="367">
                  <c:v>21.16614491</c:v>
                </c:pt>
                <c:pt idx="368">
                  <c:v>22.080902120000001</c:v>
                </c:pt>
                <c:pt idx="369">
                  <c:v>23.39226292</c:v>
                </c:pt>
                <c:pt idx="370">
                  <c:v>24.827543240000001</c:v>
                </c:pt>
                <c:pt idx="371">
                  <c:v>22.251639449999999</c:v>
                </c:pt>
                <c:pt idx="372">
                  <c:v>23.856633380000002</c:v>
                </c:pt>
                <c:pt idx="373">
                  <c:v>20.693335189999999</c:v>
                </c:pt>
                <c:pt idx="374">
                  <c:v>23.800962770000002</c:v>
                </c:pt>
                <c:pt idx="375">
                  <c:v>24.011931109999999</c:v>
                </c:pt>
                <c:pt idx="376">
                  <c:v>23.24783485</c:v>
                </c:pt>
                <c:pt idx="377">
                  <c:v>25.4049555</c:v>
                </c:pt>
                <c:pt idx="378">
                  <c:v>23.871950779999999</c:v>
                </c:pt>
                <c:pt idx="379">
                  <c:v>21.820181399999999</c:v>
                </c:pt>
                <c:pt idx="380">
                  <c:v>22.41318897</c:v>
                </c:pt>
                <c:pt idx="381">
                  <c:v>23.103567699999999</c:v>
                </c:pt>
                <c:pt idx="382">
                  <c:v>23.281965400000001</c:v>
                </c:pt>
                <c:pt idx="383">
                  <c:v>22.044708830000001</c:v>
                </c:pt>
                <c:pt idx="384">
                  <c:v>21.544655290000001</c:v>
                </c:pt>
                <c:pt idx="385">
                  <c:v>27.207346210000001</c:v>
                </c:pt>
                <c:pt idx="386">
                  <c:v>19.724790169999999</c:v>
                </c:pt>
                <c:pt idx="387">
                  <c:v>25.307180689999999</c:v>
                </c:pt>
                <c:pt idx="388">
                  <c:v>26.060390399999999</c:v>
                </c:pt>
                <c:pt idx="389">
                  <c:v>20.191997409999999</c:v>
                </c:pt>
                <c:pt idx="390">
                  <c:v>19.945408619999998</c:v>
                </c:pt>
                <c:pt idx="391">
                  <c:v>21.408885860000002</c:v>
                </c:pt>
                <c:pt idx="392">
                  <c:v>25.736196960000001</c:v>
                </c:pt>
                <c:pt idx="393">
                  <c:v>25.40934888</c:v>
                </c:pt>
                <c:pt idx="394">
                  <c:v>23.69341996</c:v>
                </c:pt>
                <c:pt idx="395">
                  <c:v>24.281085869999998</c:v>
                </c:pt>
                <c:pt idx="396">
                  <c:v>24.872418020000001</c:v>
                </c:pt>
                <c:pt idx="397">
                  <c:v>24.045123839999999</c:v>
                </c:pt>
                <c:pt idx="398">
                  <c:v>20.021707159999998</c:v>
                </c:pt>
                <c:pt idx="399">
                  <c:v>27.607277499999999</c:v>
                </c:pt>
                <c:pt idx="400">
                  <c:v>22.05227026</c:v>
                </c:pt>
                <c:pt idx="401">
                  <c:v>24.38571151</c:v>
                </c:pt>
                <c:pt idx="402">
                  <c:v>26.795534029999999</c:v>
                </c:pt>
                <c:pt idx="403">
                  <c:v>22.75253464</c:v>
                </c:pt>
                <c:pt idx="404">
                  <c:v>24.98047691</c:v>
                </c:pt>
                <c:pt idx="405">
                  <c:v>24.979720279999999</c:v>
                </c:pt>
                <c:pt idx="406">
                  <c:v>20.713961380000001</c:v>
                </c:pt>
                <c:pt idx="407">
                  <c:v>23.357389430000001</c:v>
                </c:pt>
                <c:pt idx="408">
                  <c:v>23.72283105</c:v>
                </c:pt>
                <c:pt idx="409">
                  <c:v>24.99304927</c:v>
                </c:pt>
                <c:pt idx="410">
                  <c:v>22.878164330000001</c:v>
                </c:pt>
                <c:pt idx="411">
                  <c:v>23.429653009999999</c:v>
                </c:pt>
                <c:pt idx="412">
                  <c:v>18.963024269999998</c:v>
                </c:pt>
                <c:pt idx="413">
                  <c:v>23.957637500000001</c:v>
                </c:pt>
                <c:pt idx="414">
                  <c:v>18.645869909999998</c:v>
                </c:pt>
                <c:pt idx="415">
                  <c:v>22.78702423</c:v>
                </c:pt>
                <c:pt idx="416">
                  <c:v>22.575142140000001</c:v>
                </c:pt>
                <c:pt idx="417">
                  <c:v>20.157693720000001</c:v>
                </c:pt>
                <c:pt idx="418">
                  <c:v>20.872420770000002</c:v>
                </c:pt>
                <c:pt idx="419">
                  <c:v>24.840022919999999</c:v>
                </c:pt>
                <c:pt idx="420">
                  <c:v>20.914844609999999</c:v>
                </c:pt>
                <c:pt idx="421">
                  <c:v>23.36212549</c:v>
                </c:pt>
                <c:pt idx="422">
                  <c:v>26.13973287</c:v>
                </c:pt>
                <c:pt idx="423">
                  <c:v>21.21442497</c:v>
                </c:pt>
                <c:pt idx="424">
                  <c:v>21.992991679999999</c:v>
                </c:pt>
                <c:pt idx="425">
                  <c:v>22.200201880000002</c:v>
                </c:pt>
                <c:pt idx="426">
                  <c:v>20.501209589999998</c:v>
                </c:pt>
                <c:pt idx="427">
                  <c:v>21.437406589999998</c:v>
                </c:pt>
                <c:pt idx="428">
                  <c:v>22.344116159999999</c:v>
                </c:pt>
                <c:pt idx="429">
                  <c:v>20.208421600000001</c:v>
                </c:pt>
                <c:pt idx="430">
                  <c:v>20.877412939999999</c:v>
                </c:pt>
                <c:pt idx="431">
                  <c:v>20.805263360000001</c:v>
                </c:pt>
                <c:pt idx="432">
                  <c:v>23.603400019999999</c:v>
                </c:pt>
                <c:pt idx="433">
                  <c:v>25.786909059999999</c:v>
                </c:pt>
                <c:pt idx="434">
                  <c:v>24.1718084</c:v>
                </c:pt>
                <c:pt idx="435">
                  <c:v>26.71100663</c:v>
                </c:pt>
                <c:pt idx="436">
                  <c:v>24.505364629999999</c:v>
                </c:pt>
                <c:pt idx="437">
                  <c:v>25.01600801</c:v>
                </c:pt>
                <c:pt idx="438">
                  <c:v>20.583642350000002</c:v>
                </c:pt>
                <c:pt idx="439">
                  <c:v>25.23366755</c:v>
                </c:pt>
                <c:pt idx="440">
                  <c:v>23.622219980000001</c:v>
                </c:pt>
                <c:pt idx="441">
                  <c:v>22.501271800000001</c:v>
                </c:pt>
                <c:pt idx="442">
                  <c:v>26.846891589999998</c:v>
                </c:pt>
                <c:pt idx="443">
                  <c:v>18.844376359999998</c:v>
                </c:pt>
                <c:pt idx="444">
                  <c:v>23.036033740000001</c:v>
                </c:pt>
                <c:pt idx="445">
                  <c:v>22.023452320000001</c:v>
                </c:pt>
                <c:pt idx="446">
                  <c:v>22.84186532</c:v>
                </c:pt>
                <c:pt idx="447">
                  <c:v>21.642713879999999</c:v>
                </c:pt>
                <c:pt idx="448">
                  <c:v>21.072833110000001</c:v>
                </c:pt>
                <c:pt idx="449">
                  <c:v>21.119079419999998</c:v>
                </c:pt>
                <c:pt idx="450">
                  <c:v>23.920543250000001</c:v>
                </c:pt>
                <c:pt idx="451">
                  <c:v>24.527395429999999</c:v>
                </c:pt>
                <c:pt idx="452">
                  <c:v>22.273766680000001</c:v>
                </c:pt>
                <c:pt idx="453">
                  <c:v>22.27259377</c:v>
                </c:pt>
                <c:pt idx="454">
                  <c:v>22.640366740000001</c:v>
                </c:pt>
                <c:pt idx="455">
                  <c:v>19.99955628</c:v>
                </c:pt>
                <c:pt idx="456">
                  <c:v>21.823691289999999</c:v>
                </c:pt>
                <c:pt idx="457">
                  <c:v>20.68342801</c:v>
                </c:pt>
                <c:pt idx="458">
                  <c:v>22.513877600000001</c:v>
                </c:pt>
                <c:pt idx="459">
                  <c:v>18.285331549999999</c:v>
                </c:pt>
                <c:pt idx="460">
                  <c:v>24.05307337</c:v>
                </c:pt>
                <c:pt idx="461">
                  <c:v>22.214116000000001</c:v>
                </c:pt>
                <c:pt idx="462">
                  <c:v>22.80221714</c:v>
                </c:pt>
                <c:pt idx="463">
                  <c:v>22.04248286</c:v>
                </c:pt>
                <c:pt idx="464">
                  <c:v>23.791597700000001</c:v>
                </c:pt>
                <c:pt idx="465">
                  <c:v>19.70627228</c:v>
                </c:pt>
                <c:pt idx="466">
                  <c:v>22.58954323</c:v>
                </c:pt>
                <c:pt idx="467">
                  <c:v>23.090982950000001</c:v>
                </c:pt>
                <c:pt idx="468">
                  <c:v>26.976667989999999</c:v>
                </c:pt>
                <c:pt idx="469">
                  <c:v>21.778284719999998</c:v>
                </c:pt>
                <c:pt idx="470">
                  <c:v>19.565876100000001</c:v>
                </c:pt>
                <c:pt idx="471">
                  <c:v>25.114032569999999</c:v>
                </c:pt>
                <c:pt idx="472">
                  <c:v>24.51902977</c:v>
                </c:pt>
                <c:pt idx="473">
                  <c:v>19.853100479999998</c:v>
                </c:pt>
                <c:pt idx="474">
                  <c:v>25.31876209</c:v>
                </c:pt>
                <c:pt idx="475">
                  <c:v>22.721899359999998</c:v>
                </c:pt>
                <c:pt idx="476">
                  <c:v>24.628849800000001</c:v>
                </c:pt>
                <c:pt idx="477">
                  <c:v>20.38526044</c:v>
                </c:pt>
                <c:pt idx="478">
                  <c:v>25.78925078</c:v>
                </c:pt>
                <c:pt idx="479">
                  <c:v>19.557648350000001</c:v>
                </c:pt>
                <c:pt idx="480">
                  <c:v>23.844217189999998</c:v>
                </c:pt>
                <c:pt idx="481">
                  <c:v>22.905258589999999</c:v>
                </c:pt>
                <c:pt idx="482">
                  <c:v>21.7940702</c:v>
                </c:pt>
                <c:pt idx="483">
                  <c:v>21.655028810000001</c:v>
                </c:pt>
                <c:pt idx="484">
                  <c:v>18.256681279999999</c:v>
                </c:pt>
                <c:pt idx="485">
                  <c:v>22.187515099999999</c:v>
                </c:pt>
                <c:pt idx="486">
                  <c:v>23.641753019999999</c:v>
                </c:pt>
                <c:pt idx="487">
                  <c:v>23.704580889999999</c:v>
                </c:pt>
                <c:pt idx="488">
                  <c:v>20.88311873</c:v>
                </c:pt>
                <c:pt idx="489">
                  <c:v>25.51080722</c:v>
                </c:pt>
                <c:pt idx="490">
                  <c:v>25.002732909999999</c:v>
                </c:pt>
                <c:pt idx="491">
                  <c:v>20.286128860000002</c:v>
                </c:pt>
                <c:pt idx="492">
                  <c:v>23.40090301</c:v>
                </c:pt>
                <c:pt idx="493">
                  <c:v>25.299344040000001</c:v>
                </c:pt>
                <c:pt idx="494">
                  <c:v>25.189343269999998</c:v>
                </c:pt>
                <c:pt idx="495">
                  <c:v>21.261495289999999</c:v>
                </c:pt>
                <c:pt idx="496">
                  <c:v>24.414372369999999</c:v>
                </c:pt>
                <c:pt idx="497">
                  <c:v>20.610954119999999</c:v>
                </c:pt>
                <c:pt idx="498">
                  <c:v>24.762293440000001</c:v>
                </c:pt>
                <c:pt idx="499">
                  <c:v>18.660645160000001</c:v>
                </c:pt>
                <c:pt idx="500">
                  <c:v>24.380945369999999</c:v>
                </c:pt>
                <c:pt idx="501">
                  <c:v>25.717165739999999</c:v>
                </c:pt>
                <c:pt idx="502">
                  <c:v>22.024589249999998</c:v>
                </c:pt>
                <c:pt idx="503">
                  <c:v>24.001663180000001</c:v>
                </c:pt>
                <c:pt idx="504">
                  <c:v>25.138288530000001</c:v>
                </c:pt>
                <c:pt idx="505">
                  <c:v>21.082047509999999</c:v>
                </c:pt>
                <c:pt idx="506">
                  <c:v>20.85961687</c:v>
                </c:pt>
                <c:pt idx="507">
                  <c:v>21.627326310000001</c:v>
                </c:pt>
                <c:pt idx="508">
                  <c:v>24.617838540000001</c:v>
                </c:pt>
                <c:pt idx="509">
                  <c:v>23.418940169999999</c:v>
                </c:pt>
                <c:pt idx="510">
                  <c:v>24.09157343</c:v>
                </c:pt>
                <c:pt idx="511">
                  <c:v>21.53346981</c:v>
                </c:pt>
                <c:pt idx="512">
                  <c:v>23.11172788</c:v>
                </c:pt>
                <c:pt idx="513">
                  <c:v>21.22534108</c:v>
                </c:pt>
                <c:pt idx="514">
                  <c:v>24.046446370000002</c:v>
                </c:pt>
                <c:pt idx="515">
                  <c:v>23.563837580000001</c:v>
                </c:pt>
                <c:pt idx="516">
                  <c:v>21.179118580000001</c:v>
                </c:pt>
                <c:pt idx="517">
                  <c:v>24.304612299999999</c:v>
                </c:pt>
                <c:pt idx="518">
                  <c:v>20.651851740000001</c:v>
                </c:pt>
                <c:pt idx="519">
                  <c:v>22.834569949999999</c:v>
                </c:pt>
                <c:pt idx="520">
                  <c:v>23.866945659999999</c:v>
                </c:pt>
                <c:pt idx="521">
                  <c:v>22.815389209999999</c:v>
                </c:pt>
                <c:pt idx="522">
                  <c:v>23.252825659999999</c:v>
                </c:pt>
                <c:pt idx="523">
                  <c:v>24.445653790000001</c:v>
                </c:pt>
                <c:pt idx="524">
                  <c:v>23.069733769999999</c:v>
                </c:pt>
                <c:pt idx="525">
                  <c:v>23.386705559999999</c:v>
                </c:pt>
                <c:pt idx="526">
                  <c:v>25.207867090000001</c:v>
                </c:pt>
                <c:pt idx="527">
                  <c:v>21.93048666</c:v>
                </c:pt>
                <c:pt idx="528">
                  <c:v>22.6000342</c:v>
                </c:pt>
                <c:pt idx="529">
                  <c:v>16.449978730000002</c:v>
                </c:pt>
                <c:pt idx="530">
                  <c:v>21.230993850000001</c:v>
                </c:pt>
                <c:pt idx="531">
                  <c:v>24.01404054</c:v>
                </c:pt>
                <c:pt idx="532">
                  <c:v>25.854610730000001</c:v>
                </c:pt>
                <c:pt idx="533">
                  <c:v>22.316846739999999</c:v>
                </c:pt>
                <c:pt idx="534">
                  <c:v>22.87470356</c:v>
                </c:pt>
                <c:pt idx="535">
                  <c:v>24.17571178</c:v>
                </c:pt>
                <c:pt idx="536">
                  <c:v>24.371179489999999</c:v>
                </c:pt>
                <c:pt idx="537">
                  <c:v>24.062052189999999</c:v>
                </c:pt>
                <c:pt idx="538">
                  <c:v>21.64561952</c:v>
                </c:pt>
                <c:pt idx="539">
                  <c:v>21.931519460000001</c:v>
                </c:pt>
                <c:pt idx="540">
                  <c:v>21.637239529999999</c:v>
                </c:pt>
                <c:pt idx="541">
                  <c:v>22.150555570000002</c:v>
                </c:pt>
                <c:pt idx="542">
                  <c:v>20.973940979999998</c:v>
                </c:pt>
                <c:pt idx="543">
                  <c:v>22.216246470000002</c:v>
                </c:pt>
                <c:pt idx="544">
                  <c:v>21.207739060000002</c:v>
                </c:pt>
                <c:pt idx="545">
                  <c:v>26.327465660000001</c:v>
                </c:pt>
                <c:pt idx="546">
                  <c:v>25.193094240000001</c:v>
                </c:pt>
                <c:pt idx="547">
                  <c:v>24.965366289999999</c:v>
                </c:pt>
                <c:pt idx="548">
                  <c:v>23.48041169</c:v>
                </c:pt>
                <c:pt idx="549">
                  <c:v>21.688624560000001</c:v>
                </c:pt>
                <c:pt idx="550">
                  <c:v>23.779209049999999</c:v>
                </c:pt>
                <c:pt idx="551">
                  <c:v>29.029423420000001</c:v>
                </c:pt>
                <c:pt idx="552">
                  <c:v>24.422821160000002</c:v>
                </c:pt>
                <c:pt idx="553">
                  <c:v>25.688636420000002</c:v>
                </c:pt>
                <c:pt idx="554">
                  <c:v>21.889110410000001</c:v>
                </c:pt>
                <c:pt idx="555">
                  <c:v>27.554172999999999</c:v>
                </c:pt>
                <c:pt idx="556">
                  <c:v>24.46200125</c:v>
                </c:pt>
                <c:pt idx="557">
                  <c:v>21.25241076</c:v>
                </c:pt>
                <c:pt idx="558">
                  <c:v>23.858356239999999</c:v>
                </c:pt>
                <c:pt idx="559">
                  <c:v>24.879961640000001</c:v>
                </c:pt>
                <c:pt idx="560">
                  <c:v>22.125585109999999</c:v>
                </c:pt>
                <c:pt idx="561">
                  <c:v>23.16893357</c:v>
                </c:pt>
                <c:pt idx="562">
                  <c:v>24.912590000000002</c:v>
                </c:pt>
                <c:pt idx="563">
                  <c:v>20.21608324</c:v>
                </c:pt>
                <c:pt idx="564">
                  <c:v>21.466271920000001</c:v>
                </c:pt>
                <c:pt idx="565">
                  <c:v>22.92021123</c:v>
                </c:pt>
                <c:pt idx="566">
                  <c:v>22.484759029999999</c:v>
                </c:pt>
                <c:pt idx="567">
                  <c:v>23.299195919999999</c:v>
                </c:pt>
                <c:pt idx="568">
                  <c:v>21.615298450000001</c:v>
                </c:pt>
                <c:pt idx="569">
                  <c:v>22.150201819999999</c:v>
                </c:pt>
                <c:pt idx="570">
                  <c:v>24.59611975</c:v>
                </c:pt>
                <c:pt idx="571">
                  <c:v>20.66469644</c:v>
                </c:pt>
                <c:pt idx="572">
                  <c:v>21.237150190000001</c:v>
                </c:pt>
                <c:pt idx="573">
                  <c:v>22.1707462</c:v>
                </c:pt>
                <c:pt idx="574">
                  <c:v>23.437318609999998</c:v>
                </c:pt>
                <c:pt idx="575">
                  <c:v>24.112044189999999</c:v>
                </c:pt>
                <c:pt idx="576">
                  <c:v>23.298912179999999</c:v>
                </c:pt>
                <c:pt idx="577">
                  <c:v>23.720786789999998</c:v>
                </c:pt>
                <c:pt idx="578">
                  <c:v>23.061495170000001</c:v>
                </c:pt>
                <c:pt idx="579">
                  <c:v>20.887938399999999</c:v>
                </c:pt>
                <c:pt idx="580">
                  <c:v>24.754701010000002</c:v>
                </c:pt>
                <c:pt idx="581">
                  <c:v>21.364635209999999</c:v>
                </c:pt>
                <c:pt idx="582">
                  <c:v>22.274427339999999</c:v>
                </c:pt>
                <c:pt idx="583">
                  <c:v>25.58151685</c:v>
                </c:pt>
                <c:pt idx="584">
                  <c:v>24.219658160000002</c:v>
                </c:pt>
                <c:pt idx="585">
                  <c:v>26.14746843</c:v>
                </c:pt>
                <c:pt idx="586">
                  <c:v>24.715797649999999</c:v>
                </c:pt>
                <c:pt idx="587">
                  <c:v>22.45517997</c:v>
                </c:pt>
                <c:pt idx="588">
                  <c:v>22.612589239999998</c:v>
                </c:pt>
                <c:pt idx="589">
                  <c:v>25.168396489999999</c:v>
                </c:pt>
                <c:pt idx="590">
                  <c:v>23.512341209999999</c:v>
                </c:pt>
                <c:pt idx="591">
                  <c:v>22.305627009999998</c:v>
                </c:pt>
                <c:pt idx="592">
                  <c:v>22.450395390000001</c:v>
                </c:pt>
                <c:pt idx="593">
                  <c:v>22.907477570000001</c:v>
                </c:pt>
                <c:pt idx="594">
                  <c:v>22.61951831</c:v>
                </c:pt>
                <c:pt idx="595">
                  <c:v>22.777018429999998</c:v>
                </c:pt>
                <c:pt idx="596">
                  <c:v>24.319399539999999</c:v>
                </c:pt>
                <c:pt idx="597">
                  <c:v>22.289766870000001</c:v>
                </c:pt>
                <c:pt idx="598">
                  <c:v>25.18420592</c:v>
                </c:pt>
                <c:pt idx="599">
                  <c:v>20.624469520000002</c:v>
                </c:pt>
                <c:pt idx="600">
                  <c:v>21.471626430000001</c:v>
                </c:pt>
                <c:pt idx="601">
                  <c:v>16.857698020000001</c:v>
                </c:pt>
                <c:pt idx="602">
                  <c:v>20.086637119999999</c:v>
                </c:pt>
                <c:pt idx="603">
                  <c:v>24.375865940000001</c:v>
                </c:pt>
                <c:pt idx="604">
                  <c:v>23.430441470000002</c:v>
                </c:pt>
                <c:pt idx="605">
                  <c:v>26.409184190000001</c:v>
                </c:pt>
                <c:pt idx="606">
                  <c:v>25.180366939999999</c:v>
                </c:pt>
                <c:pt idx="607">
                  <c:v>23.82596113</c:v>
                </c:pt>
                <c:pt idx="608">
                  <c:v>22.035372859999999</c:v>
                </c:pt>
                <c:pt idx="609">
                  <c:v>20.177489990000002</c:v>
                </c:pt>
                <c:pt idx="610">
                  <c:v>23.330807320000002</c:v>
                </c:pt>
                <c:pt idx="611">
                  <c:v>22.54578798</c:v>
                </c:pt>
                <c:pt idx="612">
                  <c:v>20.52087543</c:v>
                </c:pt>
                <c:pt idx="613">
                  <c:v>21.508115750000002</c:v>
                </c:pt>
                <c:pt idx="614">
                  <c:v>25.584120670000001</c:v>
                </c:pt>
                <c:pt idx="615">
                  <c:v>20.535137519999999</c:v>
                </c:pt>
                <c:pt idx="616">
                  <c:v>22.654741730000001</c:v>
                </c:pt>
                <c:pt idx="617">
                  <c:v>20.908941030000001</c:v>
                </c:pt>
                <c:pt idx="618">
                  <c:v>20.565039630000001</c:v>
                </c:pt>
                <c:pt idx="619">
                  <c:v>26.80053685</c:v>
                </c:pt>
                <c:pt idx="620">
                  <c:v>25.37229095</c:v>
                </c:pt>
                <c:pt idx="621">
                  <c:v>25.24986509</c:v>
                </c:pt>
                <c:pt idx="622">
                  <c:v>20.112885930000001</c:v>
                </c:pt>
                <c:pt idx="623">
                  <c:v>23.837519919999998</c:v>
                </c:pt>
                <c:pt idx="624">
                  <c:v>25.07721214</c:v>
                </c:pt>
                <c:pt idx="625">
                  <c:v>21.120064339999999</c:v>
                </c:pt>
                <c:pt idx="626">
                  <c:v>21.434802810000001</c:v>
                </c:pt>
                <c:pt idx="627">
                  <c:v>26.198109030000001</c:v>
                </c:pt>
                <c:pt idx="628">
                  <c:v>25.020549169999999</c:v>
                </c:pt>
                <c:pt idx="629">
                  <c:v>25.77097268</c:v>
                </c:pt>
                <c:pt idx="630">
                  <c:v>23.35924455</c:v>
                </c:pt>
                <c:pt idx="631">
                  <c:v>21.871607640000001</c:v>
                </c:pt>
                <c:pt idx="632">
                  <c:v>26.42205762</c:v>
                </c:pt>
                <c:pt idx="633">
                  <c:v>22.94901174</c:v>
                </c:pt>
                <c:pt idx="634">
                  <c:v>19.393365490000001</c:v>
                </c:pt>
                <c:pt idx="635">
                  <c:v>21.74511433</c:v>
                </c:pt>
                <c:pt idx="636">
                  <c:v>22.104077319999998</c:v>
                </c:pt>
                <c:pt idx="637">
                  <c:v>21.851834849999999</c:v>
                </c:pt>
                <c:pt idx="638">
                  <c:v>29.17977922</c:v>
                </c:pt>
                <c:pt idx="639">
                  <c:v>18.46100427</c:v>
                </c:pt>
                <c:pt idx="640">
                  <c:v>21.962666559999999</c:v>
                </c:pt>
                <c:pt idx="641">
                  <c:v>21.540260830000001</c:v>
                </c:pt>
                <c:pt idx="642">
                  <c:v>21.430340189999999</c:v>
                </c:pt>
                <c:pt idx="643">
                  <c:v>24.698285210000002</c:v>
                </c:pt>
                <c:pt idx="644">
                  <c:v>29.196598869999999</c:v>
                </c:pt>
                <c:pt idx="645">
                  <c:v>20.417920850000002</c:v>
                </c:pt>
                <c:pt idx="646">
                  <c:v>18.129375339999999</c:v>
                </c:pt>
                <c:pt idx="647">
                  <c:v>26.722514749999998</c:v>
                </c:pt>
                <c:pt idx="648">
                  <c:v>20.79363124</c:v>
                </c:pt>
                <c:pt idx="649">
                  <c:v>20.086824050000001</c:v>
                </c:pt>
                <c:pt idx="650">
                  <c:v>21.219245879999999</c:v>
                </c:pt>
                <c:pt idx="651">
                  <c:v>22.330394030000001</c:v>
                </c:pt>
                <c:pt idx="652">
                  <c:v>21.500303580000001</c:v>
                </c:pt>
                <c:pt idx="653">
                  <c:v>23.976190760000001</c:v>
                </c:pt>
                <c:pt idx="654">
                  <c:v>21.525240190000002</c:v>
                </c:pt>
                <c:pt idx="655">
                  <c:v>23.075083679999999</c:v>
                </c:pt>
                <c:pt idx="656">
                  <c:v>22.63253345</c:v>
                </c:pt>
                <c:pt idx="657">
                  <c:v>24.291780840000001</c:v>
                </c:pt>
                <c:pt idx="658">
                  <c:v>23.507413440000001</c:v>
                </c:pt>
                <c:pt idx="659">
                  <c:v>21.32103682</c:v>
                </c:pt>
                <c:pt idx="660">
                  <c:v>23.002219889999999</c:v>
                </c:pt>
                <c:pt idx="661">
                  <c:v>23.273194790000002</c:v>
                </c:pt>
                <c:pt idx="662">
                  <c:v>27.416838179999999</c:v>
                </c:pt>
                <c:pt idx="663">
                  <c:v>24.371715640000001</c:v>
                </c:pt>
                <c:pt idx="664">
                  <c:v>26.306619269999999</c:v>
                </c:pt>
                <c:pt idx="665">
                  <c:v>23.18855859</c:v>
                </c:pt>
                <c:pt idx="666">
                  <c:v>24.877447230000001</c:v>
                </c:pt>
                <c:pt idx="667">
                  <c:v>21.115879629999998</c:v>
                </c:pt>
                <c:pt idx="668">
                  <c:v>23.275791550000001</c:v>
                </c:pt>
                <c:pt idx="669">
                  <c:v>21.894208129999999</c:v>
                </c:pt>
                <c:pt idx="670">
                  <c:v>23.302462139999999</c:v>
                </c:pt>
                <c:pt idx="671">
                  <c:v>24.177270920000002</c:v>
                </c:pt>
                <c:pt idx="672">
                  <c:v>25.75436187</c:v>
                </c:pt>
                <c:pt idx="673">
                  <c:v>23.098656330000001</c:v>
                </c:pt>
                <c:pt idx="674">
                  <c:v>22.317380310000001</c:v>
                </c:pt>
                <c:pt idx="675">
                  <c:v>23.11008511</c:v>
                </c:pt>
                <c:pt idx="676">
                  <c:v>22.728947460000001</c:v>
                </c:pt>
                <c:pt idx="677">
                  <c:v>22.6745926</c:v>
                </c:pt>
                <c:pt idx="678">
                  <c:v>24.412461950000001</c:v>
                </c:pt>
                <c:pt idx="679">
                  <c:v>27.67565549</c:v>
                </c:pt>
                <c:pt idx="680">
                  <c:v>24.64470094</c:v>
                </c:pt>
                <c:pt idx="681">
                  <c:v>21.367690020000001</c:v>
                </c:pt>
                <c:pt idx="682">
                  <c:v>25.17980992</c:v>
                </c:pt>
                <c:pt idx="683">
                  <c:v>22.966863180000001</c:v>
                </c:pt>
                <c:pt idx="684">
                  <c:v>25.58109645</c:v>
                </c:pt>
                <c:pt idx="685">
                  <c:v>21.453940580000001</c:v>
                </c:pt>
                <c:pt idx="686">
                  <c:v>23.632136280000001</c:v>
                </c:pt>
                <c:pt idx="687">
                  <c:v>22.682924620000001</c:v>
                </c:pt>
                <c:pt idx="688">
                  <c:v>24.422384910000002</c:v>
                </c:pt>
                <c:pt idx="689">
                  <c:v>27.476706320000002</c:v>
                </c:pt>
                <c:pt idx="690">
                  <c:v>24.962767979999999</c:v>
                </c:pt>
                <c:pt idx="691">
                  <c:v>21.895477499999998</c:v>
                </c:pt>
                <c:pt idx="692">
                  <c:v>27.583822529999999</c:v>
                </c:pt>
                <c:pt idx="693">
                  <c:v>24.967704690000001</c:v>
                </c:pt>
                <c:pt idx="694">
                  <c:v>25.843165710000001</c:v>
                </c:pt>
                <c:pt idx="695">
                  <c:v>22.087005399999999</c:v>
                </c:pt>
                <c:pt idx="696">
                  <c:v>24.583308410000001</c:v>
                </c:pt>
                <c:pt idx="697">
                  <c:v>21.790186469999998</c:v>
                </c:pt>
                <c:pt idx="698">
                  <c:v>25.77952827</c:v>
                </c:pt>
                <c:pt idx="699">
                  <c:v>21.79922861</c:v>
                </c:pt>
                <c:pt idx="700">
                  <c:v>27.78383986</c:v>
                </c:pt>
                <c:pt idx="701">
                  <c:v>24.82043157</c:v>
                </c:pt>
                <c:pt idx="702">
                  <c:v>20.919602579999999</c:v>
                </c:pt>
                <c:pt idx="703">
                  <c:v>21.258891290000001</c:v>
                </c:pt>
                <c:pt idx="704">
                  <c:v>24.72236908</c:v>
                </c:pt>
                <c:pt idx="705">
                  <c:v>24.914609649999999</c:v>
                </c:pt>
                <c:pt idx="706">
                  <c:v>22.113473070000001</c:v>
                </c:pt>
                <c:pt idx="707">
                  <c:v>22.13591237</c:v>
                </c:pt>
                <c:pt idx="708">
                  <c:v>22.712680939999998</c:v>
                </c:pt>
                <c:pt idx="709">
                  <c:v>18.845760290000001</c:v>
                </c:pt>
                <c:pt idx="710">
                  <c:v>21.35824216</c:v>
                </c:pt>
                <c:pt idx="711">
                  <c:v>22.656652690000001</c:v>
                </c:pt>
                <c:pt idx="712">
                  <c:v>23.878905379999999</c:v>
                </c:pt>
                <c:pt idx="713">
                  <c:v>23.233660350000001</c:v>
                </c:pt>
                <c:pt idx="714">
                  <c:v>22.268645830000001</c:v>
                </c:pt>
                <c:pt idx="715">
                  <c:v>24.9320816</c:v>
                </c:pt>
                <c:pt idx="716">
                  <c:v>25.605180789999999</c:v>
                </c:pt>
                <c:pt idx="717">
                  <c:v>21.742659509999999</c:v>
                </c:pt>
                <c:pt idx="718">
                  <c:v>19.200659439999999</c:v>
                </c:pt>
                <c:pt idx="719">
                  <c:v>21.467909599999999</c:v>
                </c:pt>
                <c:pt idx="720">
                  <c:v>20.636036010000002</c:v>
                </c:pt>
                <c:pt idx="721">
                  <c:v>21.300558160000001</c:v>
                </c:pt>
                <c:pt idx="722">
                  <c:v>19.340636369999999</c:v>
                </c:pt>
                <c:pt idx="723">
                  <c:v>23.47552233</c:v>
                </c:pt>
                <c:pt idx="724">
                  <c:v>24.994531139999999</c:v>
                </c:pt>
                <c:pt idx="725">
                  <c:v>25.13075254</c:v>
                </c:pt>
                <c:pt idx="726">
                  <c:v>20.553559539999998</c:v>
                </c:pt>
                <c:pt idx="727">
                  <c:v>17.593303909999999</c:v>
                </c:pt>
                <c:pt idx="728">
                  <c:v>24.00234253</c:v>
                </c:pt>
                <c:pt idx="729">
                  <c:v>23.967557670000001</c:v>
                </c:pt>
                <c:pt idx="730">
                  <c:v>21.966771600000001</c:v>
                </c:pt>
                <c:pt idx="731">
                  <c:v>24.47881898</c:v>
                </c:pt>
                <c:pt idx="732">
                  <c:v>22.720402159999999</c:v>
                </c:pt>
                <c:pt idx="733">
                  <c:v>24.00652045</c:v>
                </c:pt>
                <c:pt idx="734">
                  <c:v>23.317512099999998</c:v>
                </c:pt>
                <c:pt idx="735">
                  <c:v>22.424187849999999</c:v>
                </c:pt>
                <c:pt idx="736">
                  <c:v>18.93150228</c:v>
                </c:pt>
                <c:pt idx="737">
                  <c:v>24.825240650000001</c:v>
                </c:pt>
                <c:pt idx="738">
                  <c:v>24.363486819999999</c:v>
                </c:pt>
                <c:pt idx="739">
                  <c:v>23.122057170000001</c:v>
                </c:pt>
                <c:pt idx="740">
                  <c:v>23.74706737</c:v>
                </c:pt>
                <c:pt idx="741">
                  <c:v>22.213235399999999</c:v>
                </c:pt>
                <c:pt idx="742">
                  <c:v>22.371170429999999</c:v>
                </c:pt>
                <c:pt idx="743">
                  <c:v>21.043384100000001</c:v>
                </c:pt>
                <c:pt idx="744">
                  <c:v>24.303422149999999</c:v>
                </c:pt>
                <c:pt idx="745">
                  <c:v>19.252059849999998</c:v>
                </c:pt>
                <c:pt idx="746">
                  <c:v>23.771499940000002</c:v>
                </c:pt>
                <c:pt idx="747">
                  <c:v>23.287529289999998</c:v>
                </c:pt>
                <c:pt idx="748">
                  <c:v>24.430348779999999</c:v>
                </c:pt>
                <c:pt idx="749">
                  <c:v>24.549161000000002</c:v>
                </c:pt>
                <c:pt idx="750">
                  <c:v>20.680758780000001</c:v>
                </c:pt>
                <c:pt idx="751">
                  <c:v>25.868619339999999</c:v>
                </c:pt>
                <c:pt idx="752">
                  <c:v>20.23645952</c:v>
                </c:pt>
                <c:pt idx="753">
                  <c:v>25.811426099999998</c:v>
                </c:pt>
                <c:pt idx="754">
                  <c:v>20.99737069</c:v>
                </c:pt>
                <c:pt idx="755">
                  <c:v>24.788465550000002</c:v>
                </c:pt>
                <c:pt idx="756">
                  <c:v>24.639479430000002</c:v>
                </c:pt>
                <c:pt idx="757">
                  <c:v>20.80624984</c:v>
                </c:pt>
                <c:pt idx="758">
                  <c:v>23.021272539999998</c:v>
                </c:pt>
                <c:pt idx="759">
                  <c:v>19.757983429999999</c:v>
                </c:pt>
                <c:pt idx="760">
                  <c:v>23.518267309999999</c:v>
                </c:pt>
                <c:pt idx="761">
                  <c:v>22.06174068</c:v>
                </c:pt>
                <c:pt idx="762">
                  <c:v>24.498565110000001</c:v>
                </c:pt>
                <c:pt idx="763">
                  <c:v>23.884633740000002</c:v>
                </c:pt>
                <c:pt idx="764">
                  <c:v>19.744204310000001</c:v>
                </c:pt>
                <c:pt idx="765">
                  <c:v>20.503458980000001</c:v>
                </c:pt>
                <c:pt idx="766">
                  <c:v>21.42486426</c:v>
                </c:pt>
                <c:pt idx="767">
                  <c:v>24.40545135</c:v>
                </c:pt>
                <c:pt idx="768">
                  <c:v>21.33465769</c:v>
                </c:pt>
                <c:pt idx="769">
                  <c:v>26.383669680000001</c:v>
                </c:pt>
                <c:pt idx="770">
                  <c:v>20.5110271</c:v>
                </c:pt>
                <c:pt idx="771">
                  <c:v>24.893615130000001</c:v>
                </c:pt>
                <c:pt idx="772">
                  <c:v>23.784461350000001</c:v>
                </c:pt>
                <c:pt idx="773">
                  <c:v>24.593609669999999</c:v>
                </c:pt>
                <c:pt idx="774">
                  <c:v>22.007444929999998</c:v>
                </c:pt>
                <c:pt idx="775">
                  <c:v>23.494961100000001</c:v>
                </c:pt>
                <c:pt idx="776">
                  <c:v>25.211429150000001</c:v>
                </c:pt>
                <c:pt idx="777">
                  <c:v>25.01991099</c:v>
                </c:pt>
                <c:pt idx="778">
                  <c:v>28.333810440000001</c:v>
                </c:pt>
                <c:pt idx="779">
                  <c:v>23.460111220000002</c:v>
                </c:pt>
                <c:pt idx="780">
                  <c:v>22.62593274</c:v>
                </c:pt>
                <c:pt idx="781">
                  <c:v>23.599391109999999</c:v>
                </c:pt>
                <c:pt idx="782">
                  <c:v>22.44622129</c:v>
                </c:pt>
                <c:pt idx="783">
                  <c:v>24.17615335</c:v>
                </c:pt>
                <c:pt idx="784">
                  <c:v>22.1699108</c:v>
                </c:pt>
                <c:pt idx="785">
                  <c:v>27.48784255</c:v>
                </c:pt>
                <c:pt idx="786">
                  <c:v>20.686117209999999</c:v>
                </c:pt>
                <c:pt idx="787">
                  <c:v>22.51384389</c:v>
                </c:pt>
                <c:pt idx="788">
                  <c:v>23.024339359999999</c:v>
                </c:pt>
                <c:pt idx="789">
                  <c:v>26.9062144</c:v>
                </c:pt>
                <c:pt idx="790">
                  <c:v>22.735992289999999</c:v>
                </c:pt>
                <c:pt idx="791">
                  <c:v>21.131691589999999</c:v>
                </c:pt>
                <c:pt idx="792">
                  <c:v>26.538674650000001</c:v>
                </c:pt>
                <c:pt idx="793">
                  <c:v>20.48396018</c:v>
                </c:pt>
                <c:pt idx="794">
                  <c:v>21.192288919999999</c:v>
                </c:pt>
                <c:pt idx="795">
                  <c:v>22.044320299999999</c:v>
                </c:pt>
                <c:pt idx="796">
                  <c:v>21.569502960000001</c:v>
                </c:pt>
                <c:pt idx="797">
                  <c:v>22.061203679999998</c:v>
                </c:pt>
                <c:pt idx="798">
                  <c:v>22.424883779999998</c:v>
                </c:pt>
                <c:pt idx="799">
                  <c:v>25.372922070000001</c:v>
                </c:pt>
                <c:pt idx="800">
                  <c:v>23.403160230000001</c:v>
                </c:pt>
                <c:pt idx="801">
                  <c:v>23.279303349999999</c:v>
                </c:pt>
                <c:pt idx="802">
                  <c:v>26.4793305</c:v>
                </c:pt>
                <c:pt idx="803">
                  <c:v>22.885205070000001</c:v>
                </c:pt>
                <c:pt idx="804">
                  <c:v>24.376410610000001</c:v>
                </c:pt>
                <c:pt idx="805">
                  <c:v>24.39790614</c:v>
                </c:pt>
                <c:pt idx="806">
                  <c:v>25.38067268</c:v>
                </c:pt>
                <c:pt idx="807">
                  <c:v>24.43833733</c:v>
                </c:pt>
                <c:pt idx="808">
                  <c:v>22.350210369999999</c:v>
                </c:pt>
                <c:pt idx="809">
                  <c:v>24.809924079999998</c:v>
                </c:pt>
                <c:pt idx="810">
                  <c:v>22.982067350000001</c:v>
                </c:pt>
                <c:pt idx="811">
                  <c:v>20.34900206</c:v>
                </c:pt>
                <c:pt idx="812">
                  <c:v>23.912498979999999</c:v>
                </c:pt>
                <c:pt idx="813">
                  <c:v>20.984395339999999</c:v>
                </c:pt>
                <c:pt idx="814">
                  <c:v>22.698126769999998</c:v>
                </c:pt>
                <c:pt idx="815">
                  <c:v>24.238192959999999</c:v>
                </c:pt>
                <c:pt idx="816">
                  <c:v>21.512567829999998</c:v>
                </c:pt>
                <c:pt idx="817">
                  <c:v>25.622324590000002</c:v>
                </c:pt>
                <c:pt idx="818">
                  <c:v>22.32626759</c:v>
                </c:pt>
                <c:pt idx="819">
                  <c:v>23.74888245</c:v>
                </c:pt>
                <c:pt idx="820">
                  <c:v>23.427122399999998</c:v>
                </c:pt>
                <c:pt idx="821">
                  <c:v>22.780271750000001</c:v>
                </c:pt>
                <c:pt idx="822">
                  <c:v>19.24998523</c:v>
                </c:pt>
                <c:pt idx="823">
                  <c:v>22.960163210000001</c:v>
                </c:pt>
                <c:pt idx="824">
                  <c:v>20.152012299999999</c:v>
                </c:pt>
                <c:pt idx="825">
                  <c:v>23.318354230000001</c:v>
                </c:pt>
                <c:pt idx="826">
                  <c:v>20.873290999999998</c:v>
                </c:pt>
                <c:pt idx="827">
                  <c:v>21.35768058</c:v>
                </c:pt>
                <c:pt idx="828">
                  <c:v>20.63805503</c:v>
                </c:pt>
                <c:pt idx="829">
                  <c:v>22.80931782</c:v>
                </c:pt>
                <c:pt idx="830">
                  <c:v>22.32436981</c:v>
                </c:pt>
                <c:pt idx="831">
                  <c:v>22.47128833</c:v>
                </c:pt>
                <c:pt idx="832">
                  <c:v>24.115007640000002</c:v>
                </c:pt>
                <c:pt idx="833">
                  <c:v>23.319681150000001</c:v>
                </c:pt>
                <c:pt idx="834">
                  <c:v>24.970799419999999</c:v>
                </c:pt>
                <c:pt idx="835">
                  <c:v>22.627984609999999</c:v>
                </c:pt>
                <c:pt idx="836">
                  <c:v>20.428990949999999</c:v>
                </c:pt>
                <c:pt idx="837">
                  <c:v>24.219760090000001</c:v>
                </c:pt>
                <c:pt idx="838">
                  <c:v>23.684212080000002</c:v>
                </c:pt>
                <c:pt idx="839">
                  <c:v>22.719433930000001</c:v>
                </c:pt>
                <c:pt idx="840">
                  <c:v>22.283192849999999</c:v>
                </c:pt>
                <c:pt idx="841">
                  <c:v>20.57325986</c:v>
                </c:pt>
                <c:pt idx="842">
                  <c:v>25.378452920000001</c:v>
                </c:pt>
                <c:pt idx="843">
                  <c:v>21.489002230000001</c:v>
                </c:pt>
                <c:pt idx="844">
                  <c:v>21.718735540000001</c:v>
                </c:pt>
                <c:pt idx="845">
                  <c:v>22.97136111</c:v>
                </c:pt>
                <c:pt idx="846">
                  <c:v>21.395456329999998</c:v>
                </c:pt>
                <c:pt idx="847">
                  <c:v>25.145859229999999</c:v>
                </c:pt>
                <c:pt idx="848">
                  <c:v>25.871141990000002</c:v>
                </c:pt>
                <c:pt idx="849">
                  <c:v>24.89062354</c:v>
                </c:pt>
                <c:pt idx="850">
                  <c:v>24.519574469999998</c:v>
                </c:pt>
                <c:pt idx="851">
                  <c:v>18.898400290000001</c:v>
                </c:pt>
                <c:pt idx="852">
                  <c:v>21.45773007</c:v>
                </c:pt>
                <c:pt idx="853">
                  <c:v>23.81937069</c:v>
                </c:pt>
                <c:pt idx="854">
                  <c:v>20.73718878</c:v>
                </c:pt>
                <c:pt idx="855">
                  <c:v>26.151751619999999</c:v>
                </c:pt>
                <c:pt idx="856">
                  <c:v>22.505328070000001</c:v>
                </c:pt>
                <c:pt idx="857">
                  <c:v>19.907444160000001</c:v>
                </c:pt>
                <c:pt idx="858">
                  <c:v>23.235414840000001</c:v>
                </c:pt>
                <c:pt idx="859">
                  <c:v>22.30683084</c:v>
                </c:pt>
                <c:pt idx="860">
                  <c:v>20.185413109999999</c:v>
                </c:pt>
                <c:pt idx="861">
                  <c:v>24.641845759999999</c:v>
                </c:pt>
                <c:pt idx="862">
                  <c:v>25.146041990000001</c:v>
                </c:pt>
                <c:pt idx="863">
                  <c:v>21.901543719999999</c:v>
                </c:pt>
                <c:pt idx="864">
                  <c:v>25.8407597</c:v>
                </c:pt>
                <c:pt idx="865">
                  <c:v>25.09696975</c:v>
                </c:pt>
                <c:pt idx="866">
                  <c:v>22.882334289999999</c:v>
                </c:pt>
                <c:pt idx="867">
                  <c:v>24.28389426</c:v>
                </c:pt>
                <c:pt idx="868">
                  <c:v>19.638209830000001</c:v>
                </c:pt>
                <c:pt idx="869">
                  <c:v>22.863409709999999</c:v>
                </c:pt>
                <c:pt idx="870">
                  <c:v>20.472238340000001</c:v>
                </c:pt>
                <c:pt idx="871">
                  <c:v>22.082246309999999</c:v>
                </c:pt>
                <c:pt idx="872">
                  <c:v>21.835877329999999</c:v>
                </c:pt>
                <c:pt idx="873">
                  <c:v>25.571164469999999</c:v>
                </c:pt>
                <c:pt idx="874">
                  <c:v>22.584831309999998</c:v>
                </c:pt>
                <c:pt idx="875">
                  <c:v>23.777637819999999</c:v>
                </c:pt>
                <c:pt idx="876">
                  <c:v>22.450712500000002</c:v>
                </c:pt>
                <c:pt idx="877">
                  <c:v>21.621776400000002</c:v>
                </c:pt>
                <c:pt idx="878">
                  <c:v>24.050614929999998</c:v>
                </c:pt>
                <c:pt idx="879">
                  <c:v>24.819566689999998</c:v>
                </c:pt>
                <c:pt idx="880">
                  <c:v>20.112148909999998</c:v>
                </c:pt>
                <c:pt idx="881">
                  <c:v>21.671235419999999</c:v>
                </c:pt>
                <c:pt idx="882">
                  <c:v>21.881672330000001</c:v>
                </c:pt>
                <c:pt idx="883">
                  <c:v>21.54254121</c:v>
                </c:pt>
                <c:pt idx="884">
                  <c:v>22.854284620000001</c:v>
                </c:pt>
                <c:pt idx="885">
                  <c:v>23.918360329999999</c:v>
                </c:pt>
                <c:pt idx="886">
                  <c:v>24.736888619999998</c:v>
                </c:pt>
                <c:pt idx="887">
                  <c:v>22.423874399999999</c:v>
                </c:pt>
                <c:pt idx="888">
                  <c:v>27.241987129999998</c:v>
                </c:pt>
                <c:pt idx="889">
                  <c:v>19.74975748</c:v>
                </c:pt>
                <c:pt idx="890">
                  <c:v>25.96891819</c:v>
                </c:pt>
                <c:pt idx="891">
                  <c:v>22.479160929999999</c:v>
                </c:pt>
                <c:pt idx="892">
                  <c:v>22.152618570000001</c:v>
                </c:pt>
                <c:pt idx="893">
                  <c:v>24.729698450000001</c:v>
                </c:pt>
                <c:pt idx="894">
                  <c:v>26.620605220000002</c:v>
                </c:pt>
                <c:pt idx="895">
                  <c:v>21.94216724</c:v>
                </c:pt>
                <c:pt idx="896">
                  <c:v>20.899124740000001</c:v>
                </c:pt>
                <c:pt idx="897">
                  <c:v>23.08379184</c:v>
                </c:pt>
                <c:pt idx="898">
                  <c:v>22.038851170000001</c:v>
                </c:pt>
                <c:pt idx="899">
                  <c:v>24.327682719999999</c:v>
                </c:pt>
                <c:pt idx="900">
                  <c:v>23.14548666</c:v>
                </c:pt>
                <c:pt idx="901">
                  <c:v>24.75802831</c:v>
                </c:pt>
                <c:pt idx="902">
                  <c:v>19.939441729999999</c:v>
                </c:pt>
                <c:pt idx="903">
                  <c:v>22.011596900000001</c:v>
                </c:pt>
                <c:pt idx="904">
                  <c:v>21.99115463</c:v>
                </c:pt>
                <c:pt idx="905">
                  <c:v>28.361017740000001</c:v>
                </c:pt>
                <c:pt idx="906">
                  <c:v>24.752426150000002</c:v>
                </c:pt>
                <c:pt idx="907">
                  <c:v>26.200195690000001</c:v>
                </c:pt>
                <c:pt idx="908">
                  <c:v>22.372542549999999</c:v>
                </c:pt>
                <c:pt idx="909">
                  <c:v>21.474289120000002</c:v>
                </c:pt>
                <c:pt idx="910">
                  <c:v>21.425927439999999</c:v>
                </c:pt>
                <c:pt idx="911">
                  <c:v>24.089249150000001</c:v>
                </c:pt>
                <c:pt idx="912">
                  <c:v>22.134724970000001</c:v>
                </c:pt>
                <c:pt idx="913">
                  <c:v>22.454679120000002</c:v>
                </c:pt>
                <c:pt idx="914">
                  <c:v>29.754765840000001</c:v>
                </c:pt>
                <c:pt idx="915">
                  <c:v>21.962724009999999</c:v>
                </c:pt>
                <c:pt idx="916">
                  <c:v>20.046685549999999</c:v>
                </c:pt>
                <c:pt idx="917">
                  <c:v>20.752243190000002</c:v>
                </c:pt>
                <c:pt idx="918">
                  <c:v>25.054091700000001</c:v>
                </c:pt>
                <c:pt idx="919">
                  <c:v>22.82325342</c:v>
                </c:pt>
                <c:pt idx="920">
                  <c:v>24.662997730000001</c:v>
                </c:pt>
                <c:pt idx="921">
                  <c:v>21.07110746</c:v>
                </c:pt>
                <c:pt idx="922">
                  <c:v>23.1315773</c:v>
                </c:pt>
                <c:pt idx="923">
                  <c:v>24.575862499999999</c:v>
                </c:pt>
                <c:pt idx="924">
                  <c:v>25.80220813</c:v>
                </c:pt>
                <c:pt idx="925">
                  <c:v>23.85752252</c:v>
                </c:pt>
                <c:pt idx="926">
                  <c:v>24.17840026</c:v>
                </c:pt>
                <c:pt idx="927">
                  <c:v>22.073164859999999</c:v>
                </c:pt>
                <c:pt idx="928">
                  <c:v>23.79182844</c:v>
                </c:pt>
                <c:pt idx="929">
                  <c:v>23.467730199999998</c:v>
                </c:pt>
                <c:pt idx="930">
                  <c:v>20.88432676</c:v>
                </c:pt>
                <c:pt idx="931">
                  <c:v>22.87045548</c:v>
                </c:pt>
                <c:pt idx="932">
                  <c:v>21.803441329999998</c:v>
                </c:pt>
                <c:pt idx="933">
                  <c:v>24.62893347</c:v>
                </c:pt>
                <c:pt idx="934">
                  <c:v>20.5424477</c:v>
                </c:pt>
                <c:pt idx="935">
                  <c:v>21.228572400000001</c:v>
                </c:pt>
                <c:pt idx="936">
                  <c:v>23.675225189999999</c:v>
                </c:pt>
                <c:pt idx="937">
                  <c:v>22.848657849999999</c:v>
                </c:pt>
                <c:pt idx="938">
                  <c:v>24.996232979999998</c:v>
                </c:pt>
                <c:pt idx="939">
                  <c:v>20.827216239999998</c:v>
                </c:pt>
                <c:pt idx="940">
                  <c:v>19.440249779999998</c:v>
                </c:pt>
                <c:pt idx="941">
                  <c:v>25.096407939999999</c:v>
                </c:pt>
                <c:pt idx="942">
                  <c:v>21.14525399</c:v>
                </c:pt>
                <c:pt idx="943">
                  <c:v>22.352182289999998</c:v>
                </c:pt>
                <c:pt idx="944">
                  <c:v>23.960127239999998</c:v>
                </c:pt>
                <c:pt idx="945">
                  <c:v>23.12157075</c:v>
                </c:pt>
                <c:pt idx="946">
                  <c:v>20.34198473</c:v>
                </c:pt>
                <c:pt idx="947">
                  <c:v>18.291034150000002</c:v>
                </c:pt>
                <c:pt idx="948">
                  <c:v>21.265108009999999</c:v>
                </c:pt>
                <c:pt idx="949">
                  <c:v>19.761653890000002</c:v>
                </c:pt>
                <c:pt idx="950">
                  <c:v>25.909652350000002</c:v>
                </c:pt>
                <c:pt idx="951">
                  <c:v>25.54551507</c:v>
                </c:pt>
                <c:pt idx="952">
                  <c:v>23.302315490000002</c:v>
                </c:pt>
                <c:pt idx="953">
                  <c:v>20.733663010000001</c:v>
                </c:pt>
                <c:pt idx="954">
                  <c:v>21.419965810000001</c:v>
                </c:pt>
                <c:pt idx="955">
                  <c:v>26.030827630000001</c:v>
                </c:pt>
                <c:pt idx="956">
                  <c:v>21.559714799999998</c:v>
                </c:pt>
                <c:pt idx="957">
                  <c:v>23.493812129999998</c:v>
                </c:pt>
                <c:pt idx="958">
                  <c:v>24.93968173</c:v>
                </c:pt>
                <c:pt idx="959">
                  <c:v>23.769932829999998</c:v>
                </c:pt>
                <c:pt idx="960">
                  <c:v>22.343118530000002</c:v>
                </c:pt>
                <c:pt idx="961">
                  <c:v>22.93087152</c:v>
                </c:pt>
                <c:pt idx="962">
                  <c:v>26.1840498</c:v>
                </c:pt>
                <c:pt idx="963">
                  <c:v>20.185902939999998</c:v>
                </c:pt>
                <c:pt idx="964">
                  <c:v>24.288620999999999</c:v>
                </c:pt>
                <c:pt idx="965">
                  <c:v>23.236031929999999</c:v>
                </c:pt>
                <c:pt idx="966">
                  <c:v>21.701707630000001</c:v>
                </c:pt>
                <c:pt idx="967">
                  <c:v>22.28173396</c:v>
                </c:pt>
                <c:pt idx="968">
                  <c:v>24.942824720000001</c:v>
                </c:pt>
                <c:pt idx="969">
                  <c:v>26.201125009999998</c:v>
                </c:pt>
                <c:pt idx="970">
                  <c:v>25.314489099999999</c:v>
                </c:pt>
                <c:pt idx="971">
                  <c:v>22.271419810000001</c:v>
                </c:pt>
                <c:pt idx="972">
                  <c:v>25.512394879999999</c:v>
                </c:pt>
                <c:pt idx="973">
                  <c:v>21.266230830000001</c:v>
                </c:pt>
                <c:pt idx="974">
                  <c:v>20.541994280000001</c:v>
                </c:pt>
                <c:pt idx="975">
                  <c:v>22.026647350000001</c:v>
                </c:pt>
                <c:pt idx="976">
                  <c:v>20.976437650000001</c:v>
                </c:pt>
                <c:pt idx="977">
                  <c:v>22.699063720000002</c:v>
                </c:pt>
                <c:pt idx="978">
                  <c:v>23.089104330000001</c:v>
                </c:pt>
                <c:pt idx="979">
                  <c:v>22.710822570000001</c:v>
                </c:pt>
                <c:pt idx="980">
                  <c:v>24.65377844</c:v>
                </c:pt>
                <c:pt idx="981">
                  <c:v>21.04675937</c:v>
                </c:pt>
                <c:pt idx="982">
                  <c:v>22.553948640000002</c:v>
                </c:pt>
                <c:pt idx="983">
                  <c:v>22.952889200000001</c:v>
                </c:pt>
                <c:pt idx="984">
                  <c:v>22.267316650000001</c:v>
                </c:pt>
                <c:pt idx="985">
                  <c:v>21.856446179999999</c:v>
                </c:pt>
                <c:pt idx="986">
                  <c:v>23.665520959999998</c:v>
                </c:pt>
                <c:pt idx="987">
                  <c:v>24.906019000000001</c:v>
                </c:pt>
                <c:pt idx="988">
                  <c:v>24.334130949999999</c:v>
                </c:pt>
                <c:pt idx="989">
                  <c:v>21.874406140000001</c:v>
                </c:pt>
                <c:pt idx="990">
                  <c:v>26.04903436</c:v>
                </c:pt>
                <c:pt idx="991">
                  <c:v>23.94616534</c:v>
                </c:pt>
                <c:pt idx="992">
                  <c:v>23.610301669999998</c:v>
                </c:pt>
                <c:pt idx="993">
                  <c:v>22.634395139999999</c:v>
                </c:pt>
                <c:pt idx="994">
                  <c:v>20.226463580000001</c:v>
                </c:pt>
                <c:pt idx="995">
                  <c:v>22.434380010000002</c:v>
                </c:pt>
                <c:pt idx="996">
                  <c:v>19.510934219999999</c:v>
                </c:pt>
                <c:pt idx="997">
                  <c:v>23.80128328</c:v>
                </c:pt>
                <c:pt idx="998">
                  <c:v>25.983347720000001</c:v>
                </c:pt>
                <c:pt idx="999">
                  <c:v>22.785242759999999</c:v>
                </c:pt>
              </c:numCache>
            </c:numRef>
          </c:xVal>
          <c:yVal>
            <c:numRef>
              <c:f>'Descriptive Stat_Model '!$A$2:$A$1001</c:f>
              <c:numCache>
                <c:formatCode>General</c:formatCode>
                <c:ptCount val="1000"/>
                <c:pt idx="0">
                  <c:v>2.84</c:v>
                </c:pt>
                <c:pt idx="1">
                  <c:v>1.95</c:v>
                </c:pt>
                <c:pt idx="2">
                  <c:v>3.84</c:v>
                </c:pt>
                <c:pt idx="3">
                  <c:v>1.86</c:v>
                </c:pt>
                <c:pt idx="4">
                  <c:v>2.25</c:v>
                </c:pt>
                <c:pt idx="5">
                  <c:v>3.23</c:v>
                </c:pt>
                <c:pt idx="6">
                  <c:v>3.14</c:v>
                </c:pt>
                <c:pt idx="7">
                  <c:v>2.52</c:v>
                </c:pt>
                <c:pt idx="8">
                  <c:v>3.89</c:v>
                </c:pt>
                <c:pt idx="9">
                  <c:v>2.4900000000000002</c:v>
                </c:pt>
                <c:pt idx="10">
                  <c:v>4.24</c:v>
                </c:pt>
                <c:pt idx="11">
                  <c:v>1.61</c:v>
                </c:pt>
                <c:pt idx="12">
                  <c:v>4.46</c:v>
                </c:pt>
                <c:pt idx="13">
                  <c:v>2.77</c:v>
                </c:pt>
                <c:pt idx="14">
                  <c:v>3.72</c:v>
                </c:pt>
                <c:pt idx="15">
                  <c:v>2.39</c:v>
                </c:pt>
                <c:pt idx="16">
                  <c:v>3.44</c:v>
                </c:pt>
                <c:pt idx="17">
                  <c:v>3.57</c:v>
                </c:pt>
                <c:pt idx="18">
                  <c:v>1.95</c:v>
                </c:pt>
                <c:pt idx="19">
                  <c:v>2.92</c:v>
                </c:pt>
                <c:pt idx="20">
                  <c:v>3.87</c:v>
                </c:pt>
                <c:pt idx="21">
                  <c:v>3.82</c:v>
                </c:pt>
                <c:pt idx="22">
                  <c:v>3.28</c:v>
                </c:pt>
                <c:pt idx="23">
                  <c:v>4.99</c:v>
                </c:pt>
                <c:pt idx="24">
                  <c:v>2.0699999999999998</c:v>
                </c:pt>
                <c:pt idx="25">
                  <c:v>3.47</c:v>
                </c:pt>
                <c:pt idx="26">
                  <c:v>3.63</c:v>
                </c:pt>
                <c:pt idx="27">
                  <c:v>3.85</c:v>
                </c:pt>
                <c:pt idx="28">
                  <c:v>2.3199999999999998</c:v>
                </c:pt>
                <c:pt idx="29">
                  <c:v>3.31</c:v>
                </c:pt>
                <c:pt idx="30">
                  <c:v>2.66</c:v>
                </c:pt>
                <c:pt idx="31">
                  <c:v>3.85</c:v>
                </c:pt>
                <c:pt idx="32">
                  <c:v>2.1</c:v>
                </c:pt>
                <c:pt idx="33">
                  <c:v>4.78</c:v>
                </c:pt>
                <c:pt idx="34">
                  <c:v>3.01</c:v>
                </c:pt>
                <c:pt idx="35">
                  <c:v>3.52</c:v>
                </c:pt>
                <c:pt idx="36">
                  <c:v>2.62</c:v>
                </c:pt>
                <c:pt idx="37">
                  <c:v>2.15</c:v>
                </c:pt>
                <c:pt idx="38">
                  <c:v>3.36</c:v>
                </c:pt>
                <c:pt idx="39">
                  <c:v>2.29</c:v>
                </c:pt>
                <c:pt idx="40">
                  <c:v>2.77</c:v>
                </c:pt>
                <c:pt idx="41">
                  <c:v>3.96</c:v>
                </c:pt>
                <c:pt idx="42">
                  <c:v>3.12</c:v>
                </c:pt>
                <c:pt idx="43">
                  <c:v>3.84</c:v>
                </c:pt>
                <c:pt idx="44">
                  <c:v>3.87</c:v>
                </c:pt>
                <c:pt idx="45">
                  <c:v>4.0599999999999996</c:v>
                </c:pt>
                <c:pt idx="46">
                  <c:v>4.05</c:v>
                </c:pt>
                <c:pt idx="47">
                  <c:v>1.49</c:v>
                </c:pt>
                <c:pt idx="48">
                  <c:v>3.37</c:v>
                </c:pt>
                <c:pt idx="49">
                  <c:v>2.2799999999999998</c:v>
                </c:pt>
                <c:pt idx="50">
                  <c:v>2.3199999999999998</c:v>
                </c:pt>
                <c:pt idx="51">
                  <c:v>1.28</c:v>
                </c:pt>
                <c:pt idx="52">
                  <c:v>2.77</c:v>
                </c:pt>
                <c:pt idx="53">
                  <c:v>3.16</c:v>
                </c:pt>
                <c:pt idx="54">
                  <c:v>2.52</c:v>
                </c:pt>
                <c:pt idx="55">
                  <c:v>3.13</c:v>
                </c:pt>
                <c:pt idx="56">
                  <c:v>2.7</c:v>
                </c:pt>
                <c:pt idx="57">
                  <c:v>2.54</c:v>
                </c:pt>
                <c:pt idx="58">
                  <c:v>2.84</c:v>
                </c:pt>
                <c:pt idx="59">
                  <c:v>2.8</c:v>
                </c:pt>
                <c:pt idx="60">
                  <c:v>1.81</c:v>
                </c:pt>
                <c:pt idx="61">
                  <c:v>3.93</c:v>
                </c:pt>
                <c:pt idx="62">
                  <c:v>2.92</c:v>
                </c:pt>
                <c:pt idx="63">
                  <c:v>3.88</c:v>
                </c:pt>
                <c:pt idx="64">
                  <c:v>3.58</c:v>
                </c:pt>
                <c:pt idx="65">
                  <c:v>2.52</c:v>
                </c:pt>
                <c:pt idx="66">
                  <c:v>2.9</c:v>
                </c:pt>
                <c:pt idx="67">
                  <c:v>4.3</c:v>
                </c:pt>
                <c:pt idx="68">
                  <c:v>3.87</c:v>
                </c:pt>
                <c:pt idx="69">
                  <c:v>3.77</c:v>
                </c:pt>
                <c:pt idx="70">
                  <c:v>2.0699999999999998</c:v>
                </c:pt>
                <c:pt idx="71">
                  <c:v>2.94</c:v>
                </c:pt>
                <c:pt idx="72">
                  <c:v>2.34</c:v>
                </c:pt>
                <c:pt idx="73">
                  <c:v>2.78</c:v>
                </c:pt>
                <c:pt idx="74">
                  <c:v>2.96</c:v>
                </c:pt>
                <c:pt idx="75">
                  <c:v>3.11</c:v>
                </c:pt>
                <c:pt idx="76">
                  <c:v>1.94</c:v>
                </c:pt>
                <c:pt idx="77">
                  <c:v>3.16</c:v>
                </c:pt>
                <c:pt idx="78">
                  <c:v>1.42</c:v>
                </c:pt>
                <c:pt idx="79">
                  <c:v>3.51</c:v>
                </c:pt>
                <c:pt idx="80">
                  <c:v>2.5299999999999998</c:v>
                </c:pt>
                <c:pt idx="81">
                  <c:v>3.3</c:v>
                </c:pt>
                <c:pt idx="82">
                  <c:v>3.16</c:v>
                </c:pt>
                <c:pt idx="83">
                  <c:v>2.66</c:v>
                </c:pt>
                <c:pt idx="84">
                  <c:v>3.28</c:v>
                </c:pt>
                <c:pt idx="85">
                  <c:v>2.69</c:v>
                </c:pt>
                <c:pt idx="86">
                  <c:v>2.74</c:v>
                </c:pt>
                <c:pt idx="87">
                  <c:v>2.85</c:v>
                </c:pt>
                <c:pt idx="88">
                  <c:v>3.89</c:v>
                </c:pt>
                <c:pt idx="89">
                  <c:v>3.22</c:v>
                </c:pt>
                <c:pt idx="90">
                  <c:v>2.12</c:v>
                </c:pt>
                <c:pt idx="91">
                  <c:v>3.54</c:v>
                </c:pt>
                <c:pt idx="92">
                  <c:v>4.53</c:v>
                </c:pt>
                <c:pt idx="93">
                  <c:v>1.76</c:v>
                </c:pt>
                <c:pt idx="94">
                  <c:v>3.9</c:v>
                </c:pt>
                <c:pt idx="95">
                  <c:v>2.95</c:v>
                </c:pt>
                <c:pt idx="96">
                  <c:v>3.02</c:v>
                </c:pt>
                <c:pt idx="97">
                  <c:v>3.98</c:v>
                </c:pt>
                <c:pt idx="98">
                  <c:v>2.91</c:v>
                </c:pt>
                <c:pt idx="99">
                  <c:v>4.34</c:v>
                </c:pt>
                <c:pt idx="100">
                  <c:v>2</c:v>
                </c:pt>
                <c:pt idx="101">
                  <c:v>4.38</c:v>
                </c:pt>
                <c:pt idx="102">
                  <c:v>2.09</c:v>
                </c:pt>
                <c:pt idx="103">
                  <c:v>2.0499999999999998</c:v>
                </c:pt>
                <c:pt idx="104">
                  <c:v>3.35</c:v>
                </c:pt>
                <c:pt idx="105">
                  <c:v>3.26</c:v>
                </c:pt>
                <c:pt idx="106">
                  <c:v>2.5099999999999998</c:v>
                </c:pt>
                <c:pt idx="107">
                  <c:v>3.47</c:v>
                </c:pt>
                <c:pt idx="108">
                  <c:v>2.37</c:v>
                </c:pt>
                <c:pt idx="109">
                  <c:v>1.94</c:v>
                </c:pt>
                <c:pt idx="110">
                  <c:v>2.6</c:v>
                </c:pt>
                <c:pt idx="111">
                  <c:v>2.34</c:v>
                </c:pt>
                <c:pt idx="112">
                  <c:v>3.15</c:v>
                </c:pt>
                <c:pt idx="113">
                  <c:v>2.85</c:v>
                </c:pt>
                <c:pt idx="114">
                  <c:v>2.8</c:v>
                </c:pt>
                <c:pt idx="115">
                  <c:v>3.99</c:v>
                </c:pt>
                <c:pt idx="116">
                  <c:v>3.7</c:v>
                </c:pt>
                <c:pt idx="117">
                  <c:v>3.71</c:v>
                </c:pt>
                <c:pt idx="118">
                  <c:v>3.39</c:v>
                </c:pt>
                <c:pt idx="119">
                  <c:v>2.85</c:v>
                </c:pt>
                <c:pt idx="120">
                  <c:v>3.32</c:v>
                </c:pt>
                <c:pt idx="121">
                  <c:v>3.18</c:v>
                </c:pt>
                <c:pt idx="122">
                  <c:v>2.58</c:v>
                </c:pt>
                <c:pt idx="123">
                  <c:v>2.2200000000000002</c:v>
                </c:pt>
                <c:pt idx="124">
                  <c:v>3.35</c:v>
                </c:pt>
                <c:pt idx="125">
                  <c:v>3.35</c:v>
                </c:pt>
                <c:pt idx="126">
                  <c:v>3.69</c:v>
                </c:pt>
                <c:pt idx="127">
                  <c:v>2.2999999999999998</c:v>
                </c:pt>
                <c:pt idx="128">
                  <c:v>3.5</c:v>
                </c:pt>
                <c:pt idx="129">
                  <c:v>2.3199999999999998</c:v>
                </c:pt>
                <c:pt idx="130">
                  <c:v>2.99</c:v>
                </c:pt>
                <c:pt idx="131">
                  <c:v>2.12</c:v>
                </c:pt>
                <c:pt idx="132">
                  <c:v>3.11</c:v>
                </c:pt>
                <c:pt idx="133">
                  <c:v>3.38</c:v>
                </c:pt>
                <c:pt idx="134">
                  <c:v>3.63</c:v>
                </c:pt>
                <c:pt idx="135">
                  <c:v>4.3</c:v>
                </c:pt>
                <c:pt idx="136">
                  <c:v>3.82</c:v>
                </c:pt>
                <c:pt idx="137">
                  <c:v>2.02</c:v>
                </c:pt>
                <c:pt idx="138">
                  <c:v>2.0499999999999998</c:v>
                </c:pt>
                <c:pt idx="139">
                  <c:v>4.1399999999999997</c:v>
                </c:pt>
                <c:pt idx="140">
                  <c:v>3.21</c:v>
                </c:pt>
                <c:pt idx="141">
                  <c:v>3.42</c:v>
                </c:pt>
                <c:pt idx="142">
                  <c:v>2.94</c:v>
                </c:pt>
                <c:pt idx="143">
                  <c:v>3.92</c:v>
                </c:pt>
                <c:pt idx="144">
                  <c:v>3.27</c:v>
                </c:pt>
                <c:pt idx="145">
                  <c:v>3.28</c:v>
                </c:pt>
                <c:pt idx="146">
                  <c:v>3.1</c:v>
                </c:pt>
                <c:pt idx="147">
                  <c:v>2.83</c:v>
                </c:pt>
                <c:pt idx="148">
                  <c:v>2.13</c:v>
                </c:pt>
                <c:pt idx="149">
                  <c:v>3.7</c:v>
                </c:pt>
                <c:pt idx="150">
                  <c:v>2.2999999999999998</c:v>
                </c:pt>
                <c:pt idx="151">
                  <c:v>1.94</c:v>
                </c:pt>
                <c:pt idx="152">
                  <c:v>2.58</c:v>
                </c:pt>
                <c:pt idx="153">
                  <c:v>3.7</c:v>
                </c:pt>
                <c:pt idx="154">
                  <c:v>3.16</c:v>
                </c:pt>
                <c:pt idx="155">
                  <c:v>2.0299999999999998</c:v>
                </c:pt>
                <c:pt idx="156">
                  <c:v>3.02</c:v>
                </c:pt>
                <c:pt idx="157">
                  <c:v>2.5299999999999998</c:v>
                </c:pt>
                <c:pt idx="158">
                  <c:v>3.68</c:v>
                </c:pt>
                <c:pt idx="159">
                  <c:v>3.42</c:v>
                </c:pt>
                <c:pt idx="160">
                  <c:v>3.86</c:v>
                </c:pt>
                <c:pt idx="161">
                  <c:v>3.12</c:v>
                </c:pt>
                <c:pt idx="162">
                  <c:v>4.37</c:v>
                </c:pt>
                <c:pt idx="163">
                  <c:v>2.72</c:v>
                </c:pt>
                <c:pt idx="164">
                  <c:v>2.08</c:v>
                </c:pt>
                <c:pt idx="165">
                  <c:v>3.3</c:v>
                </c:pt>
                <c:pt idx="166">
                  <c:v>2.83</c:v>
                </c:pt>
                <c:pt idx="167">
                  <c:v>3.59</c:v>
                </c:pt>
                <c:pt idx="168">
                  <c:v>2.4300000000000002</c:v>
                </c:pt>
                <c:pt idx="169">
                  <c:v>3.97</c:v>
                </c:pt>
                <c:pt idx="170">
                  <c:v>2.02</c:v>
                </c:pt>
                <c:pt idx="171">
                  <c:v>3.97</c:v>
                </c:pt>
                <c:pt idx="172">
                  <c:v>3.11</c:v>
                </c:pt>
                <c:pt idx="173">
                  <c:v>2.8</c:v>
                </c:pt>
                <c:pt idx="174">
                  <c:v>2.8</c:v>
                </c:pt>
                <c:pt idx="175">
                  <c:v>4.0199999999999996</c:v>
                </c:pt>
                <c:pt idx="176">
                  <c:v>2.85</c:v>
                </c:pt>
                <c:pt idx="177">
                  <c:v>1.85</c:v>
                </c:pt>
                <c:pt idx="178">
                  <c:v>3.56</c:v>
                </c:pt>
                <c:pt idx="179">
                  <c:v>2.72</c:v>
                </c:pt>
                <c:pt idx="180">
                  <c:v>2.71</c:v>
                </c:pt>
                <c:pt idx="181">
                  <c:v>4.22</c:v>
                </c:pt>
                <c:pt idx="182">
                  <c:v>3.91</c:v>
                </c:pt>
                <c:pt idx="183">
                  <c:v>3.6</c:v>
                </c:pt>
                <c:pt idx="184">
                  <c:v>2.4700000000000002</c:v>
                </c:pt>
                <c:pt idx="185">
                  <c:v>2.75</c:v>
                </c:pt>
                <c:pt idx="186">
                  <c:v>1.99</c:v>
                </c:pt>
                <c:pt idx="187">
                  <c:v>3.96</c:v>
                </c:pt>
                <c:pt idx="188">
                  <c:v>2.86</c:v>
                </c:pt>
                <c:pt idx="189">
                  <c:v>4.26</c:v>
                </c:pt>
                <c:pt idx="190">
                  <c:v>2.5299999999999998</c:v>
                </c:pt>
                <c:pt idx="191">
                  <c:v>3.86</c:v>
                </c:pt>
                <c:pt idx="192">
                  <c:v>1.63</c:v>
                </c:pt>
                <c:pt idx="193">
                  <c:v>3.37</c:v>
                </c:pt>
                <c:pt idx="194">
                  <c:v>3.22</c:v>
                </c:pt>
                <c:pt idx="195">
                  <c:v>4.7</c:v>
                </c:pt>
                <c:pt idx="196">
                  <c:v>2.41</c:v>
                </c:pt>
                <c:pt idx="197">
                  <c:v>1.96</c:v>
                </c:pt>
                <c:pt idx="198">
                  <c:v>1.85</c:v>
                </c:pt>
                <c:pt idx="199">
                  <c:v>2.08</c:v>
                </c:pt>
                <c:pt idx="200">
                  <c:v>3.81</c:v>
                </c:pt>
                <c:pt idx="201">
                  <c:v>2.7</c:v>
                </c:pt>
                <c:pt idx="202">
                  <c:v>2.5499999999999998</c:v>
                </c:pt>
                <c:pt idx="203">
                  <c:v>2.94</c:v>
                </c:pt>
                <c:pt idx="204">
                  <c:v>1.97</c:v>
                </c:pt>
                <c:pt idx="205">
                  <c:v>2.84</c:v>
                </c:pt>
                <c:pt idx="206">
                  <c:v>4.34</c:v>
                </c:pt>
                <c:pt idx="207">
                  <c:v>2.92</c:v>
                </c:pt>
                <c:pt idx="208">
                  <c:v>3.13</c:v>
                </c:pt>
                <c:pt idx="209">
                  <c:v>2.31</c:v>
                </c:pt>
                <c:pt idx="210">
                  <c:v>2.4900000000000002</c:v>
                </c:pt>
                <c:pt idx="211">
                  <c:v>4.25</c:v>
                </c:pt>
                <c:pt idx="212">
                  <c:v>2.02</c:v>
                </c:pt>
                <c:pt idx="213">
                  <c:v>4.17</c:v>
                </c:pt>
                <c:pt idx="214">
                  <c:v>2.93</c:v>
                </c:pt>
                <c:pt idx="215">
                  <c:v>3.67</c:v>
                </c:pt>
                <c:pt idx="216">
                  <c:v>4.2300000000000004</c:v>
                </c:pt>
                <c:pt idx="217">
                  <c:v>3.46</c:v>
                </c:pt>
                <c:pt idx="218">
                  <c:v>3.39</c:v>
                </c:pt>
                <c:pt idx="219">
                  <c:v>2.67</c:v>
                </c:pt>
                <c:pt idx="220">
                  <c:v>2.73</c:v>
                </c:pt>
                <c:pt idx="221">
                  <c:v>3.14</c:v>
                </c:pt>
                <c:pt idx="222">
                  <c:v>1.6</c:v>
                </c:pt>
                <c:pt idx="223">
                  <c:v>4.25</c:v>
                </c:pt>
                <c:pt idx="224">
                  <c:v>3.42</c:v>
                </c:pt>
                <c:pt idx="225">
                  <c:v>2.48</c:v>
                </c:pt>
                <c:pt idx="226">
                  <c:v>0.84</c:v>
                </c:pt>
                <c:pt idx="227">
                  <c:v>1.94</c:v>
                </c:pt>
                <c:pt idx="228">
                  <c:v>3.11</c:v>
                </c:pt>
                <c:pt idx="229">
                  <c:v>2.61</c:v>
                </c:pt>
                <c:pt idx="230">
                  <c:v>3.28</c:v>
                </c:pt>
                <c:pt idx="231">
                  <c:v>2.75</c:v>
                </c:pt>
                <c:pt idx="232">
                  <c:v>4.08</c:v>
                </c:pt>
                <c:pt idx="233">
                  <c:v>2.66</c:v>
                </c:pt>
                <c:pt idx="234">
                  <c:v>1.83</c:v>
                </c:pt>
                <c:pt idx="235">
                  <c:v>2.37</c:v>
                </c:pt>
                <c:pt idx="236">
                  <c:v>3.08</c:v>
                </c:pt>
                <c:pt idx="237">
                  <c:v>2.2000000000000002</c:v>
                </c:pt>
                <c:pt idx="238">
                  <c:v>1.34</c:v>
                </c:pt>
                <c:pt idx="239">
                  <c:v>2.88</c:v>
                </c:pt>
                <c:pt idx="240">
                  <c:v>3.34</c:v>
                </c:pt>
                <c:pt idx="241">
                  <c:v>3.26</c:v>
                </c:pt>
                <c:pt idx="242">
                  <c:v>2.68</c:v>
                </c:pt>
                <c:pt idx="243">
                  <c:v>3.77</c:v>
                </c:pt>
                <c:pt idx="244">
                  <c:v>2.2000000000000002</c:v>
                </c:pt>
                <c:pt idx="245">
                  <c:v>3.76</c:v>
                </c:pt>
                <c:pt idx="246">
                  <c:v>3.91</c:v>
                </c:pt>
                <c:pt idx="247">
                  <c:v>1.82</c:v>
                </c:pt>
                <c:pt idx="248">
                  <c:v>2.5499999999999998</c:v>
                </c:pt>
                <c:pt idx="249">
                  <c:v>2.3199999999999998</c:v>
                </c:pt>
                <c:pt idx="250">
                  <c:v>3.87</c:v>
                </c:pt>
                <c:pt idx="251">
                  <c:v>1.53</c:v>
                </c:pt>
                <c:pt idx="252">
                  <c:v>4.18</c:v>
                </c:pt>
                <c:pt idx="253">
                  <c:v>2.42</c:v>
                </c:pt>
                <c:pt idx="254">
                  <c:v>3.14</c:v>
                </c:pt>
                <c:pt idx="255">
                  <c:v>2.81</c:v>
                </c:pt>
                <c:pt idx="256">
                  <c:v>4.7699999999999996</c:v>
                </c:pt>
                <c:pt idx="257">
                  <c:v>2.44</c:v>
                </c:pt>
                <c:pt idx="258">
                  <c:v>3.92</c:v>
                </c:pt>
                <c:pt idx="259">
                  <c:v>4.43</c:v>
                </c:pt>
                <c:pt idx="260">
                  <c:v>2</c:v>
                </c:pt>
                <c:pt idx="261">
                  <c:v>3.3</c:v>
                </c:pt>
                <c:pt idx="262">
                  <c:v>3.13</c:v>
                </c:pt>
                <c:pt idx="263">
                  <c:v>3.14</c:v>
                </c:pt>
                <c:pt idx="264">
                  <c:v>3.51</c:v>
                </c:pt>
                <c:pt idx="265">
                  <c:v>2.3199999999999998</c:v>
                </c:pt>
                <c:pt idx="266">
                  <c:v>3.39</c:v>
                </c:pt>
                <c:pt idx="267">
                  <c:v>2.52</c:v>
                </c:pt>
                <c:pt idx="268">
                  <c:v>3.16</c:v>
                </c:pt>
                <c:pt idx="269">
                  <c:v>4.17</c:v>
                </c:pt>
                <c:pt idx="270">
                  <c:v>2.3199999999999998</c:v>
                </c:pt>
                <c:pt idx="271">
                  <c:v>2.12</c:v>
                </c:pt>
                <c:pt idx="272">
                  <c:v>3.39</c:v>
                </c:pt>
                <c:pt idx="273">
                  <c:v>2.4300000000000002</c:v>
                </c:pt>
                <c:pt idx="274">
                  <c:v>2.99</c:v>
                </c:pt>
                <c:pt idx="275">
                  <c:v>3.75</c:v>
                </c:pt>
                <c:pt idx="276">
                  <c:v>4.07</c:v>
                </c:pt>
                <c:pt idx="277">
                  <c:v>2.1800000000000002</c:v>
                </c:pt>
                <c:pt idx="278">
                  <c:v>2.79</c:v>
                </c:pt>
                <c:pt idx="279">
                  <c:v>3.12</c:v>
                </c:pt>
                <c:pt idx="280">
                  <c:v>3.82</c:v>
                </c:pt>
                <c:pt idx="281">
                  <c:v>4.26</c:v>
                </c:pt>
                <c:pt idx="282">
                  <c:v>0.99</c:v>
                </c:pt>
                <c:pt idx="283">
                  <c:v>2.14</c:v>
                </c:pt>
                <c:pt idx="284">
                  <c:v>3.68</c:v>
                </c:pt>
                <c:pt idx="285">
                  <c:v>2.64</c:v>
                </c:pt>
                <c:pt idx="286">
                  <c:v>2.65</c:v>
                </c:pt>
                <c:pt idx="287">
                  <c:v>3.05</c:v>
                </c:pt>
                <c:pt idx="288">
                  <c:v>3.15</c:v>
                </c:pt>
                <c:pt idx="289">
                  <c:v>2.52</c:v>
                </c:pt>
                <c:pt idx="290">
                  <c:v>2.8</c:v>
                </c:pt>
                <c:pt idx="291">
                  <c:v>2.77</c:v>
                </c:pt>
                <c:pt idx="292">
                  <c:v>3.62</c:v>
                </c:pt>
                <c:pt idx="293">
                  <c:v>3.24</c:v>
                </c:pt>
                <c:pt idx="294">
                  <c:v>3.16</c:v>
                </c:pt>
                <c:pt idx="295">
                  <c:v>2.93</c:v>
                </c:pt>
                <c:pt idx="296">
                  <c:v>2.84</c:v>
                </c:pt>
                <c:pt idx="297">
                  <c:v>4.1100000000000003</c:v>
                </c:pt>
                <c:pt idx="298">
                  <c:v>2.64</c:v>
                </c:pt>
                <c:pt idx="299">
                  <c:v>2.79</c:v>
                </c:pt>
                <c:pt idx="300">
                  <c:v>3.68</c:v>
                </c:pt>
                <c:pt idx="301">
                  <c:v>4.66</c:v>
                </c:pt>
                <c:pt idx="302">
                  <c:v>3.37</c:v>
                </c:pt>
                <c:pt idx="303">
                  <c:v>3.1</c:v>
                </c:pt>
                <c:pt idx="304">
                  <c:v>3.6</c:v>
                </c:pt>
                <c:pt idx="305">
                  <c:v>4.2699999999999996</c:v>
                </c:pt>
                <c:pt idx="306">
                  <c:v>3.3</c:v>
                </c:pt>
                <c:pt idx="307">
                  <c:v>2.27</c:v>
                </c:pt>
                <c:pt idx="308">
                  <c:v>2.37</c:v>
                </c:pt>
                <c:pt idx="309">
                  <c:v>2.68</c:v>
                </c:pt>
                <c:pt idx="310">
                  <c:v>2.68</c:v>
                </c:pt>
                <c:pt idx="311">
                  <c:v>3.86</c:v>
                </c:pt>
                <c:pt idx="312">
                  <c:v>4.34</c:v>
                </c:pt>
                <c:pt idx="313">
                  <c:v>3.54</c:v>
                </c:pt>
                <c:pt idx="314">
                  <c:v>2.56</c:v>
                </c:pt>
                <c:pt idx="315">
                  <c:v>3.2</c:v>
                </c:pt>
                <c:pt idx="316">
                  <c:v>2.65</c:v>
                </c:pt>
                <c:pt idx="317">
                  <c:v>2.73</c:v>
                </c:pt>
                <c:pt idx="318">
                  <c:v>3.7</c:v>
                </c:pt>
                <c:pt idx="319">
                  <c:v>2.35</c:v>
                </c:pt>
                <c:pt idx="320">
                  <c:v>2.2799999999999998</c:v>
                </c:pt>
                <c:pt idx="321">
                  <c:v>2.42</c:v>
                </c:pt>
                <c:pt idx="322">
                  <c:v>3.7</c:v>
                </c:pt>
                <c:pt idx="323">
                  <c:v>3.1</c:v>
                </c:pt>
                <c:pt idx="324">
                  <c:v>3.65</c:v>
                </c:pt>
                <c:pt idx="325">
                  <c:v>1.96</c:v>
                </c:pt>
                <c:pt idx="326">
                  <c:v>2.33</c:v>
                </c:pt>
                <c:pt idx="327">
                  <c:v>3.56</c:v>
                </c:pt>
                <c:pt idx="328">
                  <c:v>2.59</c:v>
                </c:pt>
                <c:pt idx="329">
                  <c:v>2.93</c:v>
                </c:pt>
                <c:pt idx="330">
                  <c:v>3.99</c:v>
                </c:pt>
                <c:pt idx="331">
                  <c:v>3.09</c:v>
                </c:pt>
                <c:pt idx="332">
                  <c:v>2.35</c:v>
                </c:pt>
                <c:pt idx="333">
                  <c:v>3.39</c:v>
                </c:pt>
                <c:pt idx="334">
                  <c:v>3.39</c:v>
                </c:pt>
                <c:pt idx="335">
                  <c:v>2.73</c:v>
                </c:pt>
                <c:pt idx="336">
                  <c:v>3.2</c:v>
                </c:pt>
                <c:pt idx="337">
                  <c:v>2.93</c:v>
                </c:pt>
                <c:pt idx="338">
                  <c:v>2.88</c:v>
                </c:pt>
                <c:pt idx="339">
                  <c:v>2.42</c:v>
                </c:pt>
                <c:pt idx="340">
                  <c:v>5.04</c:v>
                </c:pt>
                <c:pt idx="341">
                  <c:v>4.42</c:v>
                </c:pt>
                <c:pt idx="342">
                  <c:v>1.69</c:v>
                </c:pt>
                <c:pt idx="343">
                  <c:v>3.91</c:v>
                </c:pt>
                <c:pt idx="344">
                  <c:v>2.5</c:v>
                </c:pt>
                <c:pt idx="345">
                  <c:v>3.26</c:v>
                </c:pt>
                <c:pt idx="346">
                  <c:v>2.2400000000000002</c:v>
                </c:pt>
                <c:pt idx="347">
                  <c:v>2.1</c:v>
                </c:pt>
                <c:pt idx="348">
                  <c:v>2.37</c:v>
                </c:pt>
                <c:pt idx="349">
                  <c:v>3.23</c:v>
                </c:pt>
                <c:pt idx="350">
                  <c:v>3.17</c:v>
                </c:pt>
                <c:pt idx="351">
                  <c:v>2.94</c:v>
                </c:pt>
                <c:pt idx="352">
                  <c:v>2.5499999999999998</c:v>
                </c:pt>
                <c:pt idx="353">
                  <c:v>3.65</c:v>
                </c:pt>
                <c:pt idx="354">
                  <c:v>3.47</c:v>
                </c:pt>
                <c:pt idx="355">
                  <c:v>3.63</c:v>
                </c:pt>
                <c:pt idx="356">
                  <c:v>1.98</c:v>
                </c:pt>
                <c:pt idx="357">
                  <c:v>4.16</c:v>
                </c:pt>
                <c:pt idx="358">
                  <c:v>3.87</c:v>
                </c:pt>
                <c:pt idx="359">
                  <c:v>2.5499999999999998</c:v>
                </c:pt>
                <c:pt idx="360">
                  <c:v>2.29</c:v>
                </c:pt>
                <c:pt idx="361">
                  <c:v>2.97</c:v>
                </c:pt>
                <c:pt idx="362">
                  <c:v>3.95</c:v>
                </c:pt>
                <c:pt idx="363">
                  <c:v>2.96</c:v>
                </c:pt>
                <c:pt idx="364">
                  <c:v>2.33</c:v>
                </c:pt>
                <c:pt idx="365">
                  <c:v>3.31</c:v>
                </c:pt>
                <c:pt idx="366">
                  <c:v>1.88</c:v>
                </c:pt>
                <c:pt idx="367">
                  <c:v>3.52</c:v>
                </c:pt>
                <c:pt idx="368">
                  <c:v>2.54</c:v>
                </c:pt>
                <c:pt idx="369">
                  <c:v>2.74</c:v>
                </c:pt>
                <c:pt idx="370">
                  <c:v>2.5099999999999998</c:v>
                </c:pt>
                <c:pt idx="371">
                  <c:v>3.79</c:v>
                </c:pt>
                <c:pt idx="372">
                  <c:v>3.6</c:v>
                </c:pt>
                <c:pt idx="373">
                  <c:v>2.2400000000000002</c:v>
                </c:pt>
                <c:pt idx="374">
                  <c:v>2.86</c:v>
                </c:pt>
                <c:pt idx="375">
                  <c:v>2.63</c:v>
                </c:pt>
                <c:pt idx="376">
                  <c:v>2.75</c:v>
                </c:pt>
                <c:pt idx="377">
                  <c:v>3.16</c:v>
                </c:pt>
                <c:pt idx="378">
                  <c:v>2.82</c:v>
                </c:pt>
                <c:pt idx="379">
                  <c:v>3.08</c:v>
                </c:pt>
                <c:pt idx="380">
                  <c:v>2.1800000000000002</c:v>
                </c:pt>
                <c:pt idx="381">
                  <c:v>3.89</c:v>
                </c:pt>
                <c:pt idx="382">
                  <c:v>2.97</c:v>
                </c:pt>
                <c:pt idx="383">
                  <c:v>1.68</c:v>
                </c:pt>
                <c:pt idx="384">
                  <c:v>2.37</c:v>
                </c:pt>
                <c:pt idx="385">
                  <c:v>3.51</c:v>
                </c:pt>
                <c:pt idx="386">
                  <c:v>2.4300000000000002</c:v>
                </c:pt>
                <c:pt idx="387">
                  <c:v>3.71</c:v>
                </c:pt>
                <c:pt idx="388">
                  <c:v>2.86</c:v>
                </c:pt>
                <c:pt idx="389">
                  <c:v>3.36</c:v>
                </c:pt>
                <c:pt idx="390">
                  <c:v>2.85</c:v>
                </c:pt>
                <c:pt idx="391">
                  <c:v>3.52</c:v>
                </c:pt>
                <c:pt idx="392">
                  <c:v>3.01</c:v>
                </c:pt>
                <c:pt idx="393">
                  <c:v>3.37</c:v>
                </c:pt>
                <c:pt idx="394">
                  <c:v>4.3099999999999996</c:v>
                </c:pt>
                <c:pt idx="395">
                  <c:v>1.93</c:v>
                </c:pt>
                <c:pt idx="396">
                  <c:v>3.29</c:v>
                </c:pt>
                <c:pt idx="397">
                  <c:v>2.81</c:v>
                </c:pt>
                <c:pt idx="398">
                  <c:v>2.37</c:v>
                </c:pt>
                <c:pt idx="399">
                  <c:v>3.2</c:v>
                </c:pt>
                <c:pt idx="400">
                  <c:v>3.2</c:v>
                </c:pt>
                <c:pt idx="401">
                  <c:v>4.38</c:v>
                </c:pt>
                <c:pt idx="402">
                  <c:v>3.48</c:v>
                </c:pt>
                <c:pt idx="403">
                  <c:v>3.8</c:v>
                </c:pt>
                <c:pt idx="404">
                  <c:v>2.0699999999999998</c:v>
                </c:pt>
                <c:pt idx="405">
                  <c:v>4.3099999999999996</c:v>
                </c:pt>
                <c:pt idx="406">
                  <c:v>4.24</c:v>
                </c:pt>
                <c:pt idx="407">
                  <c:v>3.12</c:v>
                </c:pt>
                <c:pt idx="408">
                  <c:v>4.24</c:v>
                </c:pt>
                <c:pt idx="409">
                  <c:v>2.78</c:v>
                </c:pt>
                <c:pt idx="410">
                  <c:v>1.75</c:v>
                </c:pt>
                <c:pt idx="411">
                  <c:v>3.1</c:v>
                </c:pt>
                <c:pt idx="412">
                  <c:v>3.8</c:v>
                </c:pt>
                <c:pt idx="413">
                  <c:v>3.3</c:v>
                </c:pt>
                <c:pt idx="414">
                  <c:v>2.86</c:v>
                </c:pt>
                <c:pt idx="415">
                  <c:v>2.2799999999999998</c:v>
                </c:pt>
                <c:pt idx="416">
                  <c:v>3.09</c:v>
                </c:pt>
                <c:pt idx="417">
                  <c:v>3.67</c:v>
                </c:pt>
                <c:pt idx="418">
                  <c:v>1.48</c:v>
                </c:pt>
                <c:pt idx="419">
                  <c:v>2.39</c:v>
                </c:pt>
                <c:pt idx="420">
                  <c:v>2.11</c:v>
                </c:pt>
                <c:pt idx="421">
                  <c:v>2.65</c:v>
                </c:pt>
                <c:pt idx="422">
                  <c:v>2.94</c:v>
                </c:pt>
                <c:pt idx="423">
                  <c:v>3.57</c:v>
                </c:pt>
                <c:pt idx="424">
                  <c:v>2.77</c:v>
                </c:pt>
                <c:pt idx="425">
                  <c:v>2.41</c:v>
                </c:pt>
                <c:pt idx="426">
                  <c:v>3.69</c:v>
                </c:pt>
                <c:pt idx="427">
                  <c:v>2.33</c:v>
                </c:pt>
                <c:pt idx="428">
                  <c:v>3.34</c:v>
                </c:pt>
                <c:pt idx="429">
                  <c:v>2.25</c:v>
                </c:pt>
                <c:pt idx="430">
                  <c:v>1.95</c:v>
                </c:pt>
                <c:pt idx="431">
                  <c:v>3.04</c:v>
                </c:pt>
                <c:pt idx="432">
                  <c:v>3.34</c:v>
                </c:pt>
                <c:pt idx="433">
                  <c:v>4.83</c:v>
                </c:pt>
                <c:pt idx="434">
                  <c:v>3.15</c:v>
                </c:pt>
                <c:pt idx="435">
                  <c:v>4.32</c:v>
                </c:pt>
                <c:pt idx="436">
                  <c:v>1.82</c:v>
                </c:pt>
                <c:pt idx="437">
                  <c:v>3.84</c:v>
                </c:pt>
                <c:pt idx="438">
                  <c:v>3.19</c:v>
                </c:pt>
                <c:pt idx="439">
                  <c:v>2.84</c:v>
                </c:pt>
                <c:pt idx="440">
                  <c:v>2.73</c:v>
                </c:pt>
                <c:pt idx="441">
                  <c:v>4.63</c:v>
                </c:pt>
                <c:pt idx="442">
                  <c:v>2.79</c:v>
                </c:pt>
                <c:pt idx="443">
                  <c:v>3.43</c:v>
                </c:pt>
                <c:pt idx="444">
                  <c:v>2.35</c:v>
                </c:pt>
                <c:pt idx="445">
                  <c:v>2.2400000000000002</c:v>
                </c:pt>
                <c:pt idx="446">
                  <c:v>2</c:v>
                </c:pt>
                <c:pt idx="447">
                  <c:v>2.5099999999999998</c:v>
                </c:pt>
                <c:pt idx="448">
                  <c:v>3.59</c:v>
                </c:pt>
                <c:pt idx="449">
                  <c:v>3.19</c:v>
                </c:pt>
                <c:pt idx="450">
                  <c:v>2.15</c:v>
                </c:pt>
                <c:pt idx="451">
                  <c:v>4.0199999999999996</c:v>
                </c:pt>
                <c:pt idx="452">
                  <c:v>1.74</c:v>
                </c:pt>
                <c:pt idx="453">
                  <c:v>2.36</c:v>
                </c:pt>
                <c:pt idx="454">
                  <c:v>2.69</c:v>
                </c:pt>
                <c:pt idx="455">
                  <c:v>4.37</c:v>
                </c:pt>
                <c:pt idx="456">
                  <c:v>4.25</c:v>
                </c:pt>
                <c:pt idx="457">
                  <c:v>2.2400000000000002</c:v>
                </c:pt>
                <c:pt idx="458">
                  <c:v>2.88</c:v>
                </c:pt>
                <c:pt idx="459">
                  <c:v>4.2</c:v>
                </c:pt>
                <c:pt idx="460">
                  <c:v>2.96</c:v>
                </c:pt>
                <c:pt idx="461">
                  <c:v>2.62</c:v>
                </c:pt>
                <c:pt idx="462">
                  <c:v>3.46</c:v>
                </c:pt>
                <c:pt idx="463">
                  <c:v>2.41</c:v>
                </c:pt>
                <c:pt idx="464">
                  <c:v>2.4</c:v>
                </c:pt>
                <c:pt idx="465">
                  <c:v>4.83</c:v>
                </c:pt>
                <c:pt idx="466">
                  <c:v>1.79</c:v>
                </c:pt>
                <c:pt idx="467">
                  <c:v>3.13</c:v>
                </c:pt>
                <c:pt idx="468">
                  <c:v>3.73</c:v>
                </c:pt>
                <c:pt idx="469">
                  <c:v>3.98</c:v>
                </c:pt>
                <c:pt idx="470">
                  <c:v>3.67</c:v>
                </c:pt>
                <c:pt idx="471">
                  <c:v>3.08</c:v>
                </c:pt>
                <c:pt idx="472">
                  <c:v>3.59</c:v>
                </c:pt>
                <c:pt idx="473">
                  <c:v>2.76</c:v>
                </c:pt>
                <c:pt idx="474">
                  <c:v>3.59</c:v>
                </c:pt>
                <c:pt idx="475">
                  <c:v>2.77</c:v>
                </c:pt>
                <c:pt idx="476">
                  <c:v>3.1</c:v>
                </c:pt>
                <c:pt idx="477">
                  <c:v>2.06</c:v>
                </c:pt>
                <c:pt idx="478">
                  <c:v>3.55</c:v>
                </c:pt>
                <c:pt idx="479">
                  <c:v>1.64</c:v>
                </c:pt>
                <c:pt idx="480">
                  <c:v>4.79</c:v>
                </c:pt>
                <c:pt idx="481">
                  <c:v>2.46</c:v>
                </c:pt>
                <c:pt idx="482">
                  <c:v>2.4300000000000002</c:v>
                </c:pt>
                <c:pt idx="483">
                  <c:v>3.42</c:v>
                </c:pt>
                <c:pt idx="484">
                  <c:v>3.72</c:v>
                </c:pt>
                <c:pt idx="485">
                  <c:v>2.14</c:v>
                </c:pt>
                <c:pt idx="486">
                  <c:v>3.75</c:v>
                </c:pt>
                <c:pt idx="487">
                  <c:v>3.04</c:v>
                </c:pt>
                <c:pt idx="488">
                  <c:v>2.2200000000000002</c:v>
                </c:pt>
                <c:pt idx="489">
                  <c:v>3.86</c:v>
                </c:pt>
                <c:pt idx="490">
                  <c:v>2.33</c:v>
                </c:pt>
                <c:pt idx="491">
                  <c:v>3.62</c:v>
                </c:pt>
                <c:pt idx="492">
                  <c:v>2.91</c:v>
                </c:pt>
                <c:pt idx="493">
                  <c:v>2.38</c:v>
                </c:pt>
                <c:pt idx="494">
                  <c:v>1.77</c:v>
                </c:pt>
                <c:pt idx="495">
                  <c:v>2.56</c:v>
                </c:pt>
                <c:pt idx="496">
                  <c:v>3.71</c:v>
                </c:pt>
                <c:pt idx="497">
                  <c:v>3.09</c:v>
                </c:pt>
                <c:pt idx="498">
                  <c:v>2.96</c:v>
                </c:pt>
                <c:pt idx="499">
                  <c:v>2.69</c:v>
                </c:pt>
                <c:pt idx="500">
                  <c:v>3.49</c:v>
                </c:pt>
                <c:pt idx="501">
                  <c:v>3.25</c:v>
                </c:pt>
                <c:pt idx="502">
                  <c:v>2.13</c:v>
                </c:pt>
                <c:pt idx="503">
                  <c:v>3.09</c:v>
                </c:pt>
                <c:pt idx="504">
                  <c:v>4.04</c:v>
                </c:pt>
                <c:pt idx="505">
                  <c:v>3.45</c:v>
                </c:pt>
                <c:pt idx="506">
                  <c:v>2.99</c:v>
                </c:pt>
                <c:pt idx="507">
                  <c:v>1.6</c:v>
                </c:pt>
                <c:pt idx="508">
                  <c:v>3.52</c:v>
                </c:pt>
                <c:pt idx="509">
                  <c:v>2.97</c:v>
                </c:pt>
                <c:pt idx="510">
                  <c:v>2.71</c:v>
                </c:pt>
                <c:pt idx="511">
                  <c:v>3.67</c:v>
                </c:pt>
                <c:pt idx="512">
                  <c:v>3.37</c:v>
                </c:pt>
                <c:pt idx="513">
                  <c:v>2.4</c:v>
                </c:pt>
                <c:pt idx="514">
                  <c:v>3.49</c:v>
                </c:pt>
                <c:pt idx="515">
                  <c:v>3.98</c:v>
                </c:pt>
                <c:pt idx="516">
                  <c:v>3.31</c:v>
                </c:pt>
                <c:pt idx="517">
                  <c:v>2.66</c:v>
                </c:pt>
                <c:pt idx="518">
                  <c:v>3.27</c:v>
                </c:pt>
                <c:pt idx="519">
                  <c:v>3</c:v>
                </c:pt>
                <c:pt idx="520">
                  <c:v>1.93</c:v>
                </c:pt>
                <c:pt idx="521">
                  <c:v>3.64</c:v>
                </c:pt>
                <c:pt idx="522">
                  <c:v>3.38</c:v>
                </c:pt>
                <c:pt idx="523">
                  <c:v>2.2000000000000002</c:v>
                </c:pt>
                <c:pt idx="524">
                  <c:v>3.06</c:v>
                </c:pt>
                <c:pt idx="525">
                  <c:v>3.06</c:v>
                </c:pt>
                <c:pt idx="526">
                  <c:v>3.7</c:v>
                </c:pt>
                <c:pt idx="527">
                  <c:v>2.15</c:v>
                </c:pt>
                <c:pt idx="528">
                  <c:v>3.08</c:v>
                </c:pt>
                <c:pt idx="529">
                  <c:v>4.1399999999999997</c:v>
                </c:pt>
                <c:pt idx="530">
                  <c:v>3.51</c:v>
                </c:pt>
                <c:pt idx="531">
                  <c:v>2.58</c:v>
                </c:pt>
                <c:pt idx="532">
                  <c:v>3</c:v>
                </c:pt>
                <c:pt idx="533">
                  <c:v>2.61</c:v>
                </c:pt>
                <c:pt idx="534">
                  <c:v>2.5</c:v>
                </c:pt>
                <c:pt idx="535">
                  <c:v>3.56</c:v>
                </c:pt>
                <c:pt idx="536">
                  <c:v>2.86</c:v>
                </c:pt>
                <c:pt idx="537">
                  <c:v>3.4</c:v>
                </c:pt>
                <c:pt idx="538">
                  <c:v>1.98</c:v>
                </c:pt>
                <c:pt idx="539">
                  <c:v>2.61</c:v>
                </c:pt>
                <c:pt idx="540">
                  <c:v>3.14</c:v>
                </c:pt>
                <c:pt idx="541">
                  <c:v>2.97</c:v>
                </c:pt>
                <c:pt idx="542">
                  <c:v>2.2000000000000002</c:v>
                </c:pt>
                <c:pt idx="543">
                  <c:v>2.0299999999999998</c:v>
                </c:pt>
                <c:pt idx="544">
                  <c:v>2.5099999999999998</c:v>
                </c:pt>
                <c:pt idx="545">
                  <c:v>5.04</c:v>
                </c:pt>
                <c:pt idx="546">
                  <c:v>2.37</c:v>
                </c:pt>
                <c:pt idx="547">
                  <c:v>3.57</c:v>
                </c:pt>
                <c:pt idx="548">
                  <c:v>3.65</c:v>
                </c:pt>
                <c:pt idx="549">
                  <c:v>3.53</c:v>
                </c:pt>
                <c:pt idx="550">
                  <c:v>3.15</c:v>
                </c:pt>
                <c:pt idx="551">
                  <c:v>4.04</c:v>
                </c:pt>
                <c:pt idx="552">
                  <c:v>3.6</c:v>
                </c:pt>
                <c:pt idx="553">
                  <c:v>3.24</c:v>
                </c:pt>
                <c:pt idx="554">
                  <c:v>2.57</c:v>
                </c:pt>
                <c:pt idx="555">
                  <c:v>3.76</c:v>
                </c:pt>
                <c:pt idx="556">
                  <c:v>3.58</c:v>
                </c:pt>
                <c:pt idx="557">
                  <c:v>3.2</c:v>
                </c:pt>
                <c:pt idx="558">
                  <c:v>3.58</c:v>
                </c:pt>
                <c:pt idx="559">
                  <c:v>3.37</c:v>
                </c:pt>
                <c:pt idx="560">
                  <c:v>2.58</c:v>
                </c:pt>
                <c:pt idx="561">
                  <c:v>3.65</c:v>
                </c:pt>
                <c:pt idx="562">
                  <c:v>2.68</c:v>
                </c:pt>
                <c:pt idx="563">
                  <c:v>3.83</c:v>
                </c:pt>
                <c:pt idx="564">
                  <c:v>2.65</c:v>
                </c:pt>
                <c:pt idx="565">
                  <c:v>3.77</c:v>
                </c:pt>
                <c:pt idx="566">
                  <c:v>3.1</c:v>
                </c:pt>
                <c:pt idx="567">
                  <c:v>2.27</c:v>
                </c:pt>
                <c:pt idx="568">
                  <c:v>3.41</c:v>
                </c:pt>
                <c:pt idx="569">
                  <c:v>2.14</c:v>
                </c:pt>
                <c:pt idx="570">
                  <c:v>2.09</c:v>
                </c:pt>
                <c:pt idx="571">
                  <c:v>3.25</c:v>
                </c:pt>
                <c:pt idx="572">
                  <c:v>2.59</c:v>
                </c:pt>
                <c:pt idx="573">
                  <c:v>2.0299999999999998</c:v>
                </c:pt>
                <c:pt idx="574">
                  <c:v>2.13</c:v>
                </c:pt>
                <c:pt idx="575">
                  <c:v>3.69</c:v>
                </c:pt>
                <c:pt idx="576">
                  <c:v>2.98</c:v>
                </c:pt>
                <c:pt idx="577">
                  <c:v>3.46</c:v>
                </c:pt>
                <c:pt idx="578">
                  <c:v>1.26</c:v>
                </c:pt>
                <c:pt idx="579">
                  <c:v>3.39</c:v>
                </c:pt>
                <c:pt idx="580">
                  <c:v>4.1500000000000004</c:v>
                </c:pt>
                <c:pt idx="581">
                  <c:v>2.56</c:v>
                </c:pt>
                <c:pt idx="582">
                  <c:v>3.08</c:v>
                </c:pt>
                <c:pt idx="583">
                  <c:v>3.61</c:v>
                </c:pt>
                <c:pt idx="584">
                  <c:v>2.0099999999999998</c:v>
                </c:pt>
                <c:pt idx="585">
                  <c:v>4.0599999999999996</c:v>
                </c:pt>
                <c:pt idx="586">
                  <c:v>3.62</c:v>
                </c:pt>
                <c:pt idx="587">
                  <c:v>2.99</c:v>
                </c:pt>
                <c:pt idx="588">
                  <c:v>2.8</c:v>
                </c:pt>
                <c:pt idx="589">
                  <c:v>2.09</c:v>
                </c:pt>
                <c:pt idx="590">
                  <c:v>3.63</c:v>
                </c:pt>
                <c:pt idx="591">
                  <c:v>3.33</c:v>
                </c:pt>
                <c:pt idx="592">
                  <c:v>2.46</c:v>
                </c:pt>
                <c:pt idx="593">
                  <c:v>4.22</c:v>
                </c:pt>
                <c:pt idx="594">
                  <c:v>1.19</c:v>
                </c:pt>
                <c:pt idx="595">
                  <c:v>3.35</c:v>
                </c:pt>
                <c:pt idx="596">
                  <c:v>3.58</c:v>
                </c:pt>
                <c:pt idx="597">
                  <c:v>2.7</c:v>
                </c:pt>
                <c:pt idx="598">
                  <c:v>2.58</c:v>
                </c:pt>
                <c:pt idx="599">
                  <c:v>2.89</c:v>
                </c:pt>
                <c:pt idx="600">
                  <c:v>3.39</c:v>
                </c:pt>
                <c:pt idx="601">
                  <c:v>3.8</c:v>
                </c:pt>
                <c:pt idx="602">
                  <c:v>2.71</c:v>
                </c:pt>
                <c:pt idx="603">
                  <c:v>1.97</c:v>
                </c:pt>
                <c:pt idx="604">
                  <c:v>3.24</c:v>
                </c:pt>
                <c:pt idx="605">
                  <c:v>2.63</c:v>
                </c:pt>
                <c:pt idx="606">
                  <c:v>2.8</c:v>
                </c:pt>
                <c:pt idx="607">
                  <c:v>2.99</c:v>
                </c:pt>
                <c:pt idx="608">
                  <c:v>2.14</c:v>
                </c:pt>
                <c:pt idx="609">
                  <c:v>4.03</c:v>
                </c:pt>
                <c:pt idx="610">
                  <c:v>2.59</c:v>
                </c:pt>
                <c:pt idx="611">
                  <c:v>2.59</c:v>
                </c:pt>
                <c:pt idx="612">
                  <c:v>2.82</c:v>
                </c:pt>
                <c:pt idx="613">
                  <c:v>0.93</c:v>
                </c:pt>
                <c:pt idx="614">
                  <c:v>2.86</c:v>
                </c:pt>
                <c:pt idx="615">
                  <c:v>3.56</c:v>
                </c:pt>
                <c:pt idx="616">
                  <c:v>3.84</c:v>
                </c:pt>
                <c:pt idx="617">
                  <c:v>2.71</c:v>
                </c:pt>
                <c:pt idx="618">
                  <c:v>3.51</c:v>
                </c:pt>
                <c:pt idx="619">
                  <c:v>3.33</c:v>
                </c:pt>
                <c:pt idx="620">
                  <c:v>3.52</c:v>
                </c:pt>
                <c:pt idx="621">
                  <c:v>2.0099999999999998</c:v>
                </c:pt>
                <c:pt idx="622">
                  <c:v>2.29</c:v>
                </c:pt>
                <c:pt idx="623">
                  <c:v>2.14</c:v>
                </c:pt>
                <c:pt idx="624">
                  <c:v>3.54</c:v>
                </c:pt>
                <c:pt idx="625">
                  <c:v>2.82</c:v>
                </c:pt>
                <c:pt idx="626">
                  <c:v>3.85</c:v>
                </c:pt>
                <c:pt idx="627">
                  <c:v>4.0999999999999996</c:v>
                </c:pt>
                <c:pt idx="628">
                  <c:v>3.24</c:v>
                </c:pt>
                <c:pt idx="629">
                  <c:v>3.23</c:v>
                </c:pt>
                <c:pt idx="630">
                  <c:v>3.91</c:v>
                </c:pt>
                <c:pt idx="631">
                  <c:v>2.12</c:v>
                </c:pt>
                <c:pt idx="632">
                  <c:v>3.37</c:v>
                </c:pt>
                <c:pt idx="633">
                  <c:v>3.63</c:v>
                </c:pt>
                <c:pt idx="634">
                  <c:v>3.77</c:v>
                </c:pt>
                <c:pt idx="635">
                  <c:v>3.11</c:v>
                </c:pt>
                <c:pt idx="636">
                  <c:v>1.95</c:v>
                </c:pt>
                <c:pt idx="637">
                  <c:v>2.4900000000000002</c:v>
                </c:pt>
                <c:pt idx="638">
                  <c:v>3.46</c:v>
                </c:pt>
                <c:pt idx="639">
                  <c:v>3.02</c:v>
                </c:pt>
                <c:pt idx="640">
                  <c:v>2.56</c:v>
                </c:pt>
                <c:pt idx="641">
                  <c:v>2.96</c:v>
                </c:pt>
                <c:pt idx="642">
                  <c:v>2.82</c:v>
                </c:pt>
                <c:pt idx="643">
                  <c:v>2.57</c:v>
                </c:pt>
                <c:pt idx="644">
                  <c:v>4.8</c:v>
                </c:pt>
                <c:pt idx="645">
                  <c:v>4.1399999999999997</c:v>
                </c:pt>
                <c:pt idx="646">
                  <c:v>3.09</c:v>
                </c:pt>
                <c:pt idx="647">
                  <c:v>3.22</c:v>
                </c:pt>
                <c:pt idx="648">
                  <c:v>2.23</c:v>
                </c:pt>
                <c:pt idx="649">
                  <c:v>3.65</c:v>
                </c:pt>
                <c:pt idx="650">
                  <c:v>2.86</c:v>
                </c:pt>
                <c:pt idx="651">
                  <c:v>2.31</c:v>
                </c:pt>
                <c:pt idx="652">
                  <c:v>1.6</c:v>
                </c:pt>
                <c:pt idx="653">
                  <c:v>2.88</c:v>
                </c:pt>
                <c:pt idx="654">
                  <c:v>3.12</c:v>
                </c:pt>
                <c:pt idx="655">
                  <c:v>4.04</c:v>
                </c:pt>
                <c:pt idx="656">
                  <c:v>2.0699999999999998</c:v>
                </c:pt>
                <c:pt idx="657">
                  <c:v>3.31</c:v>
                </c:pt>
                <c:pt idx="658">
                  <c:v>2.76</c:v>
                </c:pt>
                <c:pt idx="659">
                  <c:v>3.05</c:v>
                </c:pt>
                <c:pt idx="660">
                  <c:v>1.99</c:v>
                </c:pt>
                <c:pt idx="661">
                  <c:v>2.75</c:v>
                </c:pt>
                <c:pt idx="662">
                  <c:v>3.43</c:v>
                </c:pt>
                <c:pt idx="663">
                  <c:v>3.01</c:v>
                </c:pt>
                <c:pt idx="664">
                  <c:v>2.38</c:v>
                </c:pt>
                <c:pt idx="665">
                  <c:v>1.67</c:v>
                </c:pt>
                <c:pt idx="666">
                  <c:v>3.11</c:v>
                </c:pt>
                <c:pt idx="667">
                  <c:v>2.77</c:v>
                </c:pt>
                <c:pt idx="668">
                  <c:v>4.08</c:v>
                </c:pt>
                <c:pt idx="669">
                  <c:v>3.61</c:v>
                </c:pt>
                <c:pt idx="670">
                  <c:v>2.83</c:v>
                </c:pt>
                <c:pt idx="671">
                  <c:v>2.6</c:v>
                </c:pt>
                <c:pt idx="672">
                  <c:v>4.17</c:v>
                </c:pt>
                <c:pt idx="673">
                  <c:v>3.93</c:v>
                </c:pt>
                <c:pt idx="674">
                  <c:v>3.01</c:v>
                </c:pt>
                <c:pt idx="675">
                  <c:v>3.57</c:v>
                </c:pt>
                <c:pt idx="676">
                  <c:v>2.89</c:v>
                </c:pt>
                <c:pt idx="677">
                  <c:v>2.14</c:v>
                </c:pt>
                <c:pt idx="678">
                  <c:v>2.23</c:v>
                </c:pt>
                <c:pt idx="679">
                  <c:v>2.89</c:v>
                </c:pt>
                <c:pt idx="680">
                  <c:v>2.7</c:v>
                </c:pt>
                <c:pt idx="681">
                  <c:v>2.71</c:v>
                </c:pt>
                <c:pt idx="682">
                  <c:v>2.86</c:v>
                </c:pt>
                <c:pt idx="683">
                  <c:v>2.4</c:v>
                </c:pt>
                <c:pt idx="684">
                  <c:v>3.1</c:v>
                </c:pt>
                <c:pt idx="685">
                  <c:v>1.1200000000000001</c:v>
                </c:pt>
                <c:pt idx="686">
                  <c:v>1.88</c:v>
                </c:pt>
                <c:pt idx="687">
                  <c:v>1.63</c:v>
                </c:pt>
                <c:pt idx="688">
                  <c:v>3.09</c:v>
                </c:pt>
                <c:pt idx="689">
                  <c:v>2.59</c:v>
                </c:pt>
                <c:pt idx="690">
                  <c:v>4.2</c:v>
                </c:pt>
                <c:pt idx="691">
                  <c:v>1.99</c:v>
                </c:pt>
                <c:pt idx="692">
                  <c:v>2.95</c:v>
                </c:pt>
                <c:pt idx="693">
                  <c:v>2.5299999999999998</c:v>
                </c:pt>
                <c:pt idx="694">
                  <c:v>2.88</c:v>
                </c:pt>
                <c:pt idx="695">
                  <c:v>3.95</c:v>
                </c:pt>
                <c:pt idx="696">
                  <c:v>2.1</c:v>
                </c:pt>
                <c:pt idx="697">
                  <c:v>2.48</c:v>
                </c:pt>
                <c:pt idx="698">
                  <c:v>3.21</c:v>
                </c:pt>
                <c:pt idx="699">
                  <c:v>3.12</c:v>
                </c:pt>
                <c:pt idx="700">
                  <c:v>3.44</c:v>
                </c:pt>
                <c:pt idx="701">
                  <c:v>1.67</c:v>
                </c:pt>
                <c:pt idx="702">
                  <c:v>3.92</c:v>
                </c:pt>
                <c:pt idx="703">
                  <c:v>3.21</c:v>
                </c:pt>
                <c:pt idx="704">
                  <c:v>3.13</c:v>
                </c:pt>
                <c:pt idx="705">
                  <c:v>3.21</c:v>
                </c:pt>
                <c:pt idx="706">
                  <c:v>3.48</c:v>
                </c:pt>
                <c:pt idx="707">
                  <c:v>3.36</c:v>
                </c:pt>
                <c:pt idx="708">
                  <c:v>1.86</c:v>
                </c:pt>
                <c:pt idx="709">
                  <c:v>3.95</c:v>
                </c:pt>
                <c:pt idx="710">
                  <c:v>3.52</c:v>
                </c:pt>
                <c:pt idx="711">
                  <c:v>2.98</c:v>
                </c:pt>
                <c:pt idx="712">
                  <c:v>4.21</c:v>
                </c:pt>
                <c:pt idx="713">
                  <c:v>3.35</c:v>
                </c:pt>
                <c:pt idx="714">
                  <c:v>2.2400000000000002</c:v>
                </c:pt>
                <c:pt idx="715">
                  <c:v>4.1500000000000004</c:v>
                </c:pt>
                <c:pt idx="716">
                  <c:v>2.88</c:v>
                </c:pt>
                <c:pt idx="717">
                  <c:v>2.2999999999999998</c:v>
                </c:pt>
                <c:pt idx="718">
                  <c:v>2.93</c:v>
                </c:pt>
                <c:pt idx="719">
                  <c:v>1.99</c:v>
                </c:pt>
                <c:pt idx="720">
                  <c:v>3.55</c:v>
                </c:pt>
                <c:pt idx="721">
                  <c:v>2.5099999999999998</c:v>
                </c:pt>
                <c:pt idx="722">
                  <c:v>2.63</c:v>
                </c:pt>
                <c:pt idx="723">
                  <c:v>2.72</c:v>
                </c:pt>
                <c:pt idx="724">
                  <c:v>4.0999999999999996</c:v>
                </c:pt>
                <c:pt idx="725">
                  <c:v>2.44</c:v>
                </c:pt>
                <c:pt idx="726">
                  <c:v>3.19</c:v>
                </c:pt>
                <c:pt idx="727">
                  <c:v>3.31</c:v>
                </c:pt>
                <c:pt idx="728">
                  <c:v>3.1</c:v>
                </c:pt>
                <c:pt idx="729">
                  <c:v>3.01</c:v>
                </c:pt>
                <c:pt idx="730">
                  <c:v>1.5</c:v>
                </c:pt>
                <c:pt idx="731">
                  <c:v>2.5499999999999998</c:v>
                </c:pt>
                <c:pt idx="732">
                  <c:v>2.69</c:v>
                </c:pt>
                <c:pt idx="733">
                  <c:v>4.84</c:v>
                </c:pt>
                <c:pt idx="734">
                  <c:v>2.84</c:v>
                </c:pt>
                <c:pt idx="735">
                  <c:v>2.19</c:v>
                </c:pt>
                <c:pt idx="736">
                  <c:v>2.89</c:v>
                </c:pt>
                <c:pt idx="737">
                  <c:v>3.35</c:v>
                </c:pt>
                <c:pt idx="738">
                  <c:v>3.19</c:v>
                </c:pt>
                <c:pt idx="739">
                  <c:v>2.98</c:v>
                </c:pt>
                <c:pt idx="740">
                  <c:v>3</c:v>
                </c:pt>
                <c:pt idx="741">
                  <c:v>1.85</c:v>
                </c:pt>
                <c:pt idx="742">
                  <c:v>1.88</c:v>
                </c:pt>
                <c:pt idx="743">
                  <c:v>2.48</c:v>
                </c:pt>
                <c:pt idx="744">
                  <c:v>3.12</c:v>
                </c:pt>
                <c:pt idx="745">
                  <c:v>4.0199999999999996</c:v>
                </c:pt>
                <c:pt idx="746">
                  <c:v>2.2799999999999998</c:v>
                </c:pt>
                <c:pt idx="747">
                  <c:v>1.97</c:v>
                </c:pt>
                <c:pt idx="748">
                  <c:v>3.15</c:v>
                </c:pt>
                <c:pt idx="749">
                  <c:v>3.24</c:v>
                </c:pt>
                <c:pt idx="750">
                  <c:v>3.67</c:v>
                </c:pt>
                <c:pt idx="751">
                  <c:v>3.47</c:v>
                </c:pt>
                <c:pt idx="752">
                  <c:v>3.6</c:v>
                </c:pt>
                <c:pt idx="753">
                  <c:v>3.27</c:v>
                </c:pt>
                <c:pt idx="754">
                  <c:v>3.67</c:v>
                </c:pt>
                <c:pt idx="755">
                  <c:v>2.2400000000000002</c:v>
                </c:pt>
                <c:pt idx="756">
                  <c:v>3.39</c:v>
                </c:pt>
                <c:pt idx="757">
                  <c:v>3.98</c:v>
                </c:pt>
                <c:pt idx="758">
                  <c:v>3.05</c:v>
                </c:pt>
                <c:pt idx="759">
                  <c:v>2.68</c:v>
                </c:pt>
                <c:pt idx="760">
                  <c:v>3.63</c:v>
                </c:pt>
                <c:pt idx="761">
                  <c:v>2.44</c:v>
                </c:pt>
                <c:pt idx="762">
                  <c:v>3</c:v>
                </c:pt>
                <c:pt idx="763">
                  <c:v>2.11</c:v>
                </c:pt>
                <c:pt idx="764">
                  <c:v>2.46</c:v>
                </c:pt>
                <c:pt idx="765">
                  <c:v>2.5299999999999998</c:v>
                </c:pt>
                <c:pt idx="766">
                  <c:v>2.87</c:v>
                </c:pt>
                <c:pt idx="767">
                  <c:v>4.0199999999999996</c:v>
                </c:pt>
                <c:pt idx="768">
                  <c:v>2.98</c:v>
                </c:pt>
                <c:pt idx="769">
                  <c:v>3.67</c:v>
                </c:pt>
                <c:pt idx="770">
                  <c:v>2.66</c:v>
                </c:pt>
                <c:pt idx="771">
                  <c:v>3</c:v>
                </c:pt>
                <c:pt idx="772">
                  <c:v>2.0699999999999998</c:v>
                </c:pt>
                <c:pt idx="773">
                  <c:v>4.01</c:v>
                </c:pt>
                <c:pt idx="774">
                  <c:v>3.07</c:v>
                </c:pt>
                <c:pt idx="775">
                  <c:v>2.52</c:v>
                </c:pt>
                <c:pt idx="776">
                  <c:v>2.69</c:v>
                </c:pt>
                <c:pt idx="777">
                  <c:v>3.1</c:v>
                </c:pt>
                <c:pt idx="778">
                  <c:v>3.78</c:v>
                </c:pt>
                <c:pt idx="779">
                  <c:v>2.56</c:v>
                </c:pt>
                <c:pt idx="780">
                  <c:v>2.73</c:v>
                </c:pt>
                <c:pt idx="781">
                  <c:v>2.37</c:v>
                </c:pt>
                <c:pt idx="782">
                  <c:v>2.17</c:v>
                </c:pt>
                <c:pt idx="783">
                  <c:v>2.67</c:v>
                </c:pt>
                <c:pt idx="784">
                  <c:v>2.57</c:v>
                </c:pt>
                <c:pt idx="785">
                  <c:v>4.5599999999999996</c:v>
                </c:pt>
                <c:pt idx="786">
                  <c:v>3.09</c:v>
                </c:pt>
                <c:pt idx="787">
                  <c:v>3.14</c:v>
                </c:pt>
                <c:pt idx="788">
                  <c:v>3.93</c:v>
                </c:pt>
                <c:pt idx="789">
                  <c:v>3.99</c:v>
                </c:pt>
                <c:pt idx="790">
                  <c:v>2.17</c:v>
                </c:pt>
                <c:pt idx="791">
                  <c:v>3.62</c:v>
                </c:pt>
                <c:pt idx="792">
                  <c:v>3.79</c:v>
                </c:pt>
                <c:pt idx="793">
                  <c:v>3.54</c:v>
                </c:pt>
                <c:pt idx="794">
                  <c:v>3.59</c:v>
                </c:pt>
                <c:pt idx="795">
                  <c:v>2.79</c:v>
                </c:pt>
                <c:pt idx="796">
                  <c:v>3.16</c:v>
                </c:pt>
                <c:pt idx="797">
                  <c:v>3.52</c:v>
                </c:pt>
                <c:pt idx="798">
                  <c:v>3.3</c:v>
                </c:pt>
                <c:pt idx="799">
                  <c:v>2.99</c:v>
                </c:pt>
                <c:pt idx="800">
                  <c:v>2.79</c:v>
                </c:pt>
                <c:pt idx="801">
                  <c:v>5.01</c:v>
                </c:pt>
                <c:pt idx="802">
                  <c:v>4</c:v>
                </c:pt>
                <c:pt idx="803">
                  <c:v>2.92</c:v>
                </c:pt>
                <c:pt idx="804">
                  <c:v>4.2699999999999996</c:v>
                </c:pt>
                <c:pt idx="805">
                  <c:v>1.72</c:v>
                </c:pt>
                <c:pt idx="806">
                  <c:v>2.62</c:v>
                </c:pt>
                <c:pt idx="807">
                  <c:v>2.21</c:v>
                </c:pt>
                <c:pt idx="808">
                  <c:v>3.83</c:v>
                </c:pt>
                <c:pt idx="809">
                  <c:v>3.15</c:v>
                </c:pt>
                <c:pt idx="810">
                  <c:v>2.66</c:v>
                </c:pt>
                <c:pt idx="811">
                  <c:v>4.01</c:v>
                </c:pt>
                <c:pt idx="812">
                  <c:v>1.67</c:v>
                </c:pt>
                <c:pt idx="813">
                  <c:v>2.12</c:v>
                </c:pt>
                <c:pt idx="814">
                  <c:v>2.42</c:v>
                </c:pt>
                <c:pt idx="815">
                  <c:v>3.91</c:v>
                </c:pt>
                <c:pt idx="816">
                  <c:v>3.78</c:v>
                </c:pt>
                <c:pt idx="817">
                  <c:v>3.6</c:v>
                </c:pt>
                <c:pt idx="818">
                  <c:v>3.81</c:v>
                </c:pt>
                <c:pt idx="819">
                  <c:v>4.08</c:v>
                </c:pt>
                <c:pt idx="820">
                  <c:v>2.7</c:v>
                </c:pt>
                <c:pt idx="821">
                  <c:v>3.86</c:v>
                </c:pt>
                <c:pt idx="822">
                  <c:v>2.82</c:v>
                </c:pt>
                <c:pt idx="823">
                  <c:v>3.62</c:v>
                </c:pt>
                <c:pt idx="824">
                  <c:v>2.4300000000000002</c:v>
                </c:pt>
                <c:pt idx="825">
                  <c:v>2.54</c:v>
                </c:pt>
                <c:pt idx="826">
                  <c:v>4.78</c:v>
                </c:pt>
                <c:pt idx="827">
                  <c:v>2.06</c:v>
                </c:pt>
                <c:pt idx="828">
                  <c:v>1.66</c:v>
                </c:pt>
                <c:pt idx="829">
                  <c:v>3.69</c:v>
                </c:pt>
                <c:pt idx="830">
                  <c:v>4.41</c:v>
                </c:pt>
                <c:pt idx="831">
                  <c:v>1.89</c:v>
                </c:pt>
                <c:pt idx="832">
                  <c:v>2.59</c:v>
                </c:pt>
                <c:pt idx="833">
                  <c:v>2.88</c:v>
                </c:pt>
                <c:pt idx="834">
                  <c:v>2.77</c:v>
                </c:pt>
                <c:pt idx="835">
                  <c:v>3.07</c:v>
                </c:pt>
                <c:pt idx="836">
                  <c:v>2.39</c:v>
                </c:pt>
                <c:pt idx="837">
                  <c:v>2.12</c:v>
                </c:pt>
                <c:pt idx="838">
                  <c:v>4.38</c:v>
                </c:pt>
                <c:pt idx="839">
                  <c:v>2.75</c:v>
                </c:pt>
                <c:pt idx="840">
                  <c:v>1.97</c:v>
                </c:pt>
                <c:pt idx="841">
                  <c:v>2.79</c:v>
                </c:pt>
                <c:pt idx="842">
                  <c:v>2.5099999999999998</c:v>
                </c:pt>
                <c:pt idx="843">
                  <c:v>4.0999999999999996</c:v>
                </c:pt>
                <c:pt idx="844">
                  <c:v>2.94</c:v>
                </c:pt>
                <c:pt idx="845">
                  <c:v>2.0699999999999998</c:v>
                </c:pt>
                <c:pt idx="846">
                  <c:v>2.74</c:v>
                </c:pt>
                <c:pt idx="847">
                  <c:v>3.27</c:v>
                </c:pt>
                <c:pt idx="848">
                  <c:v>2.58</c:v>
                </c:pt>
                <c:pt idx="849">
                  <c:v>2.3199999999999998</c:v>
                </c:pt>
                <c:pt idx="850">
                  <c:v>3.68</c:v>
                </c:pt>
                <c:pt idx="851">
                  <c:v>3.06</c:v>
                </c:pt>
                <c:pt idx="852">
                  <c:v>2.4700000000000002</c:v>
                </c:pt>
                <c:pt idx="853">
                  <c:v>3.39</c:v>
                </c:pt>
                <c:pt idx="854">
                  <c:v>3.26</c:v>
                </c:pt>
                <c:pt idx="855">
                  <c:v>2.91</c:v>
                </c:pt>
                <c:pt idx="856">
                  <c:v>2.73</c:v>
                </c:pt>
                <c:pt idx="857">
                  <c:v>4.01</c:v>
                </c:pt>
                <c:pt idx="858">
                  <c:v>2.48</c:v>
                </c:pt>
                <c:pt idx="859">
                  <c:v>2.2599999999999998</c:v>
                </c:pt>
                <c:pt idx="860">
                  <c:v>4.18</c:v>
                </c:pt>
                <c:pt idx="861">
                  <c:v>3.92</c:v>
                </c:pt>
                <c:pt idx="862">
                  <c:v>4.59</c:v>
                </c:pt>
                <c:pt idx="863">
                  <c:v>2.81</c:v>
                </c:pt>
                <c:pt idx="864">
                  <c:v>2.38</c:v>
                </c:pt>
                <c:pt idx="865">
                  <c:v>3.22</c:v>
                </c:pt>
                <c:pt idx="866">
                  <c:v>2.87</c:v>
                </c:pt>
                <c:pt idx="867">
                  <c:v>2.31</c:v>
                </c:pt>
                <c:pt idx="868">
                  <c:v>2.5</c:v>
                </c:pt>
                <c:pt idx="869">
                  <c:v>3.38</c:v>
                </c:pt>
                <c:pt idx="870">
                  <c:v>2.57</c:v>
                </c:pt>
                <c:pt idx="871">
                  <c:v>2.5099999999999998</c:v>
                </c:pt>
                <c:pt idx="872">
                  <c:v>3.69</c:v>
                </c:pt>
                <c:pt idx="873">
                  <c:v>2.57</c:v>
                </c:pt>
                <c:pt idx="874">
                  <c:v>3.78</c:v>
                </c:pt>
                <c:pt idx="875">
                  <c:v>3.21</c:v>
                </c:pt>
                <c:pt idx="876">
                  <c:v>3.48</c:v>
                </c:pt>
                <c:pt idx="877">
                  <c:v>1.75</c:v>
                </c:pt>
                <c:pt idx="878">
                  <c:v>3.08</c:v>
                </c:pt>
                <c:pt idx="879">
                  <c:v>2.95</c:v>
                </c:pt>
                <c:pt idx="880">
                  <c:v>3.22</c:v>
                </c:pt>
                <c:pt idx="881">
                  <c:v>3.82</c:v>
                </c:pt>
                <c:pt idx="882">
                  <c:v>3.18</c:v>
                </c:pt>
                <c:pt idx="883">
                  <c:v>3.61</c:v>
                </c:pt>
                <c:pt idx="884">
                  <c:v>2.4900000000000002</c:v>
                </c:pt>
                <c:pt idx="885">
                  <c:v>2</c:v>
                </c:pt>
                <c:pt idx="886">
                  <c:v>4.54</c:v>
                </c:pt>
                <c:pt idx="887">
                  <c:v>3.49</c:v>
                </c:pt>
                <c:pt idx="888">
                  <c:v>3.13</c:v>
                </c:pt>
                <c:pt idx="889">
                  <c:v>3.41</c:v>
                </c:pt>
                <c:pt idx="890">
                  <c:v>3</c:v>
                </c:pt>
                <c:pt idx="891">
                  <c:v>2.73</c:v>
                </c:pt>
                <c:pt idx="892">
                  <c:v>2.68</c:v>
                </c:pt>
                <c:pt idx="893">
                  <c:v>2.75</c:v>
                </c:pt>
                <c:pt idx="894">
                  <c:v>3.86</c:v>
                </c:pt>
                <c:pt idx="895">
                  <c:v>3.54</c:v>
                </c:pt>
                <c:pt idx="896">
                  <c:v>3.47</c:v>
                </c:pt>
                <c:pt idx="897">
                  <c:v>2.5</c:v>
                </c:pt>
                <c:pt idx="898">
                  <c:v>2.4900000000000002</c:v>
                </c:pt>
                <c:pt idx="899">
                  <c:v>3.59</c:v>
                </c:pt>
                <c:pt idx="900">
                  <c:v>1.87</c:v>
                </c:pt>
                <c:pt idx="901">
                  <c:v>2.4300000000000002</c:v>
                </c:pt>
                <c:pt idx="902">
                  <c:v>3.32</c:v>
                </c:pt>
                <c:pt idx="903">
                  <c:v>1.86</c:v>
                </c:pt>
                <c:pt idx="904">
                  <c:v>2.35</c:v>
                </c:pt>
                <c:pt idx="905">
                  <c:v>4.13</c:v>
                </c:pt>
                <c:pt idx="906">
                  <c:v>3.06</c:v>
                </c:pt>
                <c:pt idx="907">
                  <c:v>3.39</c:v>
                </c:pt>
                <c:pt idx="908">
                  <c:v>3.78</c:v>
                </c:pt>
                <c:pt idx="909">
                  <c:v>3.98</c:v>
                </c:pt>
                <c:pt idx="910">
                  <c:v>2.59</c:v>
                </c:pt>
                <c:pt idx="911">
                  <c:v>3.5</c:v>
                </c:pt>
                <c:pt idx="912">
                  <c:v>2.73</c:v>
                </c:pt>
                <c:pt idx="913">
                  <c:v>4.47</c:v>
                </c:pt>
                <c:pt idx="914">
                  <c:v>4.67</c:v>
                </c:pt>
                <c:pt idx="915">
                  <c:v>4.07</c:v>
                </c:pt>
                <c:pt idx="916">
                  <c:v>3.16</c:v>
                </c:pt>
                <c:pt idx="917">
                  <c:v>1.85</c:v>
                </c:pt>
                <c:pt idx="918">
                  <c:v>2.0699999999999998</c:v>
                </c:pt>
                <c:pt idx="919">
                  <c:v>3.59</c:v>
                </c:pt>
                <c:pt idx="920">
                  <c:v>4.1900000000000004</c:v>
                </c:pt>
                <c:pt idx="921">
                  <c:v>2.42</c:v>
                </c:pt>
                <c:pt idx="922">
                  <c:v>4.47</c:v>
                </c:pt>
                <c:pt idx="923">
                  <c:v>2.82</c:v>
                </c:pt>
                <c:pt idx="924">
                  <c:v>5.88</c:v>
                </c:pt>
                <c:pt idx="925">
                  <c:v>3.31</c:v>
                </c:pt>
                <c:pt idx="926">
                  <c:v>2.78</c:v>
                </c:pt>
                <c:pt idx="927">
                  <c:v>3.24</c:v>
                </c:pt>
                <c:pt idx="928">
                  <c:v>4.03</c:v>
                </c:pt>
                <c:pt idx="929">
                  <c:v>3.62</c:v>
                </c:pt>
                <c:pt idx="930">
                  <c:v>3.3</c:v>
                </c:pt>
                <c:pt idx="931">
                  <c:v>1.71</c:v>
                </c:pt>
                <c:pt idx="932">
                  <c:v>1.82</c:v>
                </c:pt>
                <c:pt idx="933">
                  <c:v>2.92</c:v>
                </c:pt>
                <c:pt idx="934">
                  <c:v>3.21</c:v>
                </c:pt>
                <c:pt idx="935">
                  <c:v>2.73</c:v>
                </c:pt>
                <c:pt idx="936">
                  <c:v>2.25</c:v>
                </c:pt>
                <c:pt idx="937">
                  <c:v>3.89</c:v>
                </c:pt>
                <c:pt idx="938">
                  <c:v>2.81</c:v>
                </c:pt>
                <c:pt idx="939">
                  <c:v>2.88</c:v>
                </c:pt>
                <c:pt idx="940">
                  <c:v>3.5</c:v>
                </c:pt>
                <c:pt idx="941">
                  <c:v>2.76</c:v>
                </c:pt>
                <c:pt idx="942">
                  <c:v>3.56</c:v>
                </c:pt>
                <c:pt idx="943">
                  <c:v>2.67</c:v>
                </c:pt>
                <c:pt idx="944">
                  <c:v>3.26</c:v>
                </c:pt>
                <c:pt idx="945">
                  <c:v>4.3</c:v>
                </c:pt>
                <c:pt idx="946">
                  <c:v>2.08</c:v>
                </c:pt>
                <c:pt idx="947">
                  <c:v>5.1100000000000003</c:v>
                </c:pt>
                <c:pt idx="948">
                  <c:v>3.41</c:v>
                </c:pt>
                <c:pt idx="949">
                  <c:v>2.82</c:v>
                </c:pt>
                <c:pt idx="950">
                  <c:v>2.65</c:v>
                </c:pt>
                <c:pt idx="951">
                  <c:v>2.36</c:v>
                </c:pt>
                <c:pt idx="952">
                  <c:v>1.1499999999999999</c:v>
                </c:pt>
                <c:pt idx="953">
                  <c:v>3.41</c:v>
                </c:pt>
                <c:pt idx="954">
                  <c:v>3.09</c:v>
                </c:pt>
                <c:pt idx="955">
                  <c:v>4.5</c:v>
                </c:pt>
                <c:pt idx="956">
                  <c:v>2.58</c:v>
                </c:pt>
                <c:pt idx="957">
                  <c:v>3.19</c:v>
                </c:pt>
                <c:pt idx="958">
                  <c:v>4.3099999999999996</c:v>
                </c:pt>
                <c:pt idx="959">
                  <c:v>2.31</c:v>
                </c:pt>
                <c:pt idx="960">
                  <c:v>3.81</c:v>
                </c:pt>
                <c:pt idx="961">
                  <c:v>5.21</c:v>
                </c:pt>
                <c:pt idx="962">
                  <c:v>2.5</c:v>
                </c:pt>
                <c:pt idx="963">
                  <c:v>3.56</c:v>
                </c:pt>
                <c:pt idx="964">
                  <c:v>2.19</c:v>
                </c:pt>
                <c:pt idx="965">
                  <c:v>1.86</c:v>
                </c:pt>
                <c:pt idx="966">
                  <c:v>2.48</c:v>
                </c:pt>
                <c:pt idx="967">
                  <c:v>3.48</c:v>
                </c:pt>
                <c:pt idx="968">
                  <c:v>3.85</c:v>
                </c:pt>
                <c:pt idx="969">
                  <c:v>3.31</c:v>
                </c:pt>
                <c:pt idx="970">
                  <c:v>2.75</c:v>
                </c:pt>
                <c:pt idx="971">
                  <c:v>4.45</c:v>
                </c:pt>
                <c:pt idx="972">
                  <c:v>3.68</c:v>
                </c:pt>
                <c:pt idx="973">
                  <c:v>2.65</c:v>
                </c:pt>
                <c:pt idx="974">
                  <c:v>5.3</c:v>
                </c:pt>
                <c:pt idx="975">
                  <c:v>2.59</c:v>
                </c:pt>
                <c:pt idx="976">
                  <c:v>3.36</c:v>
                </c:pt>
                <c:pt idx="977">
                  <c:v>2.71</c:v>
                </c:pt>
                <c:pt idx="978">
                  <c:v>3.3</c:v>
                </c:pt>
                <c:pt idx="979">
                  <c:v>3.37</c:v>
                </c:pt>
                <c:pt idx="980">
                  <c:v>3.37</c:v>
                </c:pt>
                <c:pt idx="981">
                  <c:v>3.49</c:v>
                </c:pt>
                <c:pt idx="982">
                  <c:v>2.72</c:v>
                </c:pt>
                <c:pt idx="983">
                  <c:v>2.86</c:v>
                </c:pt>
                <c:pt idx="984">
                  <c:v>2.39</c:v>
                </c:pt>
                <c:pt idx="985">
                  <c:v>3.27</c:v>
                </c:pt>
                <c:pt idx="986">
                  <c:v>2.2200000000000002</c:v>
                </c:pt>
                <c:pt idx="987">
                  <c:v>2.9</c:v>
                </c:pt>
                <c:pt idx="988">
                  <c:v>2.44</c:v>
                </c:pt>
                <c:pt idx="989">
                  <c:v>3.8</c:v>
                </c:pt>
                <c:pt idx="990">
                  <c:v>4.2699999999999996</c:v>
                </c:pt>
                <c:pt idx="991">
                  <c:v>2.78</c:v>
                </c:pt>
                <c:pt idx="992">
                  <c:v>3.89</c:v>
                </c:pt>
                <c:pt idx="993">
                  <c:v>2.13</c:v>
                </c:pt>
                <c:pt idx="994">
                  <c:v>3.78</c:v>
                </c:pt>
                <c:pt idx="995">
                  <c:v>4.0999999999999996</c:v>
                </c:pt>
                <c:pt idx="996">
                  <c:v>2.4700000000000002</c:v>
                </c:pt>
                <c:pt idx="997">
                  <c:v>2.58</c:v>
                </c:pt>
                <c:pt idx="998">
                  <c:v>3.36</c:v>
                </c:pt>
                <c:pt idx="999">
                  <c:v>3.65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55-42BD-820F-81FA0F85051E}"/>
            </c:ext>
          </c:extLst>
        </c:ser>
        <c:ser>
          <c:idx val="1"/>
          <c:order val="1"/>
          <c:tx>
            <c:v>Predicted Energy_kWh</c:v>
          </c:tx>
          <c:spPr>
            <a:ln w="19050">
              <a:noFill/>
            </a:ln>
          </c:spPr>
          <c:xVal>
            <c:numRef>
              <c:f>'Descriptive Stat_Model '!$C$2:$C$1001</c:f>
              <c:numCache>
                <c:formatCode>General</c:formatCode>
                <c:ptCount val="1000"/>
                <c:pt idx="0">
                  <c:v>23.558082580000001</c:v>
                </c:pt>
                <c:pt idx="1">
                  <c:v>23.48392454</c:v>
                </c:pt>
                <c:pt idx="2">
                  <c:v>28.118976060000001</c:v>
                </c:pt>
                <c:pt idx="3">
                  <c:v>21.799492300000001</c:v>
                </c:pt>
                <c:pt idx="4">
                  <c:v>22.541099089999999</c:v>
                </c:pt>
                <c:pt idx="5">
                  <c:v>20.981829309999998</c:v>
                </c:pt>
                <c:pt idx="6">
                  <c:v>24.16424559</c:v>
                </c:pt>
                <c:pt idx="7">
                  <c:v>22.64453576</c:v>
                </c:pt>
                <c:pt idx="8">
                  <c:v>23.174094140000001</c:v>
                </c:pt>
                <c:pt idx="9">
                  <c:v>21.383012789999999</c:v>
                </c:pt>
                <c:pt idx="10">
                  <c:v>25.54746724</c:v>
                </c:pt>
                <c:pt idx="11">
                  <c:v>22.314570969999998</c:v>
                </c:pt>
                <c:pt idx="12">
                  <c:v>23.120460420000001</c:v>
                </c:pt>
                <c:pt idx="13">
                  <c:v>25.285645630000001</c:v>
                </c:pt>
                <c:pt idx="14">
                  <c:v>26.413209909999999</c:v>
                </c:pt>
                <c:pt idx="15">
                  <c:v>21.161151530000001</c:v>
                </c:pt>
                <c:pt idx="16">
                  <c:v>19.78503353</c:v>
                </c:pt>
                <c:pt idx="17">
                  <c:v>23.586144950000001</c:v>
                </c:pt>
                <c:pt idx="18">
                  <c:v>20.617393010000001</c:v>
                </c:pt>
                <c:pt idx="19">
                  <c:v>21.22097114</c:v>
                </c:pt>
                <c:pt idx="20">
                  <c:v>20.858215000000001</c:v>
                </c:pt>
                <c:pt idx="21">
                  <c:v>22.106970100000002</c:v>
                </c:pt>
                <c:pt idx="22">
                  <c:v>25.114847019999999</c:v>
                </c:pt>
                <c:pt idx="23">
                  <c:v>23.330045599999998</c:v>
                </c:pt>
                <c:pt idx="24">
                  <c:v>21.213759450000001</c:v>
                </c:pt>
                <c:pt idx="25">
                  <c:v>27.778071910000001</c:v>
                </c:pt>
                <c:pt idx="26">
                  <c:v>21.45636184</c:v>
                </c:pt>
                <c:pt idx="27">
                  <c:v>20.346336470000001</c:v>
                </c:pt>
                <c:pt idx="28">
                  <c:v>23.887638859999999</c:v>
                </c:pt>
                <c:pt idx="29">
                  <c:v>26.086135299999999</c:v>
                </c:pt>
                <c:pt idx="30">
                  <c:v>22.59508495</c:v>
                </c:pt>
                <c:pt idx="31">
                  <c:v>23.561983739999999</c:v>
                </c:pt>
                <c:pt idx="32">
                  <c:v>23.71403097</c:v>
                </c:pt>
                <c:pt idx="33">
                  <c:v>26.10571955</c:v>
                </c:pt>
                <c:pt idx="34">
                  <c:v>23.648332700000001</c:v>
                </c:pt>
                <c:pt idx="35">
                  <c:v>23.15160912</c:v>
                </c:pt>
                <c:pt idx="36">
                  <c:v>23.489933140000002</c:v>
                </c:pt>
                <c:pt idx="37">
                  <c:v>25.308708679999999</c:v>
                </c:pt>
                <c:pt idx="38">
                  <c:v>22.962973730000002</c:v>
                </c:pt>
                <c:pt idx="39">
                  <c:v>22.7824797</c:v>
                </c:pt>
                <c:pt idx="40">
                  <c:v>23.139305329999999</c:v>
                </c:pt>
                <c:pt idx="41">
                  <c:v>22.77813613</c:v>
                </c:pt>
                <c:pt idx="42">
                  <c:v>23.68351195</c:v>
                </c:pt>
                <c:pt idx="43">
                  <c:v>22.852777769999999</c:v>
                </c:pt>
                <c:pt idx="44">
                  <c:v>23.518778619999999</c:v>
                </c:pt>
                <c:pt idx="45">
                  <c:v>21.344213839999998</c:v>
                </c:pt>
                <c:pt idx="46">
                  <c:v>24.2907519</c:v>
                </c:pt>
                <c:pt idx="47">
                  <c:v>25.116848969999999</c:v>
                </c:pt>
                <c:pt idx="48">
                  <c:v>22.43722979</c:v>
                </c:pt>
                <c:pt idx="49">
                  <c:v>23.733196490000001</c:v>
                </c:pt>
                <c:pt idx="50">
                  <c:v>21.939484759999999</c:v>
                </c:pt>
                <c:pt idx="51">
                  <c:v>23.114948009999999</c:v>
                </c:pt>
                <c:pt idx="52">
                  <c:v>24.702708529999999</c:v>
                </c:pt>
                <c:pt idx="53">
                  <c:v>24.702804180000001</c:v>
                </c:pt>
                <c:pt idx="54">
                  <c:v>21.706854230000001</c:v>
                </c:pt>
                <c:pt idx="55">
                  <c:v>22.223861620000001</c:v>
                </c:pt>
                <c:pt idx="56">
                  <c:v>21.698714859999999</c:v>
                </c:pt>
                <c:pt idx="57">
                  <c:v>23.780506540000001</c:v>
                </c:pt>
                <c:pt idx="58">
                  <c:v>21.47348169</c:v>
                </c:pt>
                <c:pt idx="59">
                  <c:v>28.56755485</c:v>
                </c:pt>
                <c:pt idx="60">
                  <c:v>21.796062639999999</c:v>
                </c:pt>
                <c:pt idx="61">
                  <c:v>23.173179569999999</c:v>
                </c:pt>
                <c:pt idx="62">
                  <c:v>24.086966310000001</c:v>
                </c:pt>
                <c:pt idx="63">
                  <c:v>22.521642669999999</c:v>
                </c:pt>
                <c:pt idx="64">
                  <c:v>23.363732509999998</c:v>
                </c:pt>
                <c:pt idx="65">
                  <c:v>26.019542619999999</c:v>
                </c:pt>
                <c:pt idx="66">
                  <c:v>24.513977229999998</c:v>
                </c:pt>
                <c:pt idx="67">
                  <c:v>23.361061679999999</c:v>
                </c:pt>
                <c:pt idx="68">
                  <c:v>20.317109680000002</c:v>
                </c:pt>
                <c:pt idx="69">
                  <c:v>22.683984200000001</c:v>
                </c:pt>
                <c:pt idx="70">
                  <c:v>22.540240860000001</c:v>
                </c:pt>
                <c:pt idx="71">
                  <c:v>17.606226710000001</c:v>
                </c:pt>
                <c:pt idx="72">
                  <c:v>21.40177886</c:v>
                </c:pt>
                <c:pt idx="73">
                  <c:v>22.934493459999999</c:v>
                </c:pt>
                <c:pt idx="74">
                  <c:v>23.579684530000002</c:v>
                </c:pt>
                <c:pt idx="75">
                  <c:v>24.87135679</c:v>
                </c:pt>
                <c:pt idx="76">
                  <c:v>23.19749156</c:v>
                </c:pt>
                <c:pt idx="77">
                  <c:v>20.837873340000002</c:v>
                </c:pt>
                <c:pt idx="78">
                  <c:v>23.652266040000001</c:v>
                </c:pt>
                <c:pt idx="79">
                  <c:v>19.493061170000001</c:v>
                </c:pt>
                <c:pt idx="80">
                  <c:v>23.615603539999999</c:v>
                </c:pt>
                <c:pt idx="81">
                  <c:v>19.740814029999999</c:v>
                </c:pt>
                <c:pt idx="82">
                  <c:v>26.241066889999999</c:v>
                </c:pt>
                <c:pt idx="83">
                  <c:v>22.30397383</c:v>
                </c:pt>
                <c:pt idx="84">
                  <c:v>23.19064161</c:v>
                </c:pt>
                <c:pt idx="85">
                  <c:v>28.12016908</c:v>
                </c:pt>
                <c:pt idx="86">
                  <c:v>24.415503869999998</c:v>
                </c:pt>
                <c:pt idx="87">
                  <c:v>23.355402000000002</c:v>
                </c:pt>
                <c:pt idx="88">
                  <c:v>23.85923644</c:v>
                </c:pt>
                <c:pt idx="89">
                  <c:v>23.056636749999999</c:v>
                </c:pt>
                <c:pt idx="90">
                  <c:v>23.444267539999998</c:v>
                </c:pt>
                <c:pt idx="91">
                  <c:v>23.164567980000001</c:v>
                </c:pt>
                <c:pt idx="92">
                  <c:v>20.311098980000001</c:v>
                </c:pt>
                <c:pt idx="93">
                  <c:v>22.930630229999998</c:v>
                </c:pt>
                <c:pt idx="94">
                  <c:v>23.332904419999998</c:v>
                </c:pt>
                <c:pt idx="95">
                  <c:v>25.841008500000001</c:v>
                </c:pt>
                <c:pt idx="96">
                  <c:v>22.274929950000001</c:v>
                </c:pt>
                <c:pt idx="97">
                  <c:v>22.93374605</c:v>
                </c:pt>
                <c:pt idx="98">
                  <c:v>25.411256160000001</c:v>
                </c:pt>
                <c:pt idx="99">
                  <c:v>22.259353260000001</c:v>
                </c:pt>
                <c:pt idx="100">
                  <c:v>24.635505389999999</c:v>
                </c:pt>
                <c:pt idx="101">
                  <c:v>23.351091660000002</c:v>
                </c:pt>
                <c:pt idx="102">
                  <c:v>22.039736260000002</c:v>
                </c:pt>
                <c:pt idx="103">
                  <c:v>22.73792319</c:v>
                </c:pt>
                <c:pt idx="104">
                  <c:v>23.487601430000002</c:v>
                </c:pt>
                <c:pt idx="105">
                  <c:v>22.908827970000001</c:v>
                </c:pt>
                <c:pt idx="106">
                  <c:v>22.835697639999999</c:v>
                </c:pt>
                <c:pt idx="107">
                  <c:v>23.393042340000001</c:v>
                </c:pt>
                <c:pt idx="108">
                  <c:v>21.518335180000001</c:v>
                </c:pt>
                <c:pt idx="109">
                  <c:v>22.653930240000001</c:v>
                </c:pt>
                <c:pt idx="110">
                  <c:v>22.992794920000001</c:v>
                </c:pt>
                <c:pt idx="111">
                  <c:v>22.461627740000001</c:v>
                </c:pt>
                <c:pt idx="112">
                  <c:v>25.798710870000001</c:v>
                </c:pt>
                <c:pt idx="113">
                  <c:v>25.099105430000002</c:v>
                </c:pt>
                <c:pt idx="114">
                  <c:v>20.93684751</c:v>
                </c:pt>
                <c:pt idx="115">
                  <c:v>25.1820922</c:v>
                </c:pt>
                <c:pt idx="116">
                  <c:v>22.789216150000001</c:v>
                </c:pt>
                <c:pt idx="117">
                  <c:v>23.647600260000001</c:v>
                </c:pt>
                <c:pt idx="118">
                  <c:v>20.410637049999998</c:v>
                </c:pt>
                <c:pt idx="119">
                  <c:v>18.809684950000001</c:v>
                </c:pt>
                <c:pt idx="120">
                  <c:v>24.69415802</c:v>
                </c:pt>
                <c:pt idx="121">
                  <c:v>24.455259089999998</c:v>
                </c:pt>
                <c:pt idx="122">
                  <c:v>24.83265535</c:v>
                </c:pt>
                <c:pt idx="123">
                  <c:v>25.216365629999999</c:v>
                </c:pt>
                <c:pt idx="124">
                  <c:v>23.300837810000001</c:v>
                </c:pt>
                <c:pt idx="125">
                  <c:v>26.266863059999999</c:v>
                </c:pt>
                <c:pt idx="126">
                  <c:v>25.378940979999999</c:v>
                </c:pt>
                <c:pt idx="127">
                  <c:v>20.807449829999999</c:v>
                </c:pt>
                <c:pt idx="128">
                  <c:v>26.284030319999999</c:v>
                </c:pt>
                <c:pt idx="129">
                  <c:v>20.220855069999999</c:v>
                </c:pt>
                <c:pt idx="130">
                  <c:v>22.49462862</c:v>
                </c:pt>
                <c:pt idx="131">
                  <c:v>21.022817790000001</c:v>
                </c:pt>
                <c:pt idx="132">
                  <c:v>21.061600779999999</c:v>
                </c:pt>
                <c:pt idx="133">
                  <c:v>23.943922669999999</c:v>
                </c:pt>
                <c:pt idx="134">
                  <c:v>21.563185470000001</c:v>
                </c:pt>
                <c:pt idx="135">
                  <c:v>25.449168879999998</c:v>
                </c:pt>
                <c:pt idx="136">
                  <c:v>24.952767909999999</c:v>
                </c:pt>
                <c:pt idx="137">
                  <c:v>21.836638170000001</c:v>
                </c:pt>
                <c:pt idx="138">
                  <c:v>21.756363400000001</c:v>
                </c:pt>
                <c:pt idx="139">
                  <c:v>24.116653830000001</c:v>
                </c:pt>
                <c:pt idx="140">
                  <c:v>25.182620239999999</c:v>
                </c:pt>
                <c:pt idx="141">
                  <c:v>21.94506135</c:v>
                </c:pt>
                <c:pt idx="142">
                  <c:v>23.174372810000001</c:v>
                </c:pt>
                <c:pt idx="143">
                  <c:v>22.122825590000001</c:v>
                </c:pt>
                <c:pt idx="144">
                  <c:v>23.10107163</c:v>
                </c:pt>
                <c:pt idx="145">
                  <c:v>21.780975600000001</c:v>
                </c:pt>
                <c:pt idx="146">
                  <c:v>17.223457589999999</c:v>
                </c:pt>
                <c:pt idx="147">
                  <c:v>22.573114260000001</c:v>
                </c:pt>
                <c:pt idx="148">
                  <c:v>22.26555157</c:v>
                </c:pt>
                <c:pt idx="149">
                  <c:v>17.892157730000001</c:v>
                </c:pt>
                <c:pt idx="150">
                  <c:v>21.8469792</c:v>
                </c:pt>
                <c:pt idx="151">
                  <c:v>21.011787529999999</c:v>
                </c:pt>
                <c:pt idx="152">
                  <c:v>20.256197709999999</c:v>
                </c:pt>
                <c:pt idx="153">
                  <c:v>22.823314679999999</c:v>
                </c:pt>
                <c:pt idx="154">
                  <c:v>22.542034279999999</c:v>
                </c:pt>
                <c:pt idx="155">
                  <c:v>21.395014530000001</c:v>
                </c:pt>
                <c:pt idx="156">
                  <c:v>25.37140831</c:v>
                </c:pt>
                <c:pt idx="157">
                  <c:v>24.2142622</c:v>
                </c:pt>
                <c:pt idx="158">
                  <c:v>25.911237379999999</c:v>
                </c:pt>
                <c:pt idx="159">
                  <c:v>24.15888515</c:v>
                </c:pt>
                <c:pt idx="160">
                  <c:v>22.502617749999999</c:v>
                </c:pt>
                <c:pt idx="161">
                  <c:v>23.799375900000001</c:v>
                </c:pt>
                <c:pt idx="162">
                  <c:v>22.499063920000001</c:v>
                </c:pt>
                <c:pt idx="163">
                  <c:v>21.970716899999999</c:v>
                </c:pt>
                <c:pt idx="164">
                  <c:v>21.430203370000001</c:v>
                </c:pt>
                <c:pt idx="165">
                  <c:v>20.16326853</c:v>
                </c:pt>
                <c:pt idx="166">
                  <c:v>21.896283709999999</c:v>
                </c:pt>
                <c:pt idx="167">
                  <c:v>25.231804109999999</c:v>
                </c:pt>
                <c:pt idx="168">
                  <c:v>23.960119160000001</c:v>
                </c:pt>
                <c:pt idx="169">
                  <c:v>20.178350999999999</c:v>
                </c:pt>
                <c:pt idx="170">
                  <c:v>19.208070320000001</c:v>
                </c:pt>
                <c:pt idx="171">
                  <c:v>22.944970189999999</c:v>
                </c:pt>
                <c:pt idx="172">
                  <c:v>22.799691849999999</c:v>
                </c:pt>
                <c:pt idx="173">
                  <c:v>21.947843939999998</c:v>
                </c:pt>
                <c:pt idx="174">
                  <c:v>23.494154760000001</c:v>
                </c:pt>
                <c:pt idx="175">
                  <c:v>20.333685379999999</c:v>
                </c:pt>
                <c:pt idx="176">
                  <c:v>23.40113839</c:v>
                </c:pt>
                <c:pt idx="177">
                  <c:v>20.855721979999998</c:v>
                </c:pt>
                <c:pt idx="178">
                  <c:v>22.634207119999999</c:v>
                </c:pt>
                <c:pt idx="179">
                  <c:v>23.245340630000001</c:v>
                </c:pt>
                <c:pt idx="180">
                  <c:v>22.877913150000001</c:v>
                </c:pt>
                <c:pt idx="181">
                  <c:v>23.72514163</c:v>
                </c:pt>
                <c:pt idx="182">
                  <c:v>21.906985209999998</c:v>
                </c:pt>
                <c:pt idx="183">
                  <c:v>20.875212940000001</c:v>
                </c:pt>
                <c:pt idx="184">
                  <c:v>24.159266349999999</c:v>
                </c:pt>
                <c:pt idx="185">
                  <c:v>22.81766176</c:v>
                </c:pt>
                <c:pt idx="186">
                  <c:v>21.67457246</c:v>
                </c:pt>
                <c:pt idx="187">
                  <c:v>23.566575740000001</c:v>
                </c:pt>
                <c:pt idx="188">
                  <c:v>25.057365220000001</c:v>
                </c:pt>
                <c:pt idx="189">
                  <c:v>23.50587363</c:v>
                </c:pt>
                <c:pt idx="190">
                  <c:v>24.0262116</c:v>
                </c:pt>
                <c:pt idx="191">
                  <c:v>23.734574630000001</c:v>
                </c:pt>
                <c:pt idx="192">
                  <c:v>19.2295999</c:v>
                </c:pt>
                <c:pt idx="193">
                  <c:v>22.791101560000001</c:v>
                </c:pt>
                <c:pt idx="194">
                  <c:v>23.530311050000002</c:v>
                </c:pt>
                <c:pt idx="195">
                  <c:v>21.069004029999999</c:v>
                </c:pt>
                <c:pt idx="196">
                  <c:v>22.120822579999999</c:v>
                </c:pt>
                <c:pt idx="197">
                  <c:v>23.904066690000001</c:v>
                </c:pt>
                <c:pt idx="198">
                  <c:v>25.168959170000001</c:v>
                </c:pt>
                <c:pt idx="199">
                  <c:v>23.207088280000001</c:v>
                </c:pt>
                <c:pt idx="200">
                  <c:v>24.842495370000002</c:v>
                </c:pt>
                <c:pt idx="201">
                  <c:v>26.224441259999999</c:v>
                </c:pt>
                <c:pt idx="202">
                  <c:v>24.023848180000002</c:v>
                </c:pt>
                <c:pt idx="203">
                  <c:v>21.775125249999999</c:v>
                </c:pt>
                <c:pt idx="204">
                  <c:v>19.605805230000001</c:v>
                </c:pt>
                <c:pt idx="205">
                  <c:v>24.71092002</c:v>
                </c:pt>
                <c:pt idx="206">
                  <c:v>25.608680490000001</c:v>
                </c:pt>
                <c:pt idx="207">
                  <c:v>23.099157040000001</c:v>
                </c:pt>
                <c:pt idx="208">
                  <c:v>26.782775699999998</c:v>
                </c:pt>
                <c:pt idx="209">
                  <c:v>22.823274080000001</c:v>
                </c:pt>
                <c:pt idx="210">
                  <c:v>22.813131859999999</c:v>
                </c:pt>
                <c:pt idx="211">
                  <c:v>26.145629280000001</c:v>
                </c:pt>
                <c:pt idx="212">
                  <c:v>20.477090329999999</c:v>
                </c:pt>
                <c:pt idx="213">
                  <c:v>20.54090081</c:v>
                </c:pt>
                <c:pt idx="214">
                  <c:v>22.276473859999999</c:v>
                </c:pt>
                <c:pt idx="215">
                  <c:v>24.279574660000002</c:v>
                </c:pt>
                <c:pt idx="216">
                  <c:v>22.61018344</c:v>
                </c:pt>
                <c:pt idx="217">
                  <c:v>26.914127279999999</c:v>
                </c:pt>
                <c:pt idx="218">
                  <c:v>24.90625009</c:v>
                </c:pt>
                <c:pt idx="219">
                  <c:v>24.600819049999998</c:v>
                </c:pt>
                <c:pt idx="220">
                  <c:v>22.617904620000001</c:v>
                </c:pt>
                <c:pt idx="221">
                  <c:v>25.910042449999999</c:v>
                </c:pt>
                <c:pt idx="222">
                  <c:v>21.461715300000002</c:v>
                </c:pt>
                <c:pt idx="223">
                  <c:v>23.01592857</c:v>
                </c:pt>
                <c:pt idx="224">
                  <c:v>23.784831929999999</c:v>
                </c:pt>
                <c:pt idx="225">
                  <c:v>21.355160139999999</c:v>
                </c:pt>
                <c:pt idx="226">
                  <c:v>21.74761994</c:v>
                </c:pt>
                <c:pt idx="227">
                  <c:v>24.650196529999999</c:v>
                </c:pt>
                <c:pt idx="228">
                  <c:v>22.547478259999998</c:v>
                </c:pt>
                <c:pt idx="229">
                  <c:v>24.044487360000002</c:v>
                </c:pt>
                <c:pt idx="230">
                  <c:v>23.815850040000001</c:v>
                </c:pt>
                <c:pt idx="231">
                  <c:v>22.093503179999999</c:v>
                </c:pt>
                <c:pt idx="232">
                  <c:v>25.549183750000001</c:v>
                </c:pt>
                <c:pt idx="233">
                  <c:v>23.081838350000002</c:v>
                </c:pt>
                <c:pt idx="234">
                  <c:v>22.54280017</c:v>
                </c:pt>
                <c:pt idx="235">
                  <c:v>23.04493179</c:v>
                </c:pt>
                <c:pt idx="236">
                  <c:v>24.345722469999998</c:v>
                </c:pt>
                <c:pt idx="237">
                  <c:v>23.203712589999999</c:v>
                </c:pt>
                <c:pt idx="238">
                  <c:v>24.977338339999999</c:v>
                </c:pt>
                <c:pt idx="239">
                  <c:v>21.51373147</c:v>
                </c:pt>
                <c:pt idx="240">
                  <c:v>20.479670469999999</c:v>
                </c:pt>
                <c:pt idx="241">
                  <c:v>20.6599647</c:v>
                </c:pt>
                <c:pt idx="242">
                  <c:v>20.82183977</c:v>
                </c:pt>
                <c:pt idx="243">
                  <c:v>18.576276180000001</c:v>
                </c:pt>
                <c:pt idx="244">
                  <c:v>23.895723499999999</c:v>
                </c:pt>
                <c:pt idx="245">
                  <c:v>23.325488830000001</c:v>
                </c:pt>
                <c:pt idx="246">
                  <c:v>23.464311899999998</c:v>
                </c:pt>
                <c:pt idx="247">
                  <c:v>24.236976760000001</c:v>
                </c:pt>
                <c:pt idx="248">
                  <c:v>22.96050181</c:v>
                </c:pt>
                <c:pt idx="249">
                  <c:v>20.311771060000002</c:v>
                </c:pt>
                <c:pt idx="250">
                  <c:v>19.947458009999998</c:v>
                </c:pt>
                <c:pt idx="251">
                  <c:v>22.185927370000002</c:v>
                </c:pt>
                <c:pt idx="252">
                  <c:v>23.818056110000001</c:v>
                </c:pt>
                <c:pt idx="253">
                  <c:v>23.022283130000002</c:v>
                </c:pt>
                <c:pt idx="254">
                  <c:v>24.380473599999998</c:v>
                </c:pt>
                <c:pt idx="255">
                  <c:v>25.434747139999999</c:v>
                </c:pt>
                <c:pt idx="256">
                  <c:v>26.47779933</c:v>
                </c:pt>
                <c:pt idx="257">
                  <c:v>24.30090019</c:v>
                </c:pt>
                <c:pt idx="258">
                  <c:v>23.460141520000001</c:v>
                </c:pt>
                <c:pt idx="259">
                  <c:v>23.90836633</c:v>
                </c:pt>
                <c:pt idx="260">
                  <c:v>19.964252510000001</c:v>
                </c:pt>
                <c:pt idx="261">
                  <c:v>22.042325089999999</c:v>
                </c:pt>
                <c:pt idx="262">
                  <c:v>22.261445720000001</c:v>
                </c:pt>
                <c:pt idx="263">
                  <c:v>21.592690900000001</c:v>
                </c:pt>
                <c:pt idx="264">
                  <c:v>26.04067847</c:v>
                </c:pt>
                <c:pt idx="265">
                  <c:v>20.343370100000001</c:v>
                </c:pt>
                <c:pt idx="266">
                  <c:v>19.50509383</c:v>
                </c:pt>
                <c:pt idx="267">
                  <c:v>23.39465453</c:v>
                </c:pt>
                <c:pt idx="268">
                  <c:v>24.637555290000002</c:v>
                </c:pt>
                <c:pt idx="269">
                  <c:v>26.3286342</c:v>
                </c:pt>
                <c:pt idx="270">
                  <c:v>22.780460990000002</c:v>
                </c:pt>
                <c:pt idx="271">
                  <c:v>21.27121786</c:v>
                </c:pt>
                <c:pt idx="272">
                  <c:v>26.499167809999999</c:v>
                </c:pt>
                <c:pt idx="273">
                  <c:v>21.432468669999999</c:v>
                </c:pt>
                <c:pt idx="274">
                  <c:v>23.999370219999999</c:v>
                </c:pt>
                <c:pt idx="275">
                  <c:v>19.564411809999999</c:v>
                </c:pt>
                <c:pt idx="276">
                  <c:v>21.900885729999999</c:v>
                </c:pt>
                <c:pt idx="277">
                  <c:v>24.586338730000001</c:v>
                </c:pt>
                <c:pt idx="278">
                  <c:v>24.58074379</c:v>
                </c:pt>
                <c:pt idx="279">
                  <c:v>25.097939889999999</c:v>
                </c:pt>
                <c:pt idx="280">
                  <c:v>20.198652020000001</c:v>
                </c:pt>
                <c:pt idx="281">
                  <c:v>23.224209890000001</c:v>
                </c:pt>
                <c:pt idx="282">
                  <c:v>21.580840290000001</c:v>
                </c:pt>
                <c:pt idx="283">
                  <c:v>20.244765000000001</c:v>
                </c:pt>
                <c:pt idx="284">
                  <c:v>25.030456180000002</c:v>
                </c:pt>
                <c:pt idx="285">
                  <c:v>21.008369210000001</c:v>
                </c:pt>
                <c:pt idx="286">
                  <c:v>28.241586179999999</c:v>
                </c:pt>
                <c:pt idx="287">
                  <c:v>22.893758689999999</c:v>
                </c:pt>
                <c:pt idx="288">
                  <c:v>22.448595610000002</c:v>
                </c:pt>
                <c:pt idx="289">
                  <c:v>20.844256380000001</c:v>
                </c:pt>
                <c:pt idx="290">
                  <c:v>24.303043980000002</c:v>
                </c:pt>
                <c:pt idx="291">
                  <c:v>23.914560810000001</c:v>
                </c:pt>
                <c:pt idx="292">
                  <c:v>23.712005260000002</c:v>
                </c:pt>
                <c:pt idx="293">
                  <c:v>20.820733929999999</c:v>
                </c:pt>
                <c:pt idx="294">
                  <c:v>24.021584180000001</c:v>
                </c:pt>
                <c:pt idx="295">
                  <c:v>23.926412580000001</c:v>
                </c:pt>
                <c:pt idx="296">
                  <c:v>23.699300090000001</c:v>
                </c:pt>
                <c:pt idx="297">
                  <c:v>24.513577359999999</c:v>
                </c:pt>
                <c:pt idx="298">
                  <c:v>25.42959411</c:v>
                </c:pt>
                <c:pt idx="299">
                  <c:v>25.6698065</c:v>
                </c:pt>
                <c:pt idx="300">
                  <c:v>23.99972825</c:v>
                </c:pt>
                <c:pt idx="301">
                  <c:v>25.379030090000001</c:v>
                </c:pt>
                <c:pt idx="302">
                  <c:v>20.5879996</c:v>
                </c:pt>
                <c:pt idx="303">
                  <c:v>24.69303618</c:v>
                </c:pt>
                <c:pt idx="304">
                  <c:v>21.385129200000002</c:v>
                </c:pt>
                <c:pt idx="305">
                  <c:v>23.506330479999999</c:v>
                </c:pt>
                <c:pt idx="306">
                  <c:v>21.6674316</c:v>
                </c:pt>
                <c:pt idx="307">
                  <c:v>19.595573470000001</c:v>
                </c:pt>
                <c:pt idx="308">
                  <c:v>22.087758350000001</c:v>
                </c:pt>
                <c:pt idx="309">
                  <c:v>19.163800800000001</c:v>
                </c:pt>
                <c:pt idx="310">
                  <c:v>22.838800500000001</c:v>
                </c:pt>
                <c:pt idx="311">
                  <c:v>25.447706400000001</c:v>
                </c:pt>
                <c:pt idx="312">
                  <c:v>26.125777540000001</c:v>
                </c:pt>
                <c:pt idx="313">
                  <c:v>18.806648599999999</c:v>
                </c:pt>
                <c:pt idx="314">
                  <c:v>21.903462409999999</c:v>
                </c:pt>
                <c:pt idx="315">
                  <c:v>21.93757141</c:v>
                </c:pt>
                <c:pt idx="316">
                  <c:v>23.592369609999999</c:v>
                </c:pt>
                <c:pt idx="317">
                  <c:v>21.126987249999999</c:v>
                </c:pt>
                <c:pt idx="318">
                  <c:v>22.229956380000001</c:v>
                </c:pt>
                <c:pt idx="319">
                  <c:v>21.698334549999998</c:v>
                </c:pt>
                <c:pt idx="320">
                  <c:v>19.893735889999999</c:v>
                </c:pt>
                <c:pt idx="321">
                  <c:v>25.442471319999999</c:v>
                </c:pt>
                <c:pt idx="322">
                  <c:v>26.067709879999999</c:v>
                </c:pt>
                <c:pt idx="323">
                  <c:v>20.65547909</c:v>
                </c:pt>
                <c:pt idx="324">
                  <c:v>24.752093590000001</c:v>
                </c:pt>
                <c:pt idx="325">
                  <c:v>22.063132299999999</c:v>
                </c:pt>
                <c:pt idx="326">
                  <c:v>22.889603529999999</c:v>
                </c:pt>
                <c:pt idx="327">
                  <c:v>24.270892060000001</c:v>
                </c:pt>
                <c:pt idx="328">
                  <c:v>21.327786010000001</c:v>
                </c:pt>
                <c:pt idx="329">
                  <c:v>23.245686880000001</c:v>
                </c:pt>
                <c:pt idx="330">
                  <c:v>23.93343247</c:v>
                </c:pt>
                <c:pt idx="331">
                  <c:v>26.032788109999998</c:v>
                </c:pt>
                <c:pt idx="332">
                  <c:v>19.511338559999999</c:v>
                </c:pt>
                <c:pt idx="333">
                  <c:v>22.172788929999999</c:v>
                </c:pt>
                <c:pt idx="334">
                  <c:v>21.83280135</c:v>
                </c:pt>
                <c:pt idx="335">
                  <c:v>23.968893210000001</c:v>
                </c:pt>
                <c:pt idx="336">
                  <c:v>18.023345290000002</c:v>
                </c:pt>
                <c:pt idx="337">
                  <c:v>24.220432339999999</c:v>
                </c:pt>
                <c:pt idx="338">
                  <c:v>22.422902610000001</c:v>
                </c:pt>
                <c:pt idx="339">
                  <c:v>20.600280560000002</c:v>
                </c:pt>
                <c:pt idx="340">
                  <c:v>26.252760810000002</c:v>
                </c:pt>
                <c:pt idx="341">
                  <c:v>19.36404155</c:v>
                </c:pt>
                <c:pt idx="342">
                  <c:v>26.015267120000001</c:v>
                </c:pt>
                <c:pt idx="343">
                  <c:v>25.564726950000001</c:v>
                </c:pt>
                <c:pt idx="344">
                  <c:v>22.344352950000001</c:v>
                </c:pt>
                <c:pt idx="345">
                  <c:v>25.09741425</c:v>
                </c:pt>
                <c:pt idx="346">
                  <c:v>23.982415329999998</c:v>
                </c:pt>
                <c:pt idx="347">
                  <c:v>23.145361050000002</c:v>
                </c:pt>
                <c:pt idx="348">
                  <c:v>19.537597389999998</c:v>
                </c:pt>
                <c:pt idx="349">
                  <c:v>25.420487000000001</c:v>
                </c:pt>
                <c:pt idx="350">
                  <c:v>24.354719039999999</c:v>
                </c:pt>
                <c:pt idx="351">
                  <c:v>25.657281659999999</c:v>
                </c:pt>
                <c:pt idx="352">
                  <c:v>22.806752660000001</c:v>
                </c:pt>
                <c:pt idx="353">
                  <c:v>24.950624919999999</c:v>
                </c:pt>
                <c:pt idx="354">
                  <c:v>24.2104474</c:v>
                </c:pt>
                <c:pt idx="355">
                  <c:v>23.370351070000002</c:v>
                </c:pt>
                <c:pt idx="356">
                  <c:v>21.095367240000002</c:v>
                </c:pt>
                <c:pt idx="357">
                  <c:v>26.334448219999999</c:v>
                </c:pt>
                <c:pt idx="358">
                  <c:v>25.14577349</c:v>
                </c:pt>
                <c:pt idx="359">
                  <c:v>22.628765059999999</c:v>
                </c:pt>
                <c:pt idx="360">
                  <c:v>23.438221200000001</c:v>
                </c:pt>
                <c:pt idx="361">
                  <c:v>19.662801479999999</c:v>
                </c:pt>
                <c:pt idx="362">
                  <c:v>21.23786333</c:v>
                </c:pt>
                <c:pt idx="363">
                  <c:v>21.479621099999999</c:v>
                </c:pt>
                <c:pt idx="364">
                  <c:v>21.167451799999998</c:v>
                </c:pt>
                <c:pt idx="365">
                  <c:v>18.695232910000001</c:v>
                </c:pt>
                <c:pt idx="366">
                  <c:v>25.83706269</c:v>
                </c:pt>
                <c:pt idx="367">
                  <c:v>21.16614491</c:v>
                </c:pt>
                <c:pt idx="368">
                  <c:v>22.080902120000001</c:v>
                </c:pt>
                <c:pt idx="369">
                  <c:v>23.39226292</c:v>
                </c:pt>
                <c:pt idx="370">
                  <c:v>24.827543240000001</c:v>
                </c:pt>
                <c:pt idx="371">
                  <c:v>22.251639449999999</c:v>
                </c:pt>
                <c:pt idx="372">
                  <c:v>23.856633380000002</c:v>
                </c:pt>
                <c:pt idx="373">
                  <c:v>20.693335189999999</c:v>
                </c:pt>
                <c:pt idx="374">
                  <c:v>23.800962770000002</c:v>
                </c:pt>
                <c:pt idx="375">
                  <c:v>24.011931109999999</c:v>
                </c:pt>
                <c:pt idx="376">
                  <c:v>23.24783485</c:v>
                </c:pt>
                <c:pt idx="377">
                  <c:v>25.4049555</c:v>
                </c:pt>
                <c:pt idx="378">
                  <c:v>23.871950779999999</c:v>
                </c:pt>
                <c:pt idx="379">
                  <c:v>21.820181399999999</c:v>
                </c:pt>
                <c:pt idx="380">
                  <c:v>22.41318897</c:v>
                </c:pt>
                <c:pt idx="381">
                  <c:v>23.103567699999999</c:v>
                </c:pt>
                <c:pt idx="382">
                  <c:v>23.281965400000001</c:v>
                </c:pt>
                <c:pt idx="383">
                  <c:v>22.044708830000001</c:v>
                </c:pt>
                <c:pt idx="384">
                  <c:v>21.544655290000001</c:v>
                </c:pt>
                <c:pt idx="385">
                  <c:v>27.207346210000001</c:v>
                </c:pt>
                <c:pt idx="386">
                  <c:v>19.724790169999999</c:v>
                </c:pt>
                <c:pt idx="387">
                  <c:v>25.307180689999999</c:v>
                </c:pt>
                <c:pt idx="388">
                  <c:v>26.060390399999999</c:v>
                </c:pt>
                <c:pt idx="389">
                  <c:v>20.191997409999999</c:v>
                </c:pt>
                <c:pt idx="390">
                  <c:v>19.945408619999998</c:v>
                </c:pt>
                <c:pt idx="391">
                  <c:v>21.408885860000002</c:v>
                </c:pt>
                <c:pt idx="392">
                  <c:v>25.736196960000001</c:v>
                </c:pt>
                <c:pt idx="393">
                  <c:v>25.40934888</c:v>
                </c:pt>
                <c:pt idx="394">
                  <c:v>23.69341996</c:v>
                </c:pt>
                <c:pt idx="395">
                  <c:v>24.281085869999998</c:v>
                </c:pt>
                <c:pt idx="396">
                  <c:v>24.872418020000001</c:v>
                </c:pt>
                <c:pt idx="397">
                  <c:v>24.045123839999999</c:v>
                </c:pt>
                <c:pt idx="398">
                  <c:v>20.021707159999998</c:v>
                </c:pt>
                <c:pt idx="399">
                  <c:v>27.607277499999999</c:v>
                </c:pt>
                <c:pt idx="400">
                  <c:v>22.05227026</c:v>
                </c:pt>
                <c:pt idx="401">
                  <c:v>24.38571151</c:v>
                </c:pt>
                <c:pt idx="402">
                  <c:v>26.795534029999999</c:v>
                </c:pt>
                <c:pt idx="403">
                  <c:v>22.75253464</c:v>
                </c:pt>
                <c:pt idx="404">
                  <c:v>24.98047691</c:v>
                </c:pt>
                <c:pt idx="405">
                  <c:v>24.979720279999999</c:v>
                </c:pt>
                <c:pt idx="406">
                  <c:v>20.713961380000001</c:v>
                </c:pt>
                <c:pt idx="407">
                  <c:v>23.357389430000001</c:v>
                </c:pt>
                <c:pt idx="408">
                  <c:v>23.72283105</c:v>
                </c:pt>
                <c:pt idx="409">
                  <c:v>24.99304927</c:v>
                </c:pt>
                <c:pt idx="410">
                  <c:v>22.878164330000001</c:v>
                </c:pt>
                <c:pt idx="411">
                  <c:v>23.429653009999999</c:v>
                </c:pt>
                <c:pt idx="412">
                  <c:v>18.963024269999998</c:v>
                </c:pt>
                <c:pt idx="413">
                  <c:v>23.957637500000001</c:v>
                </c:pt>
                <c:pt idx="414">
                  <c:v>18.645869909999998</c:v>
                </c:pt>
                <c:pt idx="415">
                  <c:v>22.78702423</c:v>
                </c:pt>
                <c:pt idx="416">
                  <c:v>22.575142140000001</c:v>
                </c:pt>
                <c:pt idx="417">
                  <c:v>20.157693720000001</c:v>
                </c:pt>
                <c:pt idx="418">
                  <c:v>20.872420770000002</c:v>
                </c:pt>
                <c:pt idx="419">
                  <c:v>24.840022919999999</c:v>
                </c:pt>
                <c:pt idx="420">
                  <c:v>20.914844609999999</c:v>
                </c:pt>
                <c:pt idx="421">
                  <c:v>23.36212549</c:v>
                </c:pt>
                <c:pt idx="422">
                  <c:v>26.13973287</c:v>
                </c:pt>
                <c:pt idx="423">
                  <c:v>21.21442497</c:v>
                </c:pt>
                <c:pt idx="424">
                  <c:v>21.992991679999999</c:v>
                </c:pt>
                <c:pt idx="425">
                  <c:v>22.200201880000002</c:v>
                </c:pt>
                <c:pt idx="426">
                  <c:v>20.501209589999998</c:v>
                </c:pt>
                <c:pt idx="427">
                  <c:v>21.437406589999998</c:v>
                </c:pt>
                <c:pt idx="428">
                  <c:v>22.344116159999999</c:v>
                </c:pt>
                <c:pt idx="429">
                  <c:v>20.208421600000001</c:v>
                </c:pt>
                <c:pt idx="430">
                  <c:v>20.877412939999999</c:v>
                </c:pt>
                <c:pt idx="431">
                  <c:v>20.805263360000001</c:v>
                </c:pt>
                <c:pt idx="432">
                  <c:v>23.603400019999999</c:v>
                </c:pt>
                <c:pt idx="433">
                  <c:v>25.786909059999999</c:v>
                </c:pt>
                <c:pt idx="434">
                  <c:v>24.1718084</c:v>
                </c:pt>
                <c:pt idx="435">
                  <c:v>26.71100663</c:v>
                </c:pt>
                <c:pt idx="436">
                  <c:v>24.505364629999999</c:v>
                </c:pt>
                <c:pt idx="437">
                  <c:v>25.01600801</c:v>
                </c:pt>
                <c:pt idx="438">
                  <c:v>20.583642350000002</c:v>
                </c:pt>
                <c:pt idx="439">
                  <c:v>25.23366755</c:v>
                </c:pt>
                <c:pt idx="440">
                  <c:v>23.622219980000001</c:v>
                </c:pt>
                <c:pt idx="441">
                  <c:v>22.501271800000001</c:v>
                </c:pt>
                <c:pt idx="442">
                  <c:v>26.846891589999998</c:v>
                </c:pt>
                <c:pt idx="443">
                  <c:v>18.844376359999998</c:v>
                </c:pt>
                <c:pt idx="444">
                  <c:v>23.036033740000001</c:v>
                </c:pt>
                <c:pt idx="445">
                  <c:v>22.023452320000001</c:v>
                </c:pt>
                <c:pt idx="446">
                  <c:v>22.84186532</c:v>
                </c:pt>
                <c:pt idx="447">
                  <c:v>21.642713879999999</c:v>
                </c:pt>
                <c:pt idx="448">
                  <c:v>21.072833110000001</c:v>
                </c:pt>
                <c:pt idx="449">
                  <c:v>21.119079419999998</c:v>
                </c:pt>
                <c:pt idx="450">
                  <c:v>23.920543250000001</c:v>
                </c:pt>
                <c:pt idx="451">
                  <c:v>24.527395429999999</c:v>
                </c:pt>
                <c:pt idx="452">
                  <c:v>22.273766680000001</c:v>
                </c:pt>
                <c:pt idx="453">
                  <c:v>22.27259377</c:v>
                </c:pt>
                <c:pt idx="454">
                  <c:v>22.640366740000001</c:v>
                </c:pt>
                <c:pt idx="455">
                  <c:v>19.99955628</c:v>
                </c:pt>
                <c:pt idx="456">
                  <c:v>21.823691289999999</c:v>
                </c:pt>
                <c:pt idx="457">
                  <c:v>20.68342801</c:v>
                </c:pt>
                <c:pt idx="458">
                  <c:v>22.513877600000001</c:v>
                </c:pt>
                <c:pt idx="459">
                  <c:v>18.285331549999999</c:v>
                </c:pt>
                <c:pt idx="460">
                  <c:v>24.05307337</c:v>
                </c:pt>
                <c:pt idx="461">
                  <c:v>22.214116000000001</c:v>
                </c:pt>
                <c:pt idx="462">
                  <c:v>22.80221714</c:v>
                </c:pt>
                <c:pt idx="463">
                  <c:v>22.04248286</c:v>
                </c:pt>
                <c:pt idx="464">
                  <c:v>23.791597700000001</c:v>
                </c:pt>
                <c:pt idx="465">
                  <c:v>19.70627228</c:v>
                </c:pt>
                <c:pt idx="466">
                  <c:v>22.58954323</c:v>
                </c:pt>
                <c:pt idx="467">
                  <c:v>23.090982950000001</c:v>
                </c:pt>
                <c:pt idx="468">
                  <c:v>26.976667989999999</c:v>
                </c:pt>
                <c:pt idx="469">
                  <c:v>21.778284719999998</c:v>
                </c:pt>
                <c:pt idx="470">
                  <c:v>19.565876100000001</c:v>
                </c:pt>
                <c:pt idx="471">
                  <c:v>25.114032569999999</c:v>
                </c:pt>
                <c:pt idx="472">
                  <c:v>24.51902977</c:v>
                </c:pt>
                <c:pt idx="473">
                  <c:v>19.853100479999998</c:v>
                </c:pt>
                <c:pt idx="474">
                  <c:v>25.31876209</c:v>
                </c:pt>
                <c:pt idx="475">
                  <c:v>22.721899359999998</c:v>
                </c:pt>
                <c:pt idx="476">
                  <c:v>24.628849800000001</c:v>
                </c:pt>
                <c:pt idx="477">
                  <c:v>20.38526044</c:v>
                </c:pt>
                <c:pt idx="478">
                  <c:v>25.78925078</c:v>
                </c:pt>
                <c:pt idx="479">
                  <c:v>19.557648350000001</c:v>
                </c:pt>
                <c:pt idx="480">
                  <c:v>23.844217189999998</c:v>
                </c:pt>
                <c:pt idx="481">
                  <c:v>22.905258589999999</c:v>
                </c:pt>
                <c:pt idx="482">
                  <c:v>21.7940702</c:v>
                </c:pt>
                <c:pt idx="483">
                  <c:v>21.655028810000001</c:v>
                </c:pt>
                <c:pt idx="484">
                  <c:v>18.256681279999999</c:v>
                </c:pt>
                <c:pt idx="485">
                  <c:v>22.187515099999999</c:v>
                </c:pt>
                <c:pt idx="486">
                  <c:v>23.641753019999999</c:v>
                </c:pt>
                <c:pt idx="487">
                  <c:v>23.704580889999999</c:v>
                </c:pt>
                <c:pt idx="488">
                  <c:v>20.88311873</c:v>
                </c:pt>
                <c:pt idx="489">
                  <c:v>25.51080722</c:v>
                </c:pt>
                <c:pt idx="490">
                  <c:v>25.002732909999999</c:v>
                </c:pt>
                <c:pt idx="491">
                  <c:v>20.286128860000002</c:v>
                </c:pt>
                <c:pt idx="492">
                  <c:v>23.40090301</c:v>
                </c:pt>
                <c:pt idx="493">
                  <c:v>25.299344040000001</c:v>
                </c:pt>
                <c:pt idx="494">
                  <c:v>25.189343269999998</c:v>
                </c:pt>
                <c:pt idx="495">
                  <c:v>21.261495289999999</c:v>
                </c:pt>
                <c:pt idx="496">
                  <c:v>24.414372369999999</c:v>
                </c:pt>
                <c:pt idx="497">
                  <c:v>20.610954119999999</c:v>
                </c:pt>
                <c:pt idx="498">
                  <c:v>24.762293440000001</c:v>
                </c:pt>
                <c:pt idx="499">
                  <c:v>18.660645160000001</c:v>
                </c:pt>
                <c:pt idx="500">
                  <c:v>24.380945369999999</c:v>
                </c:pt>
                <c:pt idx="501">
                  <c:v>25.717165739999999</c:v>
                </c:pt>
                <c:pt idx="502">
                  <c:v>22.024589249999998</c:v>
                </c:pt>
                <c:pt idx="503">
                  <c:v>24.001663180000001</c:v>
                </c:pt>
                <c:pt idx="504">
                  <c:v>25.138288530000001</c:v>
                </c:pt>
                <c:pt idx="505">
                  <c:v>21.082047509999999</c:v>
                </c:pt>
                <c:pt idx="506">
                  <c:v>20.85961687</c:v>
                </c:pt>
                <c:pt idx="507">
                  <c:v>21.627326310000001</c:v>
                </c:pt>
                <c:pt idx="508">
                  <c:v>24.617838540000001</c:v>
                </c:pt>
                <c:pt idx="509">
                  <c:v>23.418940169999999</c:v>
                </c:pt>
                <c:pt idx="510">
                  <c:v>24.09157343</c:v>
                </c:pt>
                <c:pt idx="511">
                  <c:v>21.53346981</c:v>
                </c:pt>
                <c:pt idx="512">
                  <c:v>23.11172788</c:v>
                </c:pt>
                <c:pt idx="513">
                  <c:v>21.22534108</c:v>
                </c:pt>
                <c:pt idx="514">
                  <c:v>24.046446370000002</c:v>
                </c:pt>
                <c:pt idx="515">
                  <c:v>23.563837580000001</c:v>
                </c:pt>
                <c:pt idx="516">
                  <c:v>21.179118580000001</c:v>
                </c:pt>
                <c:pt idx="517">
                  <c:v>24.304612299999999</c:v>
                </c:pt>
                <c:pt idx="518">
                  <c:v>20.651851740000001</c:v>
                </c:pt>
                <c:pt idx="519">
                  <c:v>22.834569949999999</c:v>
                </c:pt>
                <c:pt idx="520">
                  <c:v>23.866945659999999</c:v>
                </c:pt>
                <c:pt idx="521">
                  <c:v>22.815389209999999</c:v>
                </c:pt>
                <c:pt idx="522">
                  <c:v>23.252825659999999</c:v>
                </c:pt>
                <c:pt idx="523">
                  <c:v>24.445653790000001</c:v>
                </c:pt>
                <c:pt idx="524">
                  <c:v>23.069733769999999</c:v>
                </c:pt>
                <c:pt idx="525">
                  <c:v>23.386705559999999</c:v>
                </c:pt>
                <c:pt idx="526">
                  <c:v>25.207867090000001</c:v>
                </c:pt>
                <c:pt idx="527">
                  <c:v>21.93048666</c:v>
                </c:pt>
                <c:pt idx="528">
                  <c:v>22.6000342</c:v>
                </c:pt>
                <c:pt idx="529">
                  <c:v>16.449978730000002</c:v>
                </c:pt>
                <c:pt idx="530">
                  <c:v>21.230993850000001</c:v>
                </c:pt>
                <c:pt idx="531">
                  <c:v>24.01404054</c:v>
                </c:pt>
                <c:pt idx="532">
                  <c:v>25.854610730000001</c:v>
                </c:pt>
                <c:pt idx="533">
                  <c:v>22.316846739999999</c:v>
                </c:pt>
                <c:pt idx="534">
                  <c:v>22.87470356</c:v>
                </c:pt>
                <c:pt idx="535">
                  <c:v>24.17571178</c:v>
                </c:pt>
                <c:pt idx="536">
                  <c:v>24.371179489999999</c:v>
                </c:pt>
                <c:pt idx="537">
                  <c:v>24.062052189999999</c:v>
                </c:pt>
                <c:pt idx="538">
                  <c:v>21.64561952</c:v>
                </c:pt>
                <c:pt idx="539">
                  <c:v>21.931519460000001</c:v>
                </c:pt>
                <c:pt idx="540">
                  <c:v>21.637239529999999</c:v>
                </c:pt>
                <c:pt idx="541">
                  <c:v>22.150555570000002</c:v>
                </c:pt>
                <c:pt idx="542">
                  <c:v>20.973940979999998</c:v>
                </c:pt>
                <c:pt idx="543">
                  <c:v>22.216246470000002</c:v>
                </c:pt>
                <c:pt idx="544">
                  <c:v>21.207739060000002</c:v>
                </c:pt>
                <c:pt idx="545">
                  <c:v>26.327465660000001</c:v>
                </c:pt>
                <c:pt idx="546">
                  <c:v>25.193094240000001</c:v>
                </c:pt>
                <c:pt idx="547">
                  <c:v>24.965366289999999</c:v>
                </c:pt>
                <c:pt idx="548">
                  <c:v>23.48041169</c:v>
                </c:pt>
                <c:pt idx="549">
                  <c:v>21.688624560000001</c:v>
                </c:pt>
                <c:pt idx="550">
                  <c:v>23.779209049999999</c:v>
                </c:pt>
                <c:pt idx="551">
                  <c:v>29.029423420000001</c:v>
                </c:pt>
                <c:pt idx="552">
                  <c:v>24.422821160000002</c:v>
                </c:pt>
                <c:pt idx="553">
                  <c:v>25.688636420000002</c:v>
                </c:pt>
                <c:pt idx="554">
                  <c:v>21.889110410000001</c:v>
                </c:pt>
                <c:pt idx="555">
                  <c:v>27.554172999999999</c:v>
                </c:pt>
                <c:pt idx="556">
                  <c:v>24.46200125</c:v>
                </c:pt>
                <c:pt idx="557">
                  <c:v>21.25241076</c:v>
                </c:pt>
                <c:pt idx="558">
                  <c:v>23.858356239999999</c:v>
                </c:pt>
                <c:pt idx="559">
                  <c:v>24.879961640000001</c:v>
                </c:pt>
                <c:pt idx="560">
                  <c:v>22.125585109999999</c:v>
                </c:pt>
                <c:pt idx="561">
                  <c:v>23.16893357</c:v>
                </c:pt>
                <c:pt idx="562">
                  <c:v>24.912590000000002</c:v>
                </c:pt>
                <c:pt idx="563">
                  <c:v>20.21608324</c:v>
                </c:pt>
                <c:pt idx="564">
                  <c:v>21.466271920000001</c:v>
                </c:pt>
                <c:pt idx="565">
                  <c:v>22.92021123</c:v>
                </c:pt>
                <c:pt idx="566">
                  <c:v>22.484759029999999</c:v>
                </c:pt>
                <c:pt idx="567">
                  <c:v>23.299195919999999</c:v>
                </c:pt>
                <c:pt idx="568">
                  <c:v>21.615298450000001</c:v>
                </c:pt>
                <c:pt idx="569">
                  <c:v>22.150201819999999</c:v>
                </c:pt>
                <c:pt idx="570">
                  <c:v>24.59611975</c:v>
                </c:pt>
                <c:pt idx="571">
                  <c:v>20.66469644</c:v>
                </c:pt>
                <c:pt idx="572">
                  <c:v>21.237150190000001</c:v>
                </c:pt>
                <c:pt idx="573">
                  <c:v>22.1707462</c:v>
                </c:pt>
                <c:pt idx="574">
                  <c:v>23.437318609999998</c:v>
                </c:pt>
                <c:pt idx="575">
                  <c:v>24.112044189999999</c:v>
                </c:pt>
                <c:pt idx="576">
                  <c:v>23.298912179999999</c:v>
                </c:pt>
                <c:pt idx="577">
                  <c:v>23.720786789999998</c:v>
                </c:pt>
                <c:pt idx="578">
                  <c:v>23.061495170000001</c:v>
                </c:pt>
                <c:pt idx="579">
                  <c:v>20.887938399999999</c:v>
                </c:pt>
                <c:pt idx="580">
                  <c:v>24.754701010000002</c:v>
                </c:pt>
                <c:pt idx="581">
                  <c:v>21.364635209999999</c:v>
                </c:pt>
                <c:pt idx="582">
                  <c:v>22.274427339999999</c:v>
                </c:pt>
                <c:pt idx="583">
                  <c:v>25.58151685</c:v>
                </c:pt>
                <c:pt idx="584">
                  <c:v>24.219658160000002</c:v>
                </c:pt>
                <c:pt idx="585">
                  <c:v>26.14746843</c:v>
                </c:pt>
                <c:pt idx="586">
                  <c:v>24.715797649999999</c:v>
                </c:pt>
                <c:pt idx="587">
                  <c:v>22.45517997</c:v>
                </c:pt>
                <c:pt idx="588">
                  <c:v>22.612589239999998</c:v>
                </c:pt>
                <c:pt idx="589">
                  <c:v>25.168396489999999</c:v>
                </c:pt>
                <c:pt idx="590">
                  <c:v>23.512341209999999</c:v>
                </c:pt>
                <c:pt idx="591">
                  <c:v>22.305627009999998</c:v>
                </c:pt>
                <c:pt idx="592">
                  <c:v>22.450395390000001</c:v>
                </c:pt>
                <c:pt idx="593">
                  <c:v>22.907477570000001</c:v>
                </c:pt>
                <c:pt idx="594">
                  <c:v>22.61951831</c:v>
                </c:pt>
                <c:pt idx="595">
                  <c:v>22.777018429999998</c:v>
                </c:pt>
                <c:pt idx="596">
                  <c:v>24.319399539999999</c:v>
                </c:pt>
                <c:pt idx="597">
                  <c:v>22.289766870000001</c:v>
                </c:pt>
                <c:pt idx="598">
                  <c:v>25.18420592</c:v>
                </c:pt>
                <c:pt idx="599">
                  <c:v>20.624469520000002</c:v>
                </c:pt>
                <c:pt idx="600">
                  <c:v>21.471626430000001</c:v>
                </c:pt>
                <c:pt idx="601">
                  <c:v>16.857698020000001</c:v>
                </c:pt>
                <c:pt idx="602">
                  <c:v>20.086637119999999</c:v>
                </c:pt>
                <c:pt idx="603">
                  <c:v>24.375865940000001</c:v>
                </c:pt>
                <c:pt idx="604">
                  <c:v>23.430441470000002</c:v>
                </c:pt>
                <c:pt idx="605">
                  <c:v>26.409184190000001</c:v>
                </c:pt>
                <c:pt idx="606">
                  <c:v>25.180366939999999</c:v>
                </c:pt>
                <c:pt idx="607">
                  <c:v>23.82596113</c:v>
                </c:pt>
                <c:pt idx="608">
                  <c:v>22.035372859999999</c:v>
                </c:pt>
                <c:pt idx="609">
                  <c:v>20.177489990000002</c:v>
                </c:pt>
                <c:pt idx="610">
                  <c:v>23.330807320000002</c:v>
                </c:pt>
                <c:pt idx="611">
                  <c:v>22.54578798</c:v>
                </c:pt>
                <c:pt idx="612">
                  <c:v>20.52087543</c:v>
                </c:pt>
                <c:pt idx="613">
                  <c:v>21.508115750000002</c:v>
                </c:pt>
                <c:pt idx="614">
                  <c:v>25.584120670000001</c:v>
                </c:pt>
                <c:pt idx="615">
                  <c:v>20.535137519999999</c:v>
                </c:pt>
                <c:pt idx="616">
                  <c:v>22.654741730000001</c:v>
                </c:pt>
                <c:pt idx="617">
                  <c:v>20.908941030000001</c:v>
                </c:pt>
                <c:pt idx="618">
                  <c:v>20.565039630000001</c:v>
                </c:pt>
                <c:pt idx="619">
                  <c:v>26.80053685</c:v>
                </c:pt>
                <c:pt idx="620">
                  <c:v>25.37229095</c:v>
                </c:pt>
                <c:pt idx="621">
                  <c:v>25.24986509</c:v>
                </c:pt>
                <c:pt idx="622">
                  <c:v>20.112885930000001</c:v>
                </c:pt>
                <c:pt idx="623">
                  <c:v>23.837519919999998</c:v>
                </c:pt>
                <c:pt idx="624">
                  <c:v>25.07721214</c:v>
                </c:pt>
                <c:pt idx="625">
                  <c:v>21.120064339999999</c:v>
                </c:pt>
                <c:pt idx="626">
                  <c:v>21.434802810000001</c:v>
                </c:pt>
                <c:pt idx="627">
                  <c:v>26.198109030000001</c:v>
                </c:pt>
                <c:pt idx="628">
                  <c:v>25.020549169999999</c:v>
                </c:pt>
                <c:pt idx="629">
                  <c:v>25.77097268</c:v>
                </c:pt>
                <c:pt idx="630">
                  <c:v>23.35924455</c:v>
                </c:pt>
                <c:pt idx="631">
                  <c:v>21.871607640000001</c:v>
                </c:pt>
                <c:pt idx="632">
                  <c:v>26.42205762</c:v>
                </c:pt>
                <c:pt idx="633">
                  <c:v>22.94901174</c:v>
                </c:pt>
                <c:pt idx="634">
                  <c:v>19.393365490000001</c:v>
                </c:pt>
                <c:pt idx="635">
                  <c:v>21.74511433</c:v>
                </c:pt>
                <c:pt idx="636">
                  <c:v>22.104077319999998</c:v>
                </c:pt>
                <c:pt idx="637">
                  <c:v>21.851834849999999</c:v>
                </c:pt>
                <c:pt idx="638">
                  <c:v>29.17977922</c:v>
                </c:pt>
                <c:pt idx="639">
                  <c:v>18.46100427</c:v>
                </c:pt>
                <c:pt idx="640">
                  <c:v>21.962666559999999</c:v>
                </c:pt>
                <c:pt idx="641">
                  <c:v>21.540260830000001</c:v>
                </c:pt>
                <c:pt idx="642">
                  <c:v>21.430340189999999</c:v>
                </c:pt>
                <c:pt idx="643">
                  <c:v>24.698285210000002</c:v>
                </c:pt>
                <c:pt idx="644">
                  <c:v>29.196598869999999</c:v>
                </c:pt>
                <c:pt idx="645">
                  <c:v>20.417920850000002</c:v>
                </c:pt>
                <c:pt idx="646">
                  <c:v>18.129375339999999</c:v>
                </c:pt>
                <c:pt idx="647">
                  <c:v>26.722514749999998</c:v>
                </c:pt>
                <c:pt idx="648">
                  <c:v>20.79363124</c:v>
                </c:pt>
                <c:pt idx="649">
                  <c:v>20.086824050000001</c:v>
                </c:pt>
                <c:pt idx="650">
                  <c:v>21.219245879999999</c:v>
                </c:pt>
                <c:pt idx="651">
                  <c:v>22.330394030000001</c:v>
                </c:pt>
                <c:pt idx="652">
                  <c:v>21.500303580000001</c:v>
                </c:pt>
                <c:pt idx="653">
                  <c:v>23.976190760000001</c:v>
                </c:pt>
                <c:pt idx="654">
                  <c:v>21.525240190000002</c:v>
                </c:pt>
                <c:pt idx="655">
                  <c:v>23.075083679999999</c:v>
                </c:pt>
                <c:pt idx="656">
                  <c:v>22.63253345</c:v>
                </c:pt>
                <c:pt idx="657">
                  <c:v>24.291780840000001</c:v>
                </c:pt>
                <c:pt idx="658">
                  <c:v>23.507413440000001</c:v>
                </c:pt>
                <c:pt idx="659">
                  <c:v>21.32103682</c:v>
                </c:pt>
                <c:pt idx="660">
                  <c:v>23.002219889999999</c:v>
                </c:pt>
                <c:pt idx="661">
                  <c:v>23.273194790000002</c:v>
                </c:pt>
                <c:pt idx="662">
                  <c:v>27.416838179999999</c:v>
                </c:pt>
                <c:pt idx="663">
                  <c:v>24.371715640000001</c:v>
                </c:pt>
                <c:pt idx="664">
                  <c:v>26.306619269999999</c:v>
                </c:pt>
                <c:pt idx="665">
                  <c:v>23.18855859</c:v>
                </c:pt>
                <c:pt idx="666">
                  <c:v>24.877447230000001</c:v>
                </c:pt>
                <c:pt idx="667">
                  <c:v>21.115879629999998</c:v>
                </c:pt>
                <c:pt idx="668">
                  <c:v>23.275791550000001</c:v>
                </c:pt>
                <c:pt idx="669">
                  <c:v>21.894208129999999</c:v>
                </c:pt>
                <c:pt idx="670">
                  <c:v>23.302462139999999</c:v>
                </c:pt>
                <c:pt idx="671">
                  <c:v>24.177270920000002</c:v>
                </c:pt>
                <c:pt idx="672">
                  <c:v>25.75436187</c:v>
                </c:pt>
                <c:pt idx="673">
                  <c:v>23.098656330000001</c:v>
                </c:pt>
                <c:pt idx="674">
                  <c:v>22.317380310000001</c:v>
                </c:pt>
                <c:pt idx="675">
                  <c:v>23.11008511</c:v>
                </c:pt>
                <c:pt idx="676">
                  <c:v>22.728947460000001</c:v>
                </c:pt>
                <c:pt idx="677">
                  <c:v>22.6745926</c:v>
                </c:pt>
                <c:pt idx="678">
                  <c:v>24.412461950000001</c:v>
                </c:pt>
                <c:pt idx="679">
                  <c:v>27.67565549</c:v>
                </c:pt>
                <c:pt idx="680">
                  <c:v>24.64470094</c:v>
                </c:pt>
                <c:pt idx="681">
                  <c:v>21.367690020000001</c:v>
                </c:pt>
                <c:pt idx="682">
                  <c:v>25.17980992</c:v>
                </c:pt>
                <c:pt idx="683">
                  <c:v>22.966863180000001</c:v>
                </c:pt>
                <c:pt idx="684">
                  <c:v>25.58109645</c:v>
                </c:pt>
                <c:pt idx="685">
                  <c:v>21.453940580000001</c:v>
                </c:pt>
                <c:pt idx="686">
                  <c:v>23.632136280000001</c:v>
                </c:pt>
                <c:pt idx="687">
                  <c:v>22.682924620000001</c:v>
                </c:pt>
                <c:pt idx="688">
                  <c:v>24.422384910000002</c:v>
                </c:pt>
                <c:pt idx="689">
                  <c:v>27.476706320000002</c:v>
                </c:pt>
                <c:pt idx="690">
                  <c:v>24.962767979999999</c:v>
                </c:pt>
                <c:pt idx="691">
                  <c:v>21.895477499999998</c:v>
                </c:pt>
                <c:pt idx="692">
                  <c:v>27.583822529999999</c:v>
                </c:pt>
                <c:pt idx="693">
                  <c:v>24.967704690000001</c:v>
                </c:pt>
                <c:pt idx="694">
                  <c:v>25.843165710000001</c:v>
                </c:pt>
                <c:pt idx="695">
                  <c:v>22.087005399999999</c:v>
                </c:pt>
                <c:pt idx="696">
                  <c:v>24.583308410000001</c:v>
                </c:pt>
                <c:pt idx="697">
                  <c:v>21.790186469999998</c:v>
                </c:pt>
                <c:pt idx="698">
                  <c:v>25.77952827</c:v>
                </c:pt>
                <c:pt idx="699">
                  <c:v>21.79922861</c:v>
                </c:pt>
                <c:pt idx="700">
                  <c:v>27.78383986</c:v>
                </c:pt>
                <c:pt idx="701">
                  <c:v>24.82043157</c:v>
                </c:pt>
                <c:pt idx="702">
                  <c:v>20.919602579999999</c:v>
                </c:pt>
                <c:pt idx="703">
                  <c:v>21.258891290000001</c:v>
                </c:pt>
                <c:pt idx="704">
                  <c:v>24.72236908</c:v>
                </c:pt>
                <c:pt idx="705">
                  <c:v>24.914609649999999</c:v>
                </c:pt>
                <c:pt idx="706">
                  <c:v>22.113473070000001</c:v>
                </c:pt>
                <c:pt idx="707">
                  <c:v>22.13591237</c:v>
                </c:pt>
                <c:pt idx="708">
                  <c:v>22.712680939999998</c:v>
                </c:pt>
                <c:pt idx="709">
                  <c:v>18.845760290000001</c:v>
                </c:pt>
                <c:pt idx="710">
                  <c:v>21.35824216</c:v>
                </c:pt>
                <c:pt idx="711">
                  <c:v>22.656652690000001</c:v>
                </c:pt>
                <c:pt idx="712">
                  <c:v>23.878905379999999</c:v>
                </c:pt>
                <c:pt idx="713">
                  <c:v>23.233660350000001</c:v>
                </c:pt>
                <c:pt idx="714">
                  <c:v>22.268645830000001</c:v>
                </c:pt>
                <c:pt idx="715">
                  <c:v>24.9320816</c:v>
                </c:pt>
                <c:pt idx="716">
                  <c:v>25.605180789999999</c:v>
                </c:pt>
                <c:pt idx="717">
                  <c:v>21.742659509999999</c:v>
                </c:pt>
                <c:pt idx="718">
                  <c:v>19.200659439999999</c:v>
                </c:pt>
                <c:pt idx="719">
                  <c:v>21.467909599999999</c:v>
                </c:pt>
                <c:pt idx="720">
                  <c:v>20.636036010000002</c:v>
                </c:pt>
                <c:pt idx="721">
                  <c:v>21.300558160000001</c:v>
                </c:pt>
                <c:pt idx="722">
                  <c:v>19.340636369999999</c:v>
                </c:pt>
                <c:pt idx="723">
                  <c:v>23.47552233</c:v>
                </c:pt>
                <c:pt idx="724">
                  <c:v>24.994531139999999</c:v>
                </c:pt>
                <c:pt idx="725">
                  <c:v>25.13075254</c:v>
                </c:pt>
                <c:pt idx="726">
                  <c:v>20.553559539999998</c:v>
                </c:pt>
                <c:pt idx="727">
                  <c:v>17.593303909999999</c:v>
                </c:pt>
                <c:pt idx="728">
                  <c:v>24.00234253</c:v>
                </c:pt>
                <c:pt idx="729">
                  <c:v>23.967557670000001</c:v>
                </c:pt>
                <c:pt idx="730">
                  <c:v>21.966771600000001</c:v>
                </c:pt>
                <c:pt idx="731">
                  <c:v>24.47881898</c:v>
                </c:pt>
                <c:pt idx="732">
                  <c:v>22.720402159999999</c:v>
                </c:pt>
                <c:pt idx="733">
                  <c:v>24.00652045</c:v>
                </c:pt>
                <c:pt idx="734">
                  <c:v>23.317512099999998</c:v>
                </c:pt>
                <c:pt idx="735">
                  <c:v>22.424187849999999</c:v>
                </c:pt>
                <c:pt idx="736">
                  <c:v>18.93150228</c:v>
                </c:pt>
                <c:pt idx="737">
                  <c:v>24.825240650000001</c:v>
                </c:pt>
                <c:pt idx="738">
                  <c:v>24.363486819999999</c:v>
                </c:pt>
                <c:pt idx="739">
                  <c:v>23.122057170000001</c:v>
                </c:pt>
                <c:pt idx="740">
                  <c:v>23.74706737</c:v>
                </c:pt>
                <c:pt idx="741">
                  <c:v>22.213235399999999</c:v>
                </c:pt>
                <c:pt idx="742">
                  <c:v>22.371170429999999</c:v>
                </c:pt>
                <c:pt idx="743">
                  <c:v>21.043384100000001</c:v>
                </c:pt>
                <c:pt idx="744">
                  <c:v>24.303422149999999</c:v>
                </c:pt>
                <c:pt idx="745">
                  <c:v>19.252059849999998</c:v>
                </c:pt>
                <c:pt idx="746">
                  <c:v>23.771499940000002</c:v>
                </c:pt>
                <c:pt idx="747">
                  <c:v>23.287529289999998</c:v>
                </c:pt>
                <c:pt idx="748">
                  <c:v>24.430348779999999</c:v>
                </c:pt>
                <c:pt idx="749">
                  <c:v>24.549161000000002</c:v>
                </c:pt>
                <c:pt idx="750">
                  <c:v>20.680758780000001</c:v>
                </c:pt>
                <c:pt idx="751">
                  <c:v>25.868619339999999</c:v>
                </c:pt>
                <c:pt idx="752">
                  <c:v>20.23645952</c:v>
                </c:pt>
                <c:pt idx="753">
                  <c:v>25.811426099999998</c:v>
                </c:pt>
                <c:pt idx="754">
                  <c:v>20.99737069</c:v>
                </c:pt>
                <c:pt idx="755">
                  <c:v>24.788465550000002</c:v>
                </c:pt>
                <c:pt idx="756">
                  <c:v>24.639479430000002</c:v>
                </c:pt>
                <c:pt idx="757">
                  <c:v>20.80624984</c:v>
                </c:pt>
                <c:pt idx="758">
                  <c:v>23.021272539999998</c:v>
                </c:pt>
                <c:pt idx="759">
                  <c:v>19.757983429999999</c:v>
                </c:pt>
                <c:pt idx="760">
                  <c:v>23.518267309999999</c:v>
                </c:pt>
                <c:pt idx="761">
                  <c:v>22.06174068</c:v>
                </c:pt>
                <c:pt idx="762">
                  <c:v>24.498565110000001</c:v>
                </c:pt>
                <c:pt idx="763">
                  <c:v>23.884633740000002</c:v>
                </c:pt>
                <c:pt idx="764">
                  <c:v>19.744204310000001</c:v>
                </c:pt>
                <c:pt idx="765">
                  <c:v>20.503458980000001</c:v>
                </c:pt>
                <c:pt idx="766">
                  <c:v>21.42486426</c:v>
                </c:pt>
                <c:pt idx="767">
                  <c:v>24.40545135</c:v>
                </c:pt>
                <c:pt idx="768">
                  <c:v>21.33465769</c:v>
                </c:pt>
                <c:pt idx="769">
                  <c:v>26.383669680000001</c:v>
                </c:pt>
                <c:pt idx="770">
                  <c:v>20.5110271</c:v>
                </c:pt>
                <c:pt idx="771">
                  <c:v>24.893615130000001</c:v>
                </c:pt>
                <c:pt idx="772">
                  <c:v>23.784461350000001</c:v>
                </c:pt>
                <c:pt idx="773">
                  <c:v>24.593609669999999</c:v>
                </c:pt>
                <c:pt idx="774">
                  <c:v>22.007444929999998</c:v>
                </c:pt>
                <c:pt idx="775">
                  <c:v>23.494961100000001</c:v>
                </c:pt>
                <c:pt idx="776">
                  <c:v>25.211429150000001</c:v>
                </c:pt>
                <c:pt idx="777">
                  <c:v>25.01991099</c:v>
                </c:pt>
                <c:pt idx="778">
                  <c:v>28.333810440000001</c:v>
                </c:pt>
                <c:pt idx="779">
                  <c:v>23.460111220000002</c:v>
                </c:pt>
                <c:pt idx="780">
                  <c:v>22.62593274</c:v>
                </c:pt>
                <c:pt idx="781">
                  <c:v>23.599391109999999</c:v>
                </c:pt>
                <c:pt idx="782">
                  <c:v>22.44622129</c:v>
                </c:pt>
                <c:pt idx="783">
                  <c:v>24.17615335</c:v>
                </c:pt>
                <c:pt idx="784">
                  <c:v>22.1699108</c:v>
                </c:pt>
                <c:pt idx="785">
                  <c:v>27.48784255</c:v>
                </c:pt>
                <c:pt idx="786">
                  <c:v>20.686117209999999</c:v>
                </c:pt>
                <c:pt idx="787">
                  <c:v>22.51384389</c:v>
                </c:pt>
                <c:pt idx="788">
                  <c:v>23.024339359999999</c:v>
                </c:pt>
                <c:pt idx="789">
                  <c:v>26.9062144</c:v>
                </c:pt>
                <c:pt idx="790">
                  <c:v>22.735992289999999</c:v>
                </c:pt>
                <c:pt idx="791">
                  <c:v>21.131691589999999</c:v>
                </c:pt>
                <c:pt idx="792">
                  <c:v>26.538674650000001</c:v>
                </c:pt>
                <c:pt idx="793">
                  <c:v>20.48396018</c:v>
                </c:pt>
                <c:pt idx="794">
                  <c:v>21.192288919999999</c:v>
                </c:pt>
                <c:pt idx="795">
                  <c:v>22.044320299999999</c:v>
                </c:pt>
                <c:pt idx="796">
                  <c:v>21.569502960000001</c:v>
                </c:pt>
                <c:pt idx="797">
                  <c:v>22.061203679999998</c:v>
                </c:pt>
                <c:pt idx="798">
                  <c:v>22.424883779999998</c:v>
                </c:pt>
                <c:pt idx="799">
                  <c:v>25.372922070000001</c:v>
                </c:pt>
                <c:pt idx="800">
                  <c:v>23.403160230000001</c:v>
                </c:pt>
                <c:pt idx="801">
                  <c:v>23.279303349999999</c:v>
                </c:pt>
                <c:pt idx="802">
                  <c:v>26.4793305</c:v>
                </c:pt>
                <c:pt idx="803">
                  <c:v>22.885205070000001</c:v>
                </c:pt>
                <c:pt idx="804">
                  <c:v>24.376410610000001</c:v>
                </c:pt>
                <c:pt idx="805">
                  <c:v>24.39790614</c:v>
                </c:pt>
                <c:pt idx="806">
                  <c:v>25.38067268</c:v>
                </c:pt>
                <c:pt idx="807">
                  <c:v>24.43833733</c:v>
                </c:pt>
                <c:pt idx="808">
                  <c:v>22.350210369999999</c:v>
                </c:pt>
                <c:pt idx="809">
                  <c:v>24.809924079999998</c:v>
                </c:pt>
                <c:pt idx="810">
                  <c:v>22.982067350000001</c:v>
                </c:pt>
                <c:pt idx="811">
                  <c:v>20.34900206</c:v>
                </c:pt>
                <c:pt idx="812">
                  <c:v>23.912498979999999</c:v>
                </c:pt>
                <c:pt idx="813">
                  <c:v>20.984395339999999</c:v>
                </c:pt>
                <c:pt idx="814">
                  <c:v>22.698126769999998</c:v>
                </c:pt>
                <c:pt idx="815">
                  <c:v>24.238192959999999</c:v>
                </c:pt>
                <c:pt idx="816">
                  <c:v>21.512567829999998</c:v>
                </c:pt>
                <c:pt idx="817">
                  <c:v>25.622324590000002</c:v>
                </c:pt>
                <c:pt idx="818">
                  <c:v>22.32626759</c:v>
                </c:pt>
                <c:pt idx="819">
                  <c:v>23.74888245</c:v>
                </c:pt>
                <c:pt idx="820">
                  <c:v>23.427122399999998</c:v>
                </c:pt>
                <c:pt idx="821">
                  <c:v>22.780271750000001</c:v>
                </c:pt>
                <c:pt idx="822">
                  <c:v>19.24998523</c:v>
                </c:pt>
                <c:pt idx="823">
                  <c:v>22.960163210000001</c:v>
                </c:pt>
                <c:pt idx="824">
                  <c:v>20.152012299999999</c:v>
                </c:pt>
                <c:pt idx="825">
                  <c:v>23.318354230000001</c:v>
                </c:pt>
                <c:pt idx="826">
                  <c:v>20.873290999999998</c:v>
                </c:pt>
                <c:pt idx="827">
                  <c:v>21.35768058</c:v>
                </c:pt>
                <c:pt idx="828">
                  <c:v>20.63805503</c:v>
                </c:pt>
                <c:pt idx="829">
                  <c:v>22.80931782</c:v>
                </c:pt>
                <c:pt idx="830">
                  <c:v>22.32436981</c:v>
                </c:pt>
                <c:pt idx="831">
                  <c:v>22.47128833</c:v>
                </c:pt>
                <c:pt idx="832">
                  <c:v>24.115007640000002</c:v>
                </c:pt>
                <c:pt idx="833">
                  <c:v>23.319681150000001</c:v>
                </c:pt>
                <c:pt idx="834">
                  <c:v>24.970799419999999</c:v>
                </c:pt>
                <c:pt idx="835">
                  <c:v>22.627984609999999</c:v>
                </c:pt>
                <c:pt idx="836">
                  <c:v>20.428990949999999</c:v>
                </c:pt>
                <c:pt idx="837">
                  <c:v>24.219760090000001</c:v>
                </c:pt>
                <c:pt idx="838">
                  <c:v>23.684212080000002</c:v>
                </c:pt>
                <c:pt idx="839">
                  <c:v>22.719433930000001</c:v>
                </c:pt>
                <c:pt idx="840">
                  <c:v>22.283192849999999</c:v>
                </c:pt>
                <c:pt idx="841">
                  <c:v>20.57325986</c:v>
                </c:pt>
                <c:pt idx="842">
                  <c:v>25.378452920000001</c:v>
                </c:pt>
                <c:pt idx="843">
                  <c:v>21.489002230000001</c:v>
                </c:pt>
                <c:pt idx="844">
                  <c:v>21.718735540000001</c:v>
                </c:pt>
                <c:pt idx="845">
                  <c:v>22.97136111</c:v>
                </c:pt>
                <c:pt idx="846">
                  <c:v>21.395456329999998</c:v>
                </c:pt>
                <c:pt idx="847">
                  <c:v>25.145859229999999</c:v>
                </c:pt>
                <c:pt idx="848">
                  <c:v>25.871141990000002</c:v>
                </c:pt>
                <c:pt idx="849">
                  <c:v>24.89062354</c:v>
                </c:pt>
                <c:pt idx="850">
                  <c:v>24.519574469999998</c:v>
                </c:pt>
                <c:pt idx="851">
                  <c:v>18.898400290000001</c:v>
                </c:pt>
                <c:pt idx="852">
                  <c:v>21.45773007</c:v>
                </c:pt>
                <c:pt idx="853">
                  <c:v>23.81937069</c:v>
                </c:pt>
                <c:pt idx="854">
                  <c:v>20.73718878</c:v>
                </c:pt>
                <c:pt idx="855">
                  <c:v>26.151751619999999</c:v>
                </c:pt>
                <c:pt idx="856">
                  <c:v>22.505328070000001</c:v>
                </c:pt>
                <c:pt idx="857">
                  <c:v>19.907444160000001</c:v>
                </c:pt>
                <c:pt idx="858">
                  <c:v>23.235414840000001</c:v>
                </c:pt>
                <c:pt idx="859">
                  <c:v>22.30683084</c:v>
                </c:pt>
                <c:pt idx="860">
                  <c:v>20.185413109999999</c:v>
                </c:pt>
                <c:pt idx="861">
                  <c:v>24.641845759999999</c:v>
                </c:pt>
                <c:pt idx="862">
                  <c:v>25.146041990000001</c:v>
                </c:pt>
                <c:pt idx="863">
                  <c:v>21.901543719999999</c:v>
                </c:pt>
                <c:pt idx="864">
                  <c:v>25.8407597</c:v>
                </c:pt>
                <c:pt idx="865">
                  <c:v>25.09696975</c:v>
                </c:pt>
                <c:pt idx="866">
                  <c:v>22.882334289999999</c:v>
                </c:pt>
                <c:pt idx="867">
                  <c:v>24.28389426</c:v>
                </c:pt>
                <c:pt idx="868">
                  <c:v>19.638209830000001</c:v>
                </c:pt>
                <c:pt idx="869">
                  <c:v>22.863409709999999</c:v>
                </c:pt>
                <c:pt idx="870">
                  <c:v>20.472238340000001</c:v>
                </c:pt>
                <c:pt idx="871">
                  <c:v>22.082246309999999</c:v>
                </c:pt>
                <c:pt idx="872">
                  <c:v>21.835877329999999</c:v>
                </c:pt>
                <c:pt idx="873">
                  <c:v>25.571164469999999</c:v>
                </c:pt>
                <c:pt idx="874">
                  <c:v>22.584831309999998</c:v>
                </c:pt>
                <c:pt idx="875">
                  <c:v>23.777637819999999</c:v>
                </c:pt>
                <c:pt idx="876">
                  <c:v>22.450712500000002</c:v>
                </c:pt>
                <c:pt idx="877">
                  <c:v>21.621776400000002</c:v>
                </c:pt>
                <c:pt idx="878">
                  <c:v>24.050614929999998</c:v>
                </c:pt>
                <c:pt idx="879">
                  <c:v>24.819566689999998</c:v>
                </c:pt>
                <c:pt idx="880">
                  <c:v>20.112148909999998</c:v>
                </c:pt>
                <c:pt idx="881">
                  <c:v>21.671235419999999</c:v>
                </c:pt>
                <c:pt idx="882">
                  <c:v>21.881672330000001</c:v>
                </c:pt>
                <c:pt idx="883">
                  <c:v>21.54254121</c:v>
                </c:pt>
                <c:pt idx="884">
                  <c:v>22.854284620000001</c:v>
                </c:pt>
                <c:pt idx="885">
                  <c:v>23.918360329999999</c:v>
                </c:pt>
                <c:pt idx="886">
                  <c:v>24.736888619999998</c:v>
                </c:pt>
                <c:pt idx="887">
                  <c:v>22.423874399999999</c:v>
                </c:pt>
                <c:pt idx="888">
                  <c:v>27.241987129999998</c:v>
                </c:pt>
                <c:pt idx="889">
                  <c:v>19.74975748</c:v>
                </c:pt>
                <c:pt idx="890">
                  <c:v>25.96891819</c:v>
                </c:pt>
                <c:pt idx="891">
                  <c:v>22.479160929999999</c:v>
                </c:pt>
                <c:pt idx="892">
                  <c:v>22.152618570000001</c:v>
                </c:pt>
                <c:pt idx="893">
                  <c:v>24.729698450000001</c:v>
                </c:pt>
                <c:pt idx="894">
                  <c:v>26.620605220000002</c:v>
                </c:pt>
                <c:pt idx="895">
                  <c:v>21.94216724</c:v>
                </c:pt>
                <c:pt idx="896">
                  <c:v>20.899124740000001</c:v>
                </c:pt>
                <c:pt idx="897">
                  <c:v>23.08379184</c:v>
                </c:pt>
                <c:pt idx="898">
                  <c:v>22.038851170000001</c:v>
                </c:pt>
                <c:pt idx="899">
                  <c:v>24.327682719999999</c:v>
                </c:pt>
                <c:pt idx="900">
                  <c:v>23.14548666</c:v>
                </c:pt>
                <c:pt idx="901">
                  <c:v>24.75802831</c:v>
                </c:pt>
                <c:pt idx="902">
                  <c:v>19.939441729999999</c:v>
                </c:pt>
                <c:pt idx="903">
                  <c:v>22.011596900000001</c:v>
                </c:pt>
                <c:pt idx="904">
                  <c:v>21.99115463</c:v>
                </c:pt>
                <c:pt idx="905">
                  <c:v>28.361017740000001</c:v>
                </c:pt>
                <c:pt idx="906">
                  <c:v>24.752426150000002</c:v>
                </c:pt>
                <c:pt idx="907">
                  <c:v>26.200195690000001</c:v>
                </c:pt>
                <c:pt idx="908">
                  <c:v>22.372542549999999</c:v>
                </c:pt>
                <c:pt idx="909">
                  <c:v>21.474289120000002</c:v>
                </c:pt>
                <c:pt idx="910">
                  <c:v>21.425927439999999</c:v>
                </c:pt>
                <c:pt idx="911">
                  <c:v>24.089249150000001</c:v>
                </c:pt>
                <c:pt idx="912">
                  <c:v>22.134724970000001</c:v>
                </c:pt>
                <c:pt idx="913">
                  <c:v>22.454679120000002</c:v>
                </c:pt>
                <c:pt idx="914">
                  <c:v>29.754765840000001</c:v>
                </c:pt>
                <c:pt idx="915">
                  <c:v>21.962724009999999</c:v>
                </c:pt>
                <c:pt idx="916">
                  <c:v>20.046685549999999</c:v>
                </c:pt>
                <c:pt idx="917">
                  <c:v>20.752243190000002</c:v>
                </c:pt>
                <c:pt idx="918">
                  <c:v>25.054091700000001</c:v>
                </c:pt>
                <c:pt idx="919">
                  <c:v>22.82325342</c:v>
                </c:pt>
                <c:pt idx="920">
                  <c:v>24.662997730000001</c:v>
                </c:pt>
                <c:pt idx="921">
                  <c:v>21.07110746</c:v>
                </c:pt>
                <c:pt idx="922">
                  <c:v>23.1315773</c:v>
                </c:pt>
                <c:pt idx="923">
                  <c:v>24.575862499999999</c:v>
                </c:pt>
                <c:pt idx="924">
                  <c:v>25.80220813</c:v>
                </c:pt>
                <c:pt idx="925">
                  <c:v>23.85752252</c:v>
                </c:pt>
                <c:pt idx="926">
                  <c:v>24.17840026</c:v>
                </c:pt>
                <c:pt idx="927">
                  <c:v>22.073164859999999</c:v>
                </c:pt>
                <c:pt idx="928">
                  <c:v>23.79182844</c:v>
                </c:pt>
                <c:pt idx="929">
                  <c:v>23.467730199999998</c:v>
                </c:pt>
                <c:pt idx="930">
                  <c:v>20.88432676</c:v>
                </c:pt>
                <c:pt idx="931">
                  <c:v>22.87045548</c:v>
                </c:pt>
                <c:pt idx="932">
                  <c:v>21.803441329999998</c:v>
                </c:pt>
                <c:pt idx="933">
                  <c:v>24.62893347</c:v>
                </c:pt>
                <c:pt idx="934">
                  <c:v>20.5424477</c:v>
                </c:pt>
                <c:pt idx="935">
                  <c:v>21.228572400000001</c:v>
                </c:pt>
                <c:pt idx="936">
                  <c:v>23.675225189999999</c:v>
                </c:pt>
                <c:pt idx="937">
                  <c:v>22.848657849999999</c:v>
                </c:pt>
                <c:pt idx="938">
                  <c:v>24.996232979999998</c:v>
                </c:pt>
                <c:pt idx="939">
                  <c:v>20.827216239999998</c:v>
                </c:pt>
                <c:pt idx="940">
                  <c:v>19.440249779999998</c:v>
                </c:pt>
                <c:pt idx="941">
                  <c:v>25.096407939999999</c:v>
                </c:pt>
                <c:pt idx="942">
                  <c:v>21.14525399</c:v>
                </c:pt>
                <c:pt idx="943">
                  <c:v>22.352182289999998</c:v>
                </c:pt>
                <c:pt idx="944">
                  <c:v>23.960127239999998</c:v>
                </c:pt>
                <c:pt idx="945">
                  <c:v>23.12157075</c:v>
                </c:pt>
                <c:pt idx="946">
                  <c:v>20.34198473</c:v>
                </c:pt>
                <c:pt idx="947">
                  <c:v>18.291034150000002</c:v>
                </c:pt>
                <c:pt idx="948">
                  <c:v>21.265108009999999</c:v>
                </c:pt>
                <c:pt idx="949">
                  <c:v>19.761653890000002</c:v>
                </c:pt>
                <c:pt idx="950">
                  <c:v>25.909652350000002</c:v>
                </c:pt>
                <c:pt idx="951">
                  <c:v>25.54551507</c:v>
                </c:pt>
                <c:pt idx="952">
                  <c:v>23.302315490000002</c:v>
                </c:pt>
                <c:pt idx="953">
                  <c:v>20.733663010000001</c:v>
                </c:pt>
                <c:pt idx="954">
                  <c:v>21.419965810000001</c:v>
                </c:pt>
                <c:pt idx="955">
                  <c:v>26.030827630000001</c:v>
                </c:pt>
                <c:pt idx="956">
                  <c:v>21.559714799999998</c:v>
                </c:pt>
                <c:pt idx="957">
                  <c:v>23.493812129999998</c:v>
                </c:pt>
                <c:pt idx="958">
                  <c:v>24.93968173</c:v>
                </c:pt>
                <c:pt idx="959">
                  <c:v>23.769932829999998</c:v>
                </c:pt>
                <c:pt idx="960">
                  <c:v>22.343118530000002</c:v>
                </c:pt>
                <c:pt idx="961">
                  <c:v>22.93087152</c:v>
                </c:pt>
                <c:pt idx="962">
                  <c:v>26.1840498</c:v>
                </c:pt>
                <c:pt idx="963">
                  <c:v>20.185902939999998</c:v>
                </c:pt>
                <c:pt idx="964">
                  <c:v>24.288620999999999</c:v>
                </c:pt>
                <c:pt idx="965">
                  <c:v>23.236031929999999</c:v>
                </c:pt>
                <c:pt idx="966">
                  <c:v>21.701707630000001</c:v>
                </c:pt>
                <c:pt idx="967">
                  <c:v>22.28173396</c:v>
                </c:pt>
                <c:pt idx="968">
                  <c:v>24.942824720000001</c:v>
                </c:pt>
                <c:pt idx="969">
                  <c:v>26.201125009999998</c:v>
                </c:pt>
                <c:pt idx="970">
                  <c:v>25.314489099999999</c:v>
                </c:pt>
                <c:pt idx="971">
                  <c:v>22.271419810000001</c:v>
                </c:pt>
                <c:pt idx="972">
                  <c:v>25.512394879999999</c:v>
                </c:pt>
                <c:pt idx="973">
                  <c:v>21.266230830000001</c:v>
                </c:pt>
                <c:pt idx="974">
                  <c:v>20.541994280000001</c:v>
                </c:pt>
                <c:pt idx="975">
                  <c:v>22.026647350000001</c:v>
                </c:pt>
                <c:pt idx="976">
                  <c:v>20.976437650000001</c:v>
                </c:pt>
                <c:pt idx="977">
                  <c:v>22.699063720000002</c:v>
                </c:pt>
                <c:pt idx="978">
                  <c:v>23.089104330000001</c:v>
                </c:pt>
                <c:pt idx="979">
                  <c:v>22.710822570000001</c:v>
                </c:pt>
                <c:pt idx="980">
                  <c:v>24.65377844</c:v>
                </c:pt>
                <c:pt idx="981">
                  <c:v>21.04675937</c:v>
                </c:pt>
                <c:pt idx="982">
                  <c:v>22.553948640000002</c:v>
                </c:pt>
                <c:pt idx="983">
                  <c:v>22.952889200000001</c:v>
                </c:pt>
                <c:pt idx="984">
                  <c:v>22.267316650000001</c:v>
                </c:pt>
                <c:pt idx="985">
                  <c:v>21.856446179999999</c:v>
                </c:pt>
                <c:pt idx="986">
                  <c:v>23.665520959999998</c:v>
                </c:pt>
                <c:pt idx="987">
                  <c:v>24.906019000000001</c:v>
                </c:pt>
                <c:pt idx="988">
                  <c:v>24.334130949999999</c:v>
                </c:pt>
                <c:pt idx="989">
                  <c:v>21.874406140000001</c:v>
                </c:pt>
                <c:pt idx="990">
                  <c:v>26.04903436</c:v>
                </c:pt>
                <c:pt idx="991">
                  <c:v>23.94616534</c:v>
                </c:pt>
                <c:pt idx="992">
                  <c:v>23.610301669999998</c:v>
                </c:pt>
                <c:pt idx="993">
                  <c:v>22.634395139999999</c:v>
                </c:pt>
                <c:pt idx="994">
                  <c:v>20.226463580000001</c:v>
                </c:pt>
                <c:pt idx="995">
                  <c:v>22.434380010000002</c:v>
                </c:pt>
                <c:pt idx="996">
                  <c:v>19.510934219999999</c:v>
                </c:pt>
                <c:pt idx="997">
                  <c:v>23.80128328</c:v>
                </c:pt>
                <c:pt idx="998">
                  <c:v>25.983347720000001</c:v>
                </c:pt>
                <c:pt idx="999">
                  <c:v>22.785242759999999</c:v>
                </c:pt>
              </c:numCache>
            </c:numRef>
          </c:xVal>
          <c:yVal>
            <c:numRef>
              <c:f>'Descriptive Stat_Model '!$M$27:$M$1026</c:f>
              <c:numCache>
                <c:formatCode>General</c:formatCode>
                <c:ptCount val="1000"/>
                <c:pt idx="0">
                  <c:v>2.6088457457847154</c:v>
                </c:pt>
                <c:pt idx="1">
                  <c:v>2.6046031559099401</c:v>
                </c:pt>
                <c:pt idx="2">
                  <c:v>3.3554194295153152</c:v>
                </c:pt>
                <c:pt idx="3">
                  <c:v>1.7797699204244188</c:v>
                </c:pt>
                <c:pt idx="4">
                  <c:v>2.3078417796750443</c:v>
                </c:pt>
                <c:pt idx="5">
                  <c:v>3.6755691309901413</c:v>
                </c:pt>
                <c:pt idx="6">
                  <c:v>2.8863466256639727</c:v>
                </c:pt>
                <c:pt idx="7">
                  <c:v>2.7994038540190536</c:v>
                </c:pt>
                <c:pt idx="8">
                  <c:v>4.0438110757882537</c:v>
                </c:pt>
                <c:pt idx="9">
                  <c:v>2.7272319819021695</c:v>
                </c:pt>
                <c:pt idx="10">
                  <c:v>4.1795920198790713</c:v>
                </c:pt>
                <c:pt idx="11">
                  <c:v>2.0520598548871769</c:v>
                </c:pt>
                <c:pt idx="12">
                  <c:v>3.7979204592232758</c:v>
                </c:pt>
                <c:pt idx="13">
                  <c:v>2.4648575983435825</c:v>
                </c:pt>
                <c:pt idx="14">
                  <c:v>3.2578323547123018</c:v>
                </c:pt>
                <c:pt idx="15">
                  <c:v>1.9860725979759473</c:v>
                </c:pt>
                <c:pt idx="16">
                  <c:v>3.1214558580224967</c:v>
                </c:pt>
                <c:pt idx="17">
                  <c:v>3.8245623239734448</c:v>
                </c:pt>
                <c:pt idx="18">
                  <c:v>1.7121418860436113</c:v>
                </c:pt>
                <c:pt idx="19">
                  <c:v>3.2036060114650002</c:v>
                </c:pt>
                <c:pt idx="20">
                  <c:v>3.6684971423024235</c:v>
                </c:pt>
                <c:pt idx="21">
                  <c:v>3.7399385631292721</c:v>
                </c:pt>
                <c:pt idx="22">
                  <c:v>3.1835528665961346</c:v>
                </c:pt>
                <c:pt idx="23">
                  <c:v>5.26684420331308</c:v>
                </c:pt>
                <c:pt idx="24">
                  <c:v>2.231904528406643</c:v>
                </c:pt>
                <c:pt idx="25">
                  <c:v>2.6074495883577793</c:v>
                </c:pt>
                <c:pt idx="26">
                  <c:v>3.2170727400953192</c:v>
                </c:pt>
                <c:pt idx="27">
                  <c:v>3.1535680628478362</c:v>
                </c:pt>
                <c:pt idx="28">
                  <c:v>2.1420552471932366</c:v>
                </c:pt>
                <c:pt idx="29">
                  <c:v>2.7534759284698387</c:v>
                </c:pt>
                <c:pt idx="30">
                  <c:v>2.7965747675733295</c:v>
                </c:pt>
                <c:pt idx="31">
                  <c:v>4.0660022837744778</c:v>
                </c:pt>
                <c:pt idx="32">
                  <c:v>2.3749453454905574</c:v>
                </c:pt>
                <c:pt idx="33">
                  <c:v>4.6971741485442777</c:v>
                </c:pt>
                <c:pt idx="34">
                  <c:v>3.099653416108429</c:v>
                </c:pt>
                <c:pt idx="35">
                  <c:v>3.7997024798812173</c:v>
                </c:pt>
                <c:pt idx="36">
                  <c:v>2.8477691339610498</c:v>
                </c:pt>
                <c:pt idx="37">
                  <c:v>2.2233548126844642</c:v>
                </c:pt>
                <c:pt idx="38">
                  <c:v>3.546088402472078</c:v>
                </c:pt>
                <c:pt idx="39">
                  <c:v>2.321651191735465</c:v>
                </c:pt>
                <c:pt idx="40">
                  <c:v>2.5848874518406424</c:v>
                </c:pt>
                <c:pt idx="41">
                  <c:v>3.7783360477873247</c:v>
                </c:pt>
                <c:pt idx="42">
                  <c:v>2.6160215742607846</c:v>
                </c:pt>
                <c:pt idx="43">
                  <c:v>4.0254285298369101</c:v>
                </c:pt>
                <c:pt idx="44">
                  <c:v>3.8207082885976611</c:v>
                </c:pt>
                <c:pt idx="45">
                  <c:v>4.1819456417584515</c:v>
                </c:pt>
                <c:pt idx="46">
                  <c:v>3.6220507420914902</c:v>
                </c:pt>
                <c:pt idx="47">
                  <c:v>1.9695562715626234</c:v>
                </c:pt>
                <c:pt idx="48">
                  <c:v>4.0016549827955989</c:v>
                </c:pt>
                <c:pt idx="49">
                  <c:v>2.6188640324263037</c:v>
                </c:pt>
                <c:pt idx="50">
                  <c:v>2.7590678063861822</c:v>
                </c:pt>
                <c:pt idx="51">
                  <c:v>2.0978495160743762</c:v>
                </c:pt>
                <c:pt idx="52">
                  <c:v>2.9171521515002254</c:v>
                </c:pt>
                <c:pt idx="53">
                  <c:v>3.4028020743755474</c:v>
                </c:pt>
                <c:pt idx="54">
                  <c:v>2.9885812127584392</c:v>
                </c:pt>
                <c:pt idx="55">
                  <c:v>3.5038037148750218</c:v>
                </c:pt>
                <c:pt idx="56">
                  <c:v>2.9881155584780803</c:v>
                </c:pt>
                <c:pt idx="57">
                  <c:v>2.6215706457497561</c:v>
                </c:pt>
                <c:pt idx="58">
                  <c:v>3.4608743940184734</c:v>
                </c:pt>
                <c:pt idx="59">
                  <c:v>2.8954382222130395</c:v>
                </c:pt>
                <c:pt idx="60">
                  <c:v>1.7795737091870407</c:v>
                </c:pt>
                <c:pt idx="61">
                  <c:v>4.0437587531348802</c:v>
                </c:pt>
                <c:pt idx="62">
                  <c:v>2.6391032439309923</c:v>
                </c:pt>
                <c:pt idx="63">
                  <c:v>3.7636620278652484</c:v>
                </c:pt>
                <c:pt idx="64">
                  <c:v>3.5690158577049207</c:v>
                </c:pt>
                <c:pt idx="65">
                  <c:v>2.2640217029702754</c:v>
                </c:pt>
                <c:pt idx="66">
                  <c:v>3.1491770377970925</c:v>
                </c:pt>
                <c:pt idx="67">
                  <c:v>3.5688630592178621</c:v>
                </c:pt>
                <c:pt idx="68">
                  <c:v>3.1518959948788581</c:v>
                </c:pt>
                <c:pt idx="69">
                  <c:v>4.01577183056318</c:v>
                </c:pt>
                <c:pt idx="70">
                  <c:v>2.0649704548754682</c:v>
                </c:pt>
                <c:pt idx="71">
                  <c:v>2.2683393967740724</c:v>
                </c:pt>
                <c:pt idx="72">
                  <c:v>2.4854833655301567</c:v>
                </c:pt>
                <c:pt idx="73">
                  <c:v>3.058814592268944</c:v>
                </c:pt>
                <c:pt idx="74">
                  <c:v>3.0957260465209391</c:v>
                </c:pt>
                <c:pt idx="75">
                  <c:v>2.683978312208394</c:v>
                </c:pt>
                <c:pt idx="76">
                  <c:v>2.1025718419268129</c:v>
                </c:pt>
                <c:pt idx="77">
                  <c:v>2.9388667175359737</c:v>
                </c:pt>
                <c:pt idx="78">
                  <c:v>1.8857673161157558</c:v>
                </c:pt>
                <c:pt idx="79">
                  <c:v>3.3475743115736076</c:v>
                </c:pt>
                <c:pt idx="80">
                  <c:v>3.0977809771547307</c:v>
                </c:pt>
                <c:pt idx="81">
                  <c:v>2.8761038300508917</c:v>
                </c:pt>
                <c:pt idx="82">
                  <c:v>2.5195173569324187</c:v>
                </c:pt>
                <c:pt idx="83">
                  <c:v>2.7799202673984791</c:v>
                </c:pt>
                <c:pt idx="84">
                  <c:v>3.3162910823307667</c:v>
                </c:pt>
                <c:pt idx="85">
                  <c:v>2.384198780868795</c:v>
                </c:pt>
                <c:pt idx="86">
                  <c:v>2.9007211403448023</c:v>
                </c:pt>
                <c:pt idx="87">
                  <c:v>3.3257170429195053</c:v>
                </c:pt>
                <c:pt idx="88">
                  <c:v>3.8401859190733334</c:v>
                </c:pt>
                <c:pt idx="89">
                  <c:v>3.3086246490997011</c:v>
                </c:pt>
                <c:pt idx="90">
                  <c:v>2.3595121490805289</c:v>
                </c:pt>
                <c:pt idx="91">
                  <c:v>3.3147994070028233</c:v>
                </c:pt>
                <c:pt idx="92">
                  <c:v>4.6084854742344366</c:v>
                </c:pt>
                <c:pt idx="93">
                  <c:v>1.8444824496227707</c:v>
                </c:pt>
                <c:pt idx="94">
                  <c:v>3.8100744045454125</c:v>
                </c:pt>
                <c:pt idx="95">
                  <c:v>2.9822744218188486</c:v>
                </c:pt>
                <c:pt idx="96">
                  <c:v>3.0210808890953249</c:v>
                </c:pt>
                <c:pt idx="97">
                  <c:v>3.5444162835860986</c:v>
                </c:pt>
                <c:pt idx="98">
                  <c:v>2.7148660163677771</c:v>
                </c:pt>
                <c:pt idx="99">
                  <c:v>4.7199453224426149</c:v>
                </c:pt>
                <c:pt idx="100">
                  <c:v>2.4276630015148619</c:v>
                </c:pt>
                <c:pt idx="101">
                  <c:v>4.2967593493354528</c:v>
                </c:pt>
                <c:pt idx="102">
                  <c:v>2.2791587553374706</c:v>
                </c:pt>
                <c:pt idx="103">
                  <c:v>2.8047465594755261</c:v>
                </c:pt>
                <c:pt idx="104">
                  <c:v>3.5761024126596013</c:v>
                </c:pt>
                <c:pt idx="105">
                  <c:v>3.3001684920406564</c:v>
                </c:pt>
                <c:pt idx="106">
                  <c:v>2.3246957961155212</c:v>
                </c:pt>
                <c:pt idx="107">
                  <c:v>3.3278704510377226</c:v>
                </c:pt>
                <c:pt idx="108">
                  <c:v>2.4921515658098983</c:v>
                </c:pt>
                <c:pt idx="109">
                  <c:v>2.3142968625568101</c:v>
                </c:pt>
                <c:pt idx="110">
                  <c:v>3.0621500254044562</c:v>
                </c:pt>
                <c:pt idx="111">
                  <c:v>2.5461174400968547</c:v>
                </c:pt>
                <c:pt idx="112">
                  <c:v>2.7370323442478028</c:v>
                </c:pt>
                <c:pt idx="113">
                  <c:v>2.939830063083817</c:v>
                </c:pt>
                <c:pt idx="114">
                  <c:v>2.9445290410211458</c:v>
                </c:pt>
                <c:pt idx="115">
                  <c:v>3.9158666470586532</c:v>
                </c:pt>
                <c:pt idx="116">
                  <c:v>3.2933254862595502</c:v>
                </c:pt>
                <c:pt idx="117">
                  <c:v>3.8280781892249696</c:v>
                </c:pt>
                <c:pt idx="118">
                  <c:v>2.9144244809546045</c:v>
                </c:pt>
                <c:pt idx="119">
                  <c:v>2.3371893791055793</c:v>
                </c:pt>
                <c:pt idx="120">
                  <c:v>2.9166629758538605</c:v>
                </c:pt>
                <c:pt idx="121">
                  <c:v>3.1458177663515468</c:v>
                </c:pt>
                <c:pt idx="122">
                  <c:v>2.4389419730749031</c:v>
                </c:pt>
                <c:pt idx="123">
                  <c:v>2.4608940816901699</c:v>
                </c:pt>
                <c:pt idx="124">
                  <c:v>3.3225954194243408</c:v>
                </c:pt>
                <c:pt idx="125">
                  <c:v>3.492282060198268</c:v>
                </c:pt>
                <c:pt idx="126">
                  <c:v>3.9271283880767536</c:v>
                </c:pt>
                <c:pt idx="127">
                  <c:v>2.6943039597161489</c:v>
                </c:pt>
                <c:pt idx="128">
                  <c:v>3.0076197503609277</c:v>
                </c:pt>
                <c:pt idx="129">
                  <c:v>2.6607448070015898</c:v>
                </c:pt>
                <c:pt idx="130">
                  <c:v>3.033649874910533</c:v>
                </c:pt>
                <c:pt idx="131">
                  <c:v>2.463802959757349</c:v>
                </c:pt>
                <c:pt idx="132">
                  <c:v>2.9516661897395737</c:v>
                </c:pt>
                <c:pt idx="133">
                  <c:v>3.3593863771634807</c:v>
                </c:pt>
                <c:pt idx="134">
                  <c:v>3.4660063574408762</c:v>
                </c:pt>
                <c:pt idx="135">
                  <c:v>3.6883239088326287</c:v>
                </c:pt>
                <c:pt idx="136">
                  <c:v>3.4171025277041291</c:v>
                </c:pt>
                <c:pt idx="137">
                  <c:v>2.5103617159498528</c:v>
                </c:pt>
                <c:pt idx="138">
                  <c:v>2.0201247365304207</c:v>
                </c:pt>
                <c:pt idx="139">
                  <c:v>4.0977350224994336</c:v>
                </c:pt>
                <c:pt idx="140">
                  <c:v>2.9446079548309525</c:v>
                </c:pt>
                <c:pt idx="141">
                  <c:v>3.4878535198242</c:v>
                </c:pt>
                <c:pt idx="142">
                  <c:v>2.8297158917105962</c:v>
                </c:pt>
                <c:pt idx="143">
                  <c:v>3.7408456575095119</c:v>
                </c:pt>
                <c:pt idx="144">
                  <c:v>3.3111667736215313</c:v>
                </c:pt>
                <c:pt idx="145">
                  <c:v>3.4784661554663372</c:v>
                </c:pt>
                <c:pt idx="146">
                  <c:v>2.2464411320290933</c:v>
                </c:pt>
                <c:pt idx="147">
                  <c:v>2.552495596543896</c:v>
                </c:pt>
                <c:pt idx="148">
                  <c:v>2.5348999001844357</c:v>
                </c:pt>
                <c:pt idx="149">
                  <c:v>2.7703419935686981</c:v>
                </c:pt>
                <c:pt idx="150">
                  <c:v>3.2394200035403555</c:v>
                </c:pt>
                <c:pt idx="151">
                  <c:v>1.9775274666044065</c:v>
                </c:pt>
                <c:pt idx="152">
                  <c:v>2.9055889888063353</c:v>
                </c:pt>
                <c:pt idx="153">
                  <c:v>3.5380984923901666</c:v>
                </c:pt>
                <c:pt idx="154">
                  <c:v>3.2791841834569135</c:v>
                </c:pt>
                <c:pt idx="155">
                  <c:v>1.7566297013521002</c:v>
                </c:pt>
                <c:pt idx="156">
                  <c:v>2.7125863163522212</c:v>
                </c:pt>
                <c:pt idx="157">
                  <c:v>2.1607414054998664</c:v>
                </c:pt>
                <c:pt idx="158">
                  <c:v>2.9862922240046244</c:v>
                </c:pt>
                <c:pt idx="159">
                  <c:v>3.3716844050119059</c:v>
                </c:pt>
                <c:pt idx="160">
                  <c:v>3.5197513846714408</c:v>
                </c:pt>
                <c:pt idx="161">
                  <c:v>3.3511168400663092</c:v>
                </c:pt>
                <c:pt idx="162">
                  <c:v>4.4908369711102445</c:v>
                </c:pt>
                <c:pt idx="163">
                  <c:v>3.2464990513839611</c:v>
                </c:pt>
                <c:pt idx="164">
                  <c:v>2.0014650842414112</c:v>
                </c:pt>
                <c:pt idx="165">
                  <c:v>3.6287391759762775</c:v>
                </c:pt>
                <c:pt idx="166">
                  <c:v>2.2709518186905373</c:v>
                </c:pt>
                <c:pt idx="167">
                  <c:v>3.6758884457009859</c:v>
                </c:pt>
                <c:pt idx="168">
                  <c:v>2.8746685294643961</c:v>
                </c:pt>
                <c:pt idx="169">
                  <c:v>4.1152464965226683</c:v>
                </c:pt>
                <c:pt idx="170">
                  <c:v>1.6315143751913097</c:v>
                </c:pt>
                <c:pt idx="171">
                  <c:v>3.5450584179078399</c:v>
                </c:pt>
                <c:pt idx="172">
                  <c:v>3.2939248022440504</c:v>
                </c:pt>
                <c:pt idx="173">
                  <c:v>3.0023682613855485</c:v>
                </c:pt>
                <c:pt idx="174">
                  <c:v>2.8480106533198022</c:v>
                </c:pt>
                <c:pt idx="175">
                  <c:v>3.152844292554839</c:v>
                </c:pt>
                <c:pt idx="176">
                  <c:v>2.5998669508840027</c:v>
                </c:pt>
                <c:pt idx="177">
                  <c:v>2.6970656148896626</c:v>
                </c:pt>
                <c:pt idx="178">
                  <c:v>3.2844574020818027</c:v>
                </c:pt>
                <c:pt idx="179">
                  <c:v>2.3481315180095574</c:v>
                </c:pt>
                <c:pt idx="180">
                  <c:v>3.055577626320038</c:v>
                </c:pt>
                <c:pt idx="181">
                  <c:v>3.8325143397925712</c:v>
                </c:pt>
                <c:pt idx="182">
                  <c:v>4.2141418556305492</c:v>
                </c:pt>
                <c:pt idx="183">
                  <c:v>3.4266473710126792</c:v>
                </c:pt>
                <c:pt idx="184">
                  <c:v>2.4004173120511596</c:v>
                </c:pt>
                <c:pt idx="185">
                  <c:v>3.5377750881961654</c:v>
                </c:pt>
                <c:pt idx="186">
                  <c:v>2.7439121436733664</c:v>
                </c:pt>
                <c:pt idx="187">
                  <c:v>4.0662649926150163</c:v>
                </c:pt>
                <c:pt idx="188">
                  <c:v>3.1802643263021375</c:v>
                </c:pt>
                <c:pt idx="189">
                  <c:v>4.3056144433848615</c:v>
                </c:pt>
                <c:pt idx="190">
                  <c:v>2.6356274600848852</c:v>
                </c:pt>
                <c:pt idx="191">
                  <c:v>3.3474095520638945</c:v>
                </c:pt>
                <c:pt idx="192">
                  <c:v>1.3899238595396612</c:v>
                </c:pt>
                <c:pt idx="193">
                  <c:v>3.5362555761433656</c:v>
                </c:pt>
                <c:pt idx="194">
                  <c:v>3.0929013841332811</c:v>
                </c:pt>
                <c:pt idx="195">
                  <c:v>4.6518453080592135</c:v>
                </c:pt>
                <c:pt idx="196">
                  <c:v>3.2550866143523765</c:v>
                </c:pt>
                <c:pt idx="197">
                  <c:v>2.3858173105737457</c:v>
                </c:pt>
                <c:pt idx="198">
                  <c:v>1.9725375020117095</c:v>
                </c:pt>
                <c:pt idx="199">
                  <c:v>2.8315875474578425</c:v>
                </c:pt>
                <c:pt idx="200">
                  <c:v>3.8964382739184806</c:v>
                </c:pt>
                <c:pt idx="201">
                  <c:v>2.275743977391488</c:v>
                </c:pt>
                <c:pt idx="202">
                  <c:v>2.6354922485587737</c:v>
                </c:pt>
                <c:pt idx="203">
                  <c:v>2.9924870055516761</c:v>
                </c:pt>
                <c:pt idx="204">
                  <c:v>1.8970910598426638</c:v>
                </c:pt>
                <c:pt idx="205">
                  <c:v>2.4319774810459815</c:v>
                </c:pt>
                <c:pt idx="206">
                  <c:v>4.6687384875785352</c:v>
                </c:pt>
                <c:pt idx="207">
                  <c:v>3.0682350143466084</c:v>
                </c:pt>
                <c:pt idx="208">
                  <c:v>3.0361530300872941</c:v>
                </c:pt>
                <c:pt idx="209">
                  <c:v>2.5668072682036063</c:v>
                </c:pt>
                <c:pt idx="210">
                  <c:v>2.5662270306477089</c:v>
                </c:pt>
                <c:pt idx="211">
                  <c:v>3.9709907126296793</c:v>
                </c:pt>
                <c:pt idx="212">
                  <c:v>2.1897596045444185</c:v>
                </c:pt>
                <c:pt idx="213">
                  <c:v>3.8931657868865459</c:v>
                </c:pt>
                <c:pt idx="214">
                  <c:v>3.0211692163614385</c:v>
                </c:pt>
                <c:pt idx="215">
                  <c:v>3.8642335162880546</c:v>
                </c:pt>
                <c:pt idx="216">
                  <c:v>4.0115496807177049</c:v>
                </c:pt>
                <c:pt idx="217">
                  <c:v>3.2864898942327798</c:v>
                </c:pt>
                <c:pt idx="218">
                  <c:v>3.1716190125847925</c:v>
                </c:pt>
                <c:pt idx="219">
                  <c:v>2.4256785920715025</c:v>
                </c:pt>
                <c:pt idx="220">
                  <c:v>3.0407025088448014</c:v>
                </c:pt>
                <c:pt idx="221">
                  <c:v>2.9862238619238699</c:v>
                </c:pt>
                <c:pt idx="222">
                  <c:v>2.0032678853288273</c:v>
                </c:pt>
                <c:pt idx="223">
                  <c:v>4.0347624055992881</c:v>
                </c:pt>
                <c:pt idx="224">
                  <c:v>3.5931070032579298</c:v>
                </c:pt>
                <c:pt idx="225">
                  <c:v>2.2399940779103824</c:v>
                </c:pt>
                <c:pt idx="226">
                  <c:v>1.0483356207367256</c:v>
                </c:pt>
                <c:pt idx="227">
                  <c:v>2.1856812579356246</c:v>
                </c:pt>
                <c:pt idx="228">
                  <c:v>3.0366734088058402</c:v>
                </c:pt>
                <c:pt idx="229">
                  <c:v>2.8794952437501706</c:v>
                </c:pt>
                <c:pt idx="230">
                  <c:v>3.352059327483178</c:v>
                </c:pt>
                <c:pt idx="231">
                  <c:v>2.5250569922895476</c:v>
                </c:pt>
                <c:pt idx="232">
                  <c:v>3.6940457708827719</c:v>
                </c:pt>
                <c:pt idx="233">
                  <c:v>3.0672442101285036</c:v>
                </c:pt>
                <c:pt idx="234">
                  <c:v>2.3079390986546748</c:v>
                </c:pt>
                <c:pt idx="235">
                  <c:v>2.3366661055552971</c:v>
                </c:pt>
                <c:pt idx="236">
                  <c:v>2.8967289385405515</c:v>
                </c:pt>
                <c:pt idx="237">
                  <c:v>1.8601055223943246</c:v>
                </c:pt>
                <c:pt idx="238">
                  <c:v>1.7187526272417475</c:v>
                </c:pt>
                <c:pt idx="239">
                  <c:v>3.2203548631309014</c:v>
                </c:pt>
                <c:pt idx="240">
                  <c:v>3.4040183414662444</c:v>
                </c:pt>
                <c:pt idx="241">
                  <c:v>2.9286885440742818</c:v>
                </c:pt>
                <c:pt idx="242">
                  <c:v>2.6951272098147578</c:v>
                </c:pt>
                <c:pt idx="243">
                  <c:v>2.809480487643206</c:v>
                </c:pt>
                <c:pt idx="244">
                  <c:v>2.1425177703640923</c:v>
                </c:pt>
                <c:pt idx="245">
                  <c:v>3.809650157800899</c:v>
                </c:pt>
                <c:pt idx="246">
                  <c:v>4.3032366921002243</c:v>
                </c:pt>
                <c:pt idx="247">
                  <c:v>1.9192186826883444</c:v>
                </c:pt>
                <c:pt idx="248">
                  <c:v>2.8174803075566981</c:v>
                </c:pt>
                <c:pt idx="249">
                  <c:v>2.665946121095506</c:v>
                </c:pt>
                <c:pt idx="250">
                  <c:v>3.6163926316633201</c:v>
                </c:pt>
                <c:pt idx="251">
                  <c:v>1.5590556892204717</c:v>
                </c:pt>
                <c:pt idx="252">
                  <c:v>4.5662966638178997</c:v>
                </c:pt>
                <c:pt idx="253">
                  <c:v>2.3353703731493001</c:v>
                </c:pt>
                <c:pt idx="254">
                  <c:v>3.8700059560831135</c:v>
                </c:pt>
                <c:pt idx="255">
                  <c:v>2.4733877126324679</c:v>
                </c:pt>
                <c:pt idx="256">
                  <c:v>4.2328164242081598</c:v>
                </c:pt>
                <c:pt idx="257">
                  <c:v>2.894164650820807</c:v>
                </c:pt>
                <c:pt idx="258">
                  <c:v>3.8173536534597012</c:v>
                </c:pt>
                <c:pt idx="259">
                  <c:v>4.5714633217414473</c:v>
                </c:pt>
                <c:pt idx="260">
                  <c:v>1.917597869364178</c:v>
                </c:pt>
                <c:pt idx="261">
                  <c:v>3.7362402147791705</c:v>
                </c:pt>
                <c:pt idx="262">
                  <c:v>3.2631316801324748</c:v>
                </c:pt>
                <c:pt idx="263">
                  <c:v>2.9820499157078615</c:v>
                </c:pt>
                <c:pt idx="264">
                  <c:v>3.4793420141646312</c:v>
                </c:pt>
                <c:pt idx="265">
                  <c:v>2.1821094550279181</c:v>
                </c:pt>
                <c:pt idx="266">
                  <c:v>3.1054404760522112</c:v>
                </c:pt>
                <c:pt idx="267">
                  <c:v>2.8423182338823976</c:v>
                </c:pt>
                <c:pt idx="268">
                  <c:v>2.6706025018902233</c:v>
                </c:pt>
                <c:pt idx="269">
                  <c:v>3.7386382194838839</c:v>
                </c:pt>
                <c:pt idx="270">
                  <c:v>2.3215357011075293</c:v>
                </c:pt>
                <c:pt idx="271">
                  <c:v>2.2351917305560889</c:v>
                </c:pt>
                <c:pt idx="272">
                  <c:v>2.777105565187302</c:v>
                </c:pt>
                <c:pt idx="273">
                  <c:v>2.7300613584031685</c:v>
                </c:pt>
                <c:pt idx="274">
                  <c:v>2.8769140870564009</c:v>
                </c:pt>
                <c:pt idx="275">
                  <c:v>3.3516562897761428</c:v>
                </c:pt>
                <c:pt idx="276">
                  <c:v>3.9709706783243375</c:v>
                </c:pt>
                <c:pt idx="277">
                  <c:v>2.1820279459588594</c:v>
                </c:pt>
                <c:pt idx="278">
                  <c:v>2.6673523095352092</c:v>
                </c:pt>
                <c:pt idx="279">
                  <c:v>3.1825856077722836</c:v>
                </c:pt>
                <c:pt idx="280">
                  <c:v>3.630763469450164</c:v>
                </c:pt>
                <c:pt idx="281">
                  <c:v>3.8038559781627646</c:v>
                </c:pt>
                <c:pt idx="282">
                  <c:v>1.5244385887824681</c:v>
                </c:pt>
                <c:pt idx="283">
                  <c:v>2.176468246079283</c:v>
                </c:pt>
                <c:pt idx="284">
                  <c:v>3.664369307801373</c:v>
                </c:pt>
                <c:pt idx="285">
                  <c:v>2.4629763548576928</c:v>
                </c:pt>
                <c:pt idx="286">
                  <c:v>2.6339672922873323</c:v>
                </c:pt>
                <c:pt idx="287">
                  <c:v>2.8136619260956599</c:v>
                </c:pt>
                <c:pt idx="288">
                  <c:v>3.0310163211902426</c:v>
                </c:pt>
                <c:pt idx="289">
                  <c:v>2.6964096666139499</c:v>
                </c:pt>
                <c:pt idx="290">
                  <c:v>3.1371095226537111</c:v>
                </c:pt>
                <c:pt idx="291">
                  <c:v>2.3864176803685337</c:v>
                </c:pt>
                <c:pt idx="292">
                  <c:v>3.5889405812117747</c:v>
                </c:pt>
                <c:pt idx="293">
                  <c:v>3.4235306206749705</c:v>
                </c:pt>
                <c:pt idx="294">
                  <c:v>2.8781849502261219</c:v>
                </c:pt>
                <c:pt idx="295">
                  <c:v>3.3583846229296794</c:v>
                </c:pt>
                <c:pt idx="296">
                  <c:v>3.3453914916318581</c:v>
                </c:pt>
                <c:pt idx="297">
                  <c:v>3.8776208372810328</c:v>
                </c:pt>
                <c:pt idx="298">
                  <c:v>2.715915132566022</c:v>
                </c:pt>
                <c:pt idx="299">
                  <c:v>2.4868354852638266</c:v>
                </c:pt>
                <c:pt idx="300">
                  <c:v>4.091045696813234</c:v>
                </c:pt>
                <c:pt idx="301">
                  <c:v>4.1699557114339445</c:v>
                </c:pt>
                <c:pt idx="302">
                  <c:v>3.1673936379094823</c:v>
                </c:pt>
                <c:pt idx="303">
                  <c:v>2.9165987952602914</c:v>
                </c:pt>
                <c:pt idx="304">
                  <c:v>3.698641963414139</c:v>
                </c:pt>
                <c:pt idx="305">
                  <c:v>4.0628183544611591</c:v>
                </c:pt>
                <c:pt idx="306">
                  <c:v>3.4719702903552649</c:v>
                </c:pt>
                <c:pt idx="307">
                  <c:v>2.1393279250572057</c:v>
                </c:pt>
                <c:pt idx="308">
                  <c:v>2.5247283299140273</c:v>
                </c:pt>
                <c:pt idx="309">
                  <c:v>2.3574483870257925</c:v>
                </c:pt>
                <c:pt idx="310">
                  <c:v>3.0533399871798226</c:v>
                </c:pt>
                <c:pt idx="311">
                  <c:v>3.6882402401860457</c:v>
                </c:pt>
                <c:pt idx="312">
                  <c:v>4.2126772176979239</c:v>
                </c:pt>
                <c:pt idx="313">
                  <c:v>2.8226601199058647</c:v>
                </c:pt>
                <c:pt idx="314">
                  <c:v>2.5141847382952864</c:v>
                </c:pt>
                <c:pt idx="315">
                  <c:v>3.244602794143769</c:v>
                </c:pt>
                <c:pt idx="316">
                  <c:v>2.6108073106577097</c:v>
                </c:pt>
                <c:pt idx="317">
                  <c:v>2.9554069571003252</c:v>
                </c:pt>
                <c:pt idx="318">
                  <c:v>3.7469746221494984</c:v>
                </c:pt>
                <c:pt idx="319">
                  <c:v>2.5024493501718901</c:v>
                </c:pt>
                <c:pt idx="320">
                  <c:v>2.1563858309043744</c:v>
                </c:pt>
                <c:pt idx="321">
                  <c:v>2.4738296138458624</c:v>
                </c:pt>
                <c:pt idx="322">
                  <c:v>3.4808884841949466</c:v>
                </c:pt>
                <c:pt idx="323">
                  <c:v>2.6856096964537146</c:v>
                </c:pt>
                <c:pt idx="324">
                  <c:v>3.1627997017449858</c:v>
                </c:pt>
                <c:pt idx="325">
                  <c:v>2.5233194708019782</c:v>
                </c:pt>
                <c:pt idx="326">
                  <c:v>2.3277797581930626</c:v>
                </c:pt>
                <c:pt idx="327">
                  <c:v>3.8637367837578163</c:v>
                </c:pt>
                <c:pt idx="328">
                  <c:v>3.2097169022859751</c:v>
                </c:pt>
                <c:pt idx="329">
                  <c:v>3.3194402284672648</c:v>
                </c:pt>
                <c:pt idx="330">
                  <c:v>3.8444306823603154</c:v>
                </c:pt>
                <c:pt idx="331">
                  <c:v>2.7504239296826309</c:v>
                </c:pt>
                <c:pt idx="332">
                  <c:v>1.8916866109434511</c:v>
                </c:pt>
                <c:pt idx="333">
                  <c:v>3.0152373897626665</c:v>
                </c:pt>
                <c:pt idx="334">
                  <c:v>3.238608887134689</c:v>
                </c:pt>
                <c:pt idx="335">
                  <c:v>2.6323482684955115</c:v>
                </c:pt>
                <c:pt idx="336">
                  <c:v>2.7778472487474017</c:v>
                </c:pt>
                <c:pt idx="337">
                  <c:v>2.8895610760006667</c:v>
                </c:pt>
                <c:pt idx="338">
                  <c:v>3.2723686471117364</c:v>
                </c:pt>
                <c:pt idx="339">
                  <c:v>2.4396295569312536</c:v>
                </c:pt>
                <c:pt idx="340">
                  <c:v>4.9484086210611071</c:v>
                </c:pt>
                <c:pt idx="341">
                  <c:v>3.825837535216035</c:v>
                </c:pt>
                <c:pt idx="342">
                  <c:v>1.7781326504026362</c:v>
                </c:pt>
                <c:pt idx="343">
                  <c:v>3.452112773752722</c:v>
                </c:pt>
                <c:pt idx="344">
                  <c:v>2.7822303614309583</c:v>
                </c:pt>
                <c:pt idx="345">
                  <c:v>2.6969110851203193</c:v>
                </c:pt>
                <c:pt idx="346">
                  <c:v>2.3902996451495571</c:v>
                </c:pt>
                <c:pt idx="347">
                  <c:v>2.3424116749043149</c:v>
                </c:pt>
                <c:pt idx="348">
                  <c:v>1.6503666562203989</c:v>
                </c:pt>
                <c:pt idx="349">
                  <c:v>3.2010385644985413</c:v>
                </c:pt>
                <c:pt idx="350">
                  <c:v>3.3828880840580604</c:v>
                </c:pt>
                <c:pt idx="351">
                  <c:v>2.7289411631116307</c:v>
                </c:pt>
                <c:pt idx="352">
                  <c:v>2.8086843012565677</c:v>
                </c:pt>
                <c:pt idx="353">
                  <c:v>3.4169799270033052</c:v>
                </c:pt>
                <c:pt idx="354">
                  <c:v>3.1318120618153875</c:v>
                </c:pt>
                <c:pt idx="355">
                  <c:v>3.569394506272785</c:v>
                </c:pt>
                <c:pt idx="356">
                  <c:v>2.2251312966518895</c:v>
                </c:pt>
                <c:pt idx="357">
                  <c:v>3.4961486148631575</c:v>
                </c:pt>
                <c:pt idx="358">
                  <c:v>3.6709666241785635</c:v>
                </c:pt>
                <c:pt idx="359">
                  <c:v>2.7985016104843252</c:v>
                </c:pt>
                <c:pt idx="360">
                  <c:v>2.3591662372837305</c:v>
                </c:pt>
                <c:pt idx="361">
                  <c:v>2.3859962724940993</c:v>
                </c:pt>
                <c:pt idx="362">
                  <c:v>4.1758613170257162</c:v>
                </c:pt>
                <c:pt idx="363">
                  <c:v>2.9755811796325426</c:v>
                </c:pt>
                <c:pt idx="364">
                  <c:v>1.9864330371368304</c:v>
                </c:pt>
                <c:pt idx="365">
                  <c:v>2.5734637902871631</c:v>
                </c:pt>
                <c:pt idx="366">
                  <c:v>2.4964042308534826</c:v>
                </c:pt>
                <c:pt idx="367">
                  <c:v>3.4432916219957219</c:v>
                </c:pt>
                <c:pt idx="368">
                  <c:v>3.2528027603104901</c:v>
                </c:pt>
                <c:pt idx="369">
                  <c:v>3.0850036349671797</c:v>
                </c:pt>
                <c:pt idx="370">
                  <c:v>2.9242939594102855</c:v>
                </c:pt>
                <c:pt idx="371">
                  <c:v>3.991037338406128</c:v>
                </c:pt>
                <c:pt idx="372">
                  <c:v>3.5972147723516681</c:v>
                </c:pt>
                <c:pt idx="373">
                  <c:v>2.6877754482259899</c:v>
                </c:pt>
                <c:pt idx="374">
                  <c:v>2.865563174350914</c:v>
                </c:pt>
                <c:pt idx="375">
                  <c:v>2.8776326969971731</c:v>
                </c:pt>
                <c:pt idx="376">
                  <c:v>3.0767408887104644</c:v>
                </c:pt>
                <c:pt idx="377">
                  <c:v>2.9573277802589386</c:v>
                </c:pt>
                <c:pt idx="378">
                  <c:v>3.5980910825420107</c:v>
                </c:pt>
                <c:pt idx="379">
                  <c:v>2.9950646730006323</c:v>
                </c:pt>
                <c:pt idx="380">
                  <c:v>2.7861684779382427</c:v>
                </c:pt>
                <c:pt idx="381">
                  <c:v>3.7969540247971585</c:v>
                </c:pt>
                <c:pt idx="382">
                  <c:v>2.5930490506169415</c:v>
                </c:pt>
                <c:pt idx="383">
                  <c:v>2.2794432366308488</c:v>
                </c:pt>
                <c:pt idx="384">
                  <c:v>2.493657342286582</c:v>
                </c:pt>
                <c:pt idx="385">
                  <c:v>3.0604427570926771</c:v>
                </c:pt>
                <c:pt idx="386">
                  <c:v>2.1467204271118971</c:v>
                </c:pt>
                <c:pt idx="387">
                  <c:v>3.1945562976593127</c:v>
                </c:pt>
                <c:pt idx="388">
                  <c:v>2.5091808344584701</c:v>
                </c:pt>
                <c:pt idx="389">
                  <c:v>2.4162716316377661</c:v>
                </c:pt>
                <c:pt idx="390">
                  <c:v>3.1306309351011272</c:v>
                </c:pt>
                <c:pt idx="391">
                  <c:v>3.457178859261747</c:v>
                </c:pt>
                <c:pt idx="392">
                  <c:v>3.2191003670982568</c:v>
                </c:pt>
                <c:pt idx="393">
                  <c:v>3.4432235767547406</c:v>
                </c:pt>
                <c:pt idx="394">
                  <c:v>3.5878773140919904</c:v>
                </c:pt>
                <c:pt idx="395">
                  <c:v>1.9217421698715458</c:v>
                </c:pt>
                <c:pt idx="396">
                  <c:v>3.1696834760249715</c:v>
                </c:pt>
                <c:pt idx="397">
                  <c:v>3.3651761075710995</c:v>
                </c:pt>
                <c:pt idx="398">
                  <c:v>2.163707081767587</c:v>
                </c:pt>
                <c:pt idx="399">
                  <c:v>3.3261450968928075</c:v>
                </c:pt>
                <c:pt idx="400">
                  <c:v>3.4939869537182418</c:v>
                </c:pt>
                <c:pt idx="401">
                  <c:v>4.1131278428719593</c:v>
                </c:pt>
                <c:pt idx="402">
                  <c:v>3.5225273863208262</c:v>
                </c:pt>
                <c:pt idx="403">
                  <c:v>3.7768713836423022</c:v>
                </c:pt>
                <c:pt idx="404">
                  <c:v>2.204576635915207</c:v>
                </c:pt>
                <c:pt idx="405">
                  <c:v>4.3899333773030422</c:v>
                </c:pt>
                <c:pt idx="406">
                  <c:v>3.9030666017139724</c:v>
                </c:pt>
                <c:pt idx="407">
                  <c:v>2.840186293287116</c:v>
                </c:pt>
                <c:pt idx="408">
                  <c:v>4.075204376612839</c:v>
                </c:pt>
                <c:pt idx="409">
                  <c:v>2.9337625781479475</c:v>
                </c:pt>
                <c:pt idx="410">
                  <c:v>1.8414808695363636</c:v>
                </c:pt>
                <c:pt idx="411">
                  <c:v>3.3299649516185195</c:v>
                </c:pt>
                <c:pt idx="412">
                  <c:v>3.3172508404409102</c:v>
                </c:pt>
                <c:pt idx="413">
                  <c:v>3.1173487787784708</c:v>
                </c:pt>
                <c:pt idx="414">
                  <c:v>2.3278175020975036</c:v>
                </c:pt>
                <c:pt idx="415">
                  <c:v>2.5647334101759114</c:v>
                </c:pt>
                <c:pt idx="416">
                  <c:v>2.7954338371525607</c:v>
                </c:pt>
                <c:pt idx="417">
                  <c:v>3.6284202404642301</c:v>
                </c:pt>
                <c:pt idx="418">
                  <c:v>1.7267320531025394</c:v>
                </c:pt>
                <c:pt idx="419">
                  <c:v>2.4393634725897728</c:v>
                </c:pt>
                <c:pt idx="420">
                  <c:v>2.4576258018899715</c:v>
                </c:pt>
                <c:pt idx="421">
                  <c:v>2.3548127930886054</c:v>
                </c:pt>
                <c:pt idx="422">
                  <c:v>2.7565422515252296</c:v>
                </c:pt>
                <c:pt idx="423">
                  <c:v>3.4460537297012319</c:v>
                </c:pt>
                <c:pt idx="424">
                  <c:v>3.0049511687087866</c:v>
                </c:pt>
                <c:pt idx="425">
                  <c:v>2.5311612370116534</c:v>
                </c:pt>
                <c:pt idx="426">
                  <c:v>3.8908950476910453</c:v>
                </c:pt>
                <c:pt idx="427">
                  <c:v>2.730343857366119</c:v>
                </c:pt>
                <c:pt idx="428">
                  <c:v>3.2678612653761956</c:v>
                </c:pt>
                <c:pt idx="429">
                  <c:v>1.9315668106814936</c:v>
                </c:pt>
                <c:pt idx="430">
                  <c:v>1.969839881078129</c:v>
                </c:pt>
                <c:pt idx="431">
                  <c:v>3.4226455476115647</c:v>
                </c:pt>
                <c:pt idx="432">
                  <c:v>3.339905037756159</c:v>
                </c:pt>
                <c:pt idx="433">
                  <c:v>4.4361127389078048</c:v>
                </c:pt>
                <c:pt idx="434">
                  <c:v>3.3724237456093542</c:v>
                </c:pt>
                <c:pt idx="435">
                  <c:v>4.0033360149129837</c:v>
                </c:pt>
                <c:pt idx="436">
                  <c:v>2.1773954085188318</c:v>
                </c:pt>
                <c:pt idx="437">
                  <c:v>3.9063649517218524</c:v>
                </c:pt>
                <c:pt idx="438">
                  <c:v>3.1671443591430553</c:v>
                </c:pt>
                <c:pt idx="439">
                  <c:v>2.7047061518586628</c:v>
                </c:pt>
                <c:pt idx="440">
                  <c:v>3.3409817298011442</c:v>
                </c:pt>
                <c:pt idx="441">
                  <c:v>4.0053188334473457</c:v>
                </c:pt>
                <c:pt idx="442">
                  <c:v>2.7969988820582263</c:v>
                </c:pt>
                <c:pt idx="443">
                  <c:v>3.0676407546961815</c:v>
                </c:pt>
                <c:pt idx="444">
                  <c:v>2.3361570471061359</c:v>
                </c:pt>
                <c:pt idx="445">
                  <c:v>2.2782271492841626</c:v>
                </c:pt>
                <c:pt idx="446">
                  <c:v>2.3250486497874752</c:v>
                </c:pt>
                <c:pt idx="447">
                  <c:v>2.7420895107001551</c:v>
                </c:pt>
                <c:pt idx="448">
                  <c:v>3.9235976940681008</c:v>
                </c:pt>
                <c:pt idx="449">
                  <c:v>3.1977767746136019</c:v>
                </c:pt>
                <c:pt idx="450">
                  <c:v>2.1439377110750986</c:v>
                </c:pt>
                <c:pt idx="451">
                  <c:v>3.6355891452681268</c:v>
                </c:pt>
                <c:pt idx="452">
                  <c:v>2.5353698875587805</c:v>
                </c:pt>
                <c:pt idx="453">
                  <c:v>2.5353027852447223</c:v>
                </c:pt>
                <c:pt idx="454">
                  <c:v>2.7991653439122635</c:v>
                </c:pt>
                <c:pt idx="455">
                  <c:v>4.347839855687722</c:v>
                </c:pt>
                <c:pt idx="456">
                  <c:v>3.9665543756613628</c:v>
                </c:pt>
                <c:pt idx="457">
                  <c:v>2.6872086573351361</c:v>
                </c:pt>
                <c:pt idx="458">
                  <c:v>3.034751111238351</c:v>
                </c:pt>
                <c:pt idx="459">
                  <c:v>3.7641244138360861</c:v>
                </c:pt>
                <c:pt idx="460">
                  <c:v>3.1228086757195497</c:v>
                </c:pt>
                <c:pt idx="461">
                  <c:v>3.0176017161221029</c:v>
                </c:pt>
                <c:pt idx="462">
                  <c:v>3.2940692743712114</c:v>
                </c:pt>
                <c:pt idx="463">
                  <c:v>2.5221381139988077</c:v>
                </c:pt>
                <c:pt idx="464">
                  <c:v>2.3793829469066337</c:v>
                </c:pt>
                <c:pt idx="465">
                  <c:v>4.3310610448017588</c:v>
                </c:pt>
                <c:pt idx="466">
                  <c:v>2.3106132744159549</c:v>
                </c:pt>
                <c:pt idx="467">
                  <c:v>3.0677673737311135</c:v>
                </c:pt>
                <c:pt idx="468">
                  <c:v>2.804423404613364</c:v>
                </c:pt>
                <c:pt idx="469">
                  <c:v>3.963956660644484</c:v>
                </c:pt>
                <c:pt idx="470">
                  <c:v>3.3517400619730315</c:v>
                </c:pt>
                <c:pt idx="471">
                  <c:v>2.940684046455321</c:v>
                </c:pt>
                <c:pt idx="472">
                  <c:v>3.6351105449112158</c:v>
                </c:pt>
                <c:pt idx="473">
                  <c:v>2.8825277505839111</c:v>
                </c:pt>
                <c:pt idx="474">
                  <c:v>3.1952188708661522</c:v>
                </c:pt>
                <c:pt idx="475">
                  <c:v>2.5610076089808138</c:v>
                </c:pt>
                <c:pt idx="476">
                  <c:v>2.4272822344565004</c:v>
                </c:pt>
                <c:pt idx="477">
                  <c:v>2.4273282314918943</c:v>
                </c:pt>
                <c:pt idx="478">
                  <c:v>3.7077800328824879</c:v>
                </c:pt>
                <c:pt idx="479">
                  <c:v>1.6515137739149273</c:v>
                </c:pt>
                <c:pt idx="480">
                  <c:v>4.3249711168062666</c:v>
                </c:pt>
                <c:pt idx="481">
                  <c:v>3.0571420620422503</c:v>
                </c:pt>
                <c:pt idx="482">
                  <c:v>2.5079263975607513</c:v>
                </c:pt>
                <c:pt idx="483">
                  <c:v>3.4712607253334147</c:v>
                </c:pt>
                <c:pt idx="484">
                  <c:v>2.5483742018217139</c:v>
                </c:pt>
                <c:pt idx="485">
                  <c:v>2.5304354248897107</c:v>
                </c:pt>
                <c:pt idx="486">
                  <c:v>3.8277436679617405</c:v>
                </c:pt>
                <c:pt idx="487">
                  <c:v>3.345693606798477</c:v>
                </c:pt>
                <c:pt idx="488">
                  <c:v>2.9414552114267813</c:v>
                </c:pt>
                <c:pt idx="489">
                  <c:v>3.4490280198872121</c:v>
                </c:pt>
                <c:pt idx="490">
                  <c:v>2.205849904198093</c:v>
                </c:pt>
                <c:pt idx="491">
                  <c:v>3.392945804018737</c:v>
                </c:pt>
                <c:pt idx="492">
                  <c:v>3.0854979354954994</c:v>
                </c:pt>
                <c:pt idx="493">
                  <c:v>2.2228190605685114</c:v>
                </c:pt>
                <c:pt idx="494">
                  <c:v>2.2165259040473906</c:v>
                </c:pt>
                <c:pt idx="495">
                  <c:v>2.7202799519522407</c:v>
                </c:pt>
                <c:pt idx="496">
                  <c:v>3.3863008578295171</c:v>
                </c:pt>
                <c:pt idx="497">
                  <c:v>2.9258846432367616</c:v>
                </c:pt>
                <c:pt idx="498">
                  <c:v>2.9205610109557263</c:v>
                </c:pt>
                <c:pt idx="499">
                  <c:v>2.5714850211888791</c:v>
                </c:pt>
                <c:pt idx="500">
                  <c:v>3.3843884953703132</c:v>
                </c:pt>
                <c:pt idx="501">
                  <c:v>3.2180115888447238</c:v>
                </c:pt>
                <c:pt idx="502">
                  <c:v>2.0354699678143522</c:v>
                </c:pt>
                <c:pt idx="503">
                  <c:v>3.3626897182859046</c:v>
                </c:pt>
                <c:pt idx="504">
                  <c:v>4.1561828594964654</c:v>
                </c:pt>
                <c:pt idx="505">
                  <c:v>3.1956581748446546</c:v>
                </c:pt>
                <c:pt idx="506">
                  <c:v>2.4544662166240885</c:v>
                </c:pt>
                <c:pt idx="507">
                  <c:v>2.0127425099841894</c:v>
                </c:pt>
                <c:pt idx="508">
                  <c:v>3.6407634058436384</c:v>
                </c:pt>
                <c:pt idx="509">
                  <c:v>3.3293520688277374</c:v>
                </c:pt>
                <c:pt idx="510">
                  <c:v>3.3678334938804122</c:v>
                </c:pt>
                <c:pt idx="511">
                  <c:v>3.9499507718917597</c:v>
                </c:pt>
                <c:pt idx="512">
                  <c:v>3.5545986442559876</c:v>
                </c:pt>
                <c:pt idx="513">
                  <c:v>2.2325671147718085</c:v>
                </c:pt>
                <c:pt idx="514">
                  <c:v>3.8508962203902968</c:v>
                </c:pt>
                <c:pt idx="515">
                  <c:v>4.0661083421710247</c:v>
                </c:pt>
                <c:pt idx="516">
                  <c:v>2.7155671710351168</c:v>
                </c:pt>
                <c:pt idx="517">
                  <c:v>3.1371992464186924</c:v>
                </c:pt>
                <c:pt idx="518">
                  <c:v>3.4138688514409958</c:v>
                </c:pt>
                <c:pt idx="519">
                  <c:v>3.0530979569347574</c:v>
                </c:pt>
                <c:pt idx="520">
                  <c:v>2.1408713868755056</c:v>
                </c:pt>
                <c:pt idx="521">
                  <c:v>3.2948228499890648</c:v>
                </c:pt>
                <c:pt idx="522">
                  <c:v>3.8054930896082784</c:v>
                </c:pt>
                <c:pt idx="523">
                  <c:v>2.1739793445937554</c:v>
                </c:pt>
                <c:pt idx="524">
                  <c:v>2.5809072550065788</c:v>
                </c:pt>
                <c:pt idx="525">
                  <c:v>3.3275079231356006</c:v>
                </c:pt>
                <c:pt idx="526">
                  <c:v>3.6745190060733433</c:v>
                </c:pt>
                <c:pt idx="527">
                  <c:v>2.272908573337201</c:v>
                </c:pt>
                <c:pt idx="528">
                  <c:v>3.5253245908188333</c:v>
                </c:pt>
                <c:pt idx="529">
                  <c:v>3.4163014455887533</c:v>
                </c:pt>
                <c:pt idx="530">
                  <c:v>3.6898238625682294</c:v>
                </c:pt>
                <c:pt idx="531">
                  <c:v>2.6349311523626033</c:v>
                </c:pt>
                <c:pt idx="532">
                  <c:v>2.9830526069390646</c:v>
                </c:pt>
                <c:pt idx="533">
                  <c:v>2.5378345026748317</c:v>
                </c:pt>
                <c:pt idx="534">
                  <c:v>2.5697495545843276</c:v>
                </c:pt>
                <c:pt idx="535">
                  <c:v>3.3726470584216317</c:v>
                </c:pt>
                <c:pt idx="536">
                  <c:v>2.8981853375404976</c:v>
                </c:pt>
                <c:pt idx="537">
                  <c:v>3.3661445803935561</c:v>
                </c:pt>
                <c:pt idx="538">
                  <c:v>2.0137890666019631</c:v>
                </c:pt>
                <c:pt idx="539">
                  <c:v>2.7586121106702555</c:v>
                </c:pt>
                <c:pt idx="540">
                  <c:v>2.9845985478800858</c:v>
                </c:pt>
                <c:pt idx="541">
                  <c:v>3.0139654167167471</c:v>
                </c:pt>
                <c:pt idx="542">
                  <c:v>2.7038289372806816</c:v>
                </c:pt>
                <c:pt idx="543">
                  <c:v>2.5320791498243294</c:v>
                </c:pt>
                <c:pt idx="544">
                  <c:v>2.4743823265762757</c:v>
                </c:pt>
                <c:pt idx="545">
                  <c:v>4.7098602686339781</c:v>
                </c:pt>
                <c:pt idx="546">
                  <c:v>2.9452071735582601</c:v>
                </c:pt>
                <c:pt idx="547">
                  <c:v>3.9034677331800296</c:v>
                </c:pt>
                <c:pt idx="548">
                  <c:v>3.3328688614552</c:v>
                </c:pt>
                <c:pt idx="549">
                  <c:v>3.7160049673632365</c:v>
                </c:pt>
                <c:pt idx="550">
                  <c:v>3.8356075430197225</c:v>
                </c:pt>
                <c:pt idx="551">
                  <c:v>3.407506226187019</c:v>
                </c:pt>
                <c:pt idx="552">
                  <c:v>2.6583175379711834</c:v>
                </c:pt>
                <c:pt idx="553">
                  <c:v>2.7307349724855303</c:v>
                </c:pt>
                <c:pt idx="554">
                  <c:v>2.7561858841123685</c:v>
                </c:pt>
                <c:pt idx="555">
                  <c:v>3.8087514331559893</c:v>
                </c:pt>
                <c:pt idx="556">
                  <c:v>3.3890257114534115</c:v>
                </c:pt>
                <c:pt idx="557">
                  <c:v>2.9625824503251299</c:v>
                </c:pt>
                <c:pt idx="558">
                  <c:v>3.3544911120035774</c:v>
                </c:pt>
                <c:pt idx="559">
                  <c:v>3.4129372727442875</c:v>
                </c:pt>
                <c:pt idx="560">
                  <c:v>3.2553590792335454</c:v>
                </c:pt>
                <c:pt idx="561">
                  <c:v>4.0435158389935646</c:v>
                </c:pt>
                <c:pt idx="562">
                  <c:v>1.9578705927346225</c:v>
                </c:pt>
                <c:pt idx="563">
                  <c:v>3.1461162607943458</c:v>
                </c:pt>
                <c:pt idx="564">
                  <c:v>2.7319952461675228</c:v>
                </c:pt>
                <c:pt idx="565">
                  <c:v>4.2721086310915926</c:v>
                </c:pt>
                <c:pt idx="566">
                  <c:v>3.2759074599118296</c:v>
                </c:pt>
                <c:pt idx="567">
                  <c:v>2.3512125852553623</c:v>
                </c:pt>
                <c:pt idx="568">
                  <c:v>3.7118099722980666</c:v>
                </c:pt>
                <c:pt idx="569">
                  <c:v>2.0426562771831889</c:v>
                </c:pt>
                <c:pt idx="570">
                  <c:v>2.4254097445858012</c:v>
                </c:pt>
                <c:pt idx="571">
                  <c:v>3.17178147282005</c:v>
                </c:pt>
                <c:pt idx="572">
                  <c:v>2.2332427152935606</c:v>
                </c:pt>
                <c:pt idx="573">
                  <c:v>2.5294760742198288</c:v>
                </c:pt>
                <c:pt idx="574">
                  <c:v>2.3591146000075152</c:v>
                </c:pt>
                <c:pt idx="575">
                  <c:v>3.8546490791085066</c:v>
                </c:pt>
                <c:pt idx="576">
                  <c:v>2.836840803185777</c:v>
                </c:pt>
                <c:pt idx="577">
                  <c:v>3.346620748174538</c:v>
                </c:pt>
                <c:pt idx="578">
                  <c:v>2.0947914730386925</c:v>
                </c:pt>
                <c:pt idx="579">
                  <c:v>3.4273753960218065</c:v>
                </c:pt>
                <c:pt idx="580">
                  <c:v>4.1342377739947143</c:v>
                </c:pt>
                <c:pt idx="581">
                  <c:v>2.9690028238311212</c:v>
                </c:pt>
                <c:pt idx="582">
                  <c:v>3.5066965854482293</c:v>
                </c:pt>
                <c:pt idx="583">
                  <c:v>2.7246066497430155</c:v>
                </c:pt>
                <c:pt idx="584">
                  <c:v>2.6466945597111184</c:v>
                </c:pt>
                <c:pt idx="585">
                  <c:v>3.7282737052456718</c:v>
                </c:pt>
                <c:pt idx="586">
                  <c:v>3.4035454322671557</c:v>
                </c:pt>
                <c:pt idx="587">
                  <c:v>2.78857078780824</c:v>
                </c:pt>
                <c:pt idx="588">
                  <c:v>2.7975761899884732</c:v>
                </c:pt>
                <c:pt idx="589">
                  <c:v>1.9725053110251252</c:v>
                </c:pt>
                <c:pt idx="590">
                  <c:v>3.3346955529138529</c:v>
                </c:pt>
                <c:pt idx="591">
                  <c:v>3.2656592967416587</c:v>
                </c:pt>
                <c:pt idx="592">
                  <c:v>3.2739415121720512</c:v>
                </c:pt>
                <c:pt idx="593">
                  <c:v>4.2713801369595359</c:v>
                </c:pt>
                <c:pt idx="594">
                  <c:v>1.8266837014126782</c:v>
                </c:pt>
                <c:pt idx="595">
                  <c:v>3.0498054279516569</c:v>
                </c:pt>
                <c:pt idx="596">
                  <c:v>3.8665119021873062</c:v>
                </c:pt>
                <c:pt idx="597">
                  <c:v>3.2647519363343918</c:v>
                </c:pt>
                <c:pt idx="598">
                  <c:v>2.9446986717635015</c:v>
                </c:pt>
                <c:pt idx="599">
                  <c:v>2.9266578608028344</c:v>
                </c:pt>
                <c:pt idx="600">
                  <c:v>3.217946029019576</c:v>
                </c:pt>
                <c:pt idx="601">
                  <c:v>2.7111604362957546</c:v>
                </c:pt>
                <c:pt idx="602">
                  <c:v>2.6530661828674686</c:v>
                </c:pt>
                <c:pt idx="603">
                  <c:v>2.1699867737842746</c:v>
                </c:pt>
                <c:pt idx="604">
                  <c:v>3.0871878341405079</c:v>
                </c:pt>
                <c:pt idx="605">
                  <c:v>2.7719575920867774</c:v>
                </c:pt>
                <c:pt idx="606">
                  <c:v>2.9444790432825241</c:v>
                </c:pt>
                <c:pt idx="607">
                  <c:v>3.1098155587242569</c:v>
                </c:pt>
                <c:pt idx="608">
                  <c:v>2.0360868993648564</c:v>
                </c:pt>
                <c:pt idx="609">
                  <c:v>3.8723750126789769</c:v>
                </c:pt>
                <c:pt idx="610">
                  <c:v>3.0814877531247222</c:v>
                </c:pt>
                <c:pt idx="611">
                  <c:v>2.7937544823314444</c:v>
                </c:pt>
                <c:pt idx="612">
                  <c:v>3.163553456534749</c:v>
                </c:pt>
                <c:pt idx="613">
                  <c:v>1.2774557842412011</c:v>
                </c:pt>
                <c:pt idx="614">
                  <c:v>2.9675778399443677</c:v>
                </c:pt>
                <c:pt idx="615">
                  <c:v>3.1643693923203653</c:v>
                </c:pt>
                <c:pt idx="616">
                  <c:v>3.7712766401756355</c:v>
                </c:pt>
                <c:pt idx="617">
                  <c:v>2.7001102827729451</c:v>
                </c:pt>
                <c:pt idx="618">
                  <c:v>3.4089023207870852</c:v>
                </c:pt>
                <c:pt idx="619">
                  <c:v>2.7943469221281658</c:v>
                </c:pt>
                <c:pt idx="620">
                  <c:v>2.9554590376506642</c:v>
                </c:pt>
                <c:pt idx="621">
                  <c:v>2.462810589594187</c:v>
                </c:pt>
                <c:pt idx="622">
                  <c:v>1.9261012041711019</c:v>
                </c:pt>
                <c:pt idx="623">
                  <c:v>2.1391879369544755</c:v>
                </c:pt>
                <c:pt idx="624">
                  <c:v>3.4242219962091256</c:v>
                </c:pt>
                <c:pt idx="625">
                  <c:v>2.7121886712704715</c:v>
                </c:pt>
                <c:pt idx="626">
                  <c:v>3.7014837962731186</c:v>
                </c:pt>
                <c:pt idx="627">
                  <c:v>3.7311708597121673</c:v>
                </c:pt>
                <c:pt idx="628">
                  <c:v>3.1781580759082591</c:v>
                </c:pt>
                <c:pt idx="629">
                  <c:v>3.2210898899815477</c:v>
                </c:pt>
                <c:pt idx="630">
                  <c:v>3.5687591010045767</c:v>
                </c:pt>
                <c:pt idx="631">
                  <c:v>2.7551845486565965</c:v>
                </c:pt>
                <c:pt idx="632">
                  <c:v>3.0155163078403673</c:v>
                </c:pt>
                <c:pt idx="633">
                  <c:v>3.7881118608054694</c:v>
                </c:pt>
                <c:pt idx="634">
                  <c:v>3.3418707104195473</c:v>
                </c:pt>
                <c:pt idx="635">
                  <c:v>3.2335923027805009</c:v>
                </c:pt>
                <c:pt idx="636">
                  <c:v>2.5256619400376064</c:v>
                </c:pt>
                <c:pt idx="637">
                  <c:v>2.754053345099301</c:v>
                </c:pt>
                <c:pt idx="638">
                  <c:v>2.9304636478210089</c:v>
                </c:pt>
                <c:pt idx="639">
                  <c:v>2.5600635432411725</c:v>
                </c:pt>
                <c:pt idx="640">
                  <c:v>2.5175718144280257</c:v>
                </c:pt>
                <c:pt idx="641">
                  <c:v>2.4934059347318369</c:v>
                </c:pt>
                <c:pt idx="642">
                  <c:v>2.7299395878210886</c:v>
                </c:pt>
                <c:pt idx="643">
                  <c:v>2.916899092861609</c:v>
                </c:pt>
                <c:pt idx="644">
                  <c:v>4.3883592540880798</c:v>
                </c:pt>
                <c:pt idx="645">
                  <c:v>3.8861300894342361</c:v>
                </c:pt>
                <c:pt idx="646">
                  <c:v>2.2982687891992319</c:v>
                </c:pt>
                <c:pt idx="647">
                  <c:v>3.2755277196707482</c:v>
                </c:pt>
                <c:pt idx="648">
                  <c:v>1.9650467205238387</c:v>
                </c:pt>
                <c:pt idx="649">
                  <c:v>2.8958991025179479</c:v>
                </c:pt>
                <c:pt idx="650">
                  <c:v>2.7178628584168498</c:v>
                </c:pt>
                <c:pt idx="651">
                  <c:v>3.0242539953993983</c:v>
                </c:pt>
                <c:pt idx="652">
                  <c:v>2.0054755252019012</c:v>
                </c:pt>
                <c:pt idx="653">
                  <c:v>2.389943536794255</c:v>
                </c:pt>
                <c:pt idx="654">
                  <c:v>3.4638355036706914</c:v>
                </c:pt>
                <c:pt idx="655">
                  <c:v>3.7953244507840789</c:v>
                </c:pt>
                <c:pt idx="656">
                  <c:v>2.5558949751394113</c:v>
                </c:pt>
                <c:pt idx="657">
                  <c:v>3.6221096078655286</c:v>
                </c:pt>
                <c:pt idx="658">
                  <c:v>3.0915914092695633</c:v>
                </c:pt>
                <c:pt idx="659">
                  <c:v>2.7236863296330238</c:v>
                </c:pt>
                <c:pt idx="660">
                  <c:v>2.5770447782785695</c:v>
                </c:pt>
                <c:pt idx="661">
                  <c:v>2.8353695083886157</c:v>
                </c:pt>
                <c:pt idx="662">
                  <c:v>3.3152500418078681</c:v>
                </c:pt>
                <c:pt idx="663">
                  <c:v>3.6266826868347435</c:v>
                </c:pt>
                <c:pt idx="664">
                  <c:v>2.0376231652950985</c:v>
                </c:pt>
                <c:pt idx="665">
                  <c:v>2.1020607857004934</c:v>
                </c:pt>
                <c:pt idx="666">
                  <c:v>3.4127934230631602</c:v>
                </c:pt>
                <c:pt idx="667">
                  <c:v>2.9547714889009922</c:v>
                </c:pt>
                <c:pt idx="668">
                  <c:v>3.563984745414547</c:v>
                </c:pt>
                <c:pt idx="669">
                  <c:v>3.7277664267073911</c:v>
                </c:pt>
                <c:pt idx="670">
                  <c:v>2.3513994460718131</c:v>
                </c:pt>
                <c:pt idx="671">
                  <c:v>2.4014473555418143</c:v>
                </c:pt>
                <c:pt idx="672">
                  <c:v>3.7057840343864656</c:v>
                </c:pt>
                <c:pt idx="673">
                  <c:v>3.7966730447627173</c:v>
                </c:pt>
                <c:pt idx="674">
                  <c:v>3.0235094790029948</c:v>
                </c:pt>
                <c:pt idx="675">
                  <c:v>3.7973268865620557</c:v>
                </c:pt>
                <c:pt idx="676">
                  <c:v>2.8042330569447591</c:v>
                </c:pt>
                <c:pt idx="677">
                  <c:v>2.5583011838786343</c:v>
                </c:pt>
                <c:pt idx="678">
                  <c:v>2.1720804356648094</c:v>
                </c:pt>
                <c:pt idx="679">
                  <c:v>2.8444125587238918</c:v>
                </c:pt>
                <c:pt idx="680">
                  <c:v>2.9138335307007259</c:v>
                </c:pt>
                <c:pt idx="681">
                  <c:v>3.211999815221497</c:v>
                </c:pt>
                <c:pt idx="682">
                  <c:v>2.9444471761051818</c:v>
                </c:pt>
                <c:pt idx="683">
                  <c:v>2.332199791527529</c:v>
                </c:pt>
                <c:pt idx="684">
                  <c:v>2.7245825986113603</c:v>
                </c:pt>
                <c:pt idx="685">
                  <c:v>1.5171786419883249</c:v>
                </c:pt>
                <c:pt idx="686">
                  <c:v>2.1274379156282843</c:v>
                </c:pt>
                <c:pt idx="687">
                  <c:v>2.0731334089593529</c:v>
                </c:pt>
                <c:pt idx="688">
                  <c:v>3.6295814815151886</c:v>
                </c:pt>
                <c:pt idx="689">
                  <c:v>2.590208428791807</c:v>
                </c:pt>
                <c:pt idx="690">
                  <c:v>3.9033190835703917</c:v>
                </c:pt>
                <c:pt idx="691">
                  <c:v>2.5137279206890364</c:v>
                </c:pt>
                <c:pt idx="692">
                  <c:v>2.1106921085803618</c:v>
                </c:pt>
                <c:pt idx="693">
                  <c:v>2.446668161125169</c:v>
                </c:pt>
                <c:pt idx="694">
                  <c:v>2.7395756106834956</c:v>
                </c:pt>
                <c:pt idx="695">
                  <c:v>3.7387963803791218</c:v>
                </c:pt>
                <c:pt idx="696">
                  <c:v>2.4246768063721391</c:v>
                </c:pt>
                <c:pt idx="697">
                  <c:v>2.5077042089272008</c:v>
                </c:pt>
                <c:pt idx="698">
                  <c:v>3.4644015816192786</c:v>
                </c:pt>
                <c:pt idx="699">
                  <c:v>3.2366881868735646</c:v>
                </c:pt>
                <c:pt idx="700">
                  <c:v>3.3362462495230885</c:v>
                </c:pt>
                <c:pt idx="701">
                  <c:v>1.7097759731434767</c:v>
                </c:pt>
                <c:pt idx="702">
                  <c:v>3.6720091327129705</c:v>
                </c:pt>
                <c:pt idx="703">
                  <c:v>3.4485976529090263</c:v>
                </c:pt>
                <c:pt idx="704">
                  <c:v>3.403921384522377</c:v>
                </c:pt>
                <c:pt idx="705">
                  <c:v>3.172097263960012</c:v>
                </c:pt>
                <c:pt idx="706">
                  <c:v>3.7403105987801331</c:v>
                </c:pt>
                <c:pt idx="707">
                  <c:v>3.013127677584829</c:v>
                </c:pt>
                <c:pt idx="708">
                  <c:v>2.0748357713996572</c:v>
                </c:pt>
                <c:pt idx="709">
                  <c:v>3.5533643802163395</c:v>
                </c:pt>
                <c:pt idx="710">
                  <c:v>3.6971037528078892</c:v>
                </c:pt>
                <c:pt idx="711">
                  <c:v>2.8000970649578991</c:v>
                </c:pt>
                <c:pt idx="712">
                  <c:v>3.8413111813603567</c:v>
                </c:pt>
                <c:pt idx="713">
                  <c:v>3.8043966400506455</c:v>
                </c:pt>
                <c:pt idx="714">
                  <c:v>2.292254697785804</c:v>
                </c:pt>
                <c:pt idx="715">
                  <c:v>3.6587412869280689</c:v>
                </c:pt>
                <c:pt idx="716">
                  <c:v>2.7259604664329022</c:v>
                </c:pt>
                <c:pt idx="717">
                  <c:v>3.2334518622500283</c:v>
                </c:pt>
                <c:pt idx="718">
                  <c:v>2.6023792993623882</c:v>
                </c:pt>
                <c:pt idx="719">
                  <c:v>2.2464444872979872</c:v>
                </c:pt>
                <c:pt idx="720">
                  <c:v>3.1701418063708733</c:v>
                </c:pt>
                <c:pt idx="721">
                  <c:v>2.7225147431730132</c:v>
                </c:pt>
                <c:pt idx="722">
                  <c:v>2.1247429446671546</c:v>
                </c:pt>
                <c:pt idx="723">
                  <c:v>3.0897669152513645</c:v>
                </c:pt>
                <c:pt idx="724">
                  <c:v>3.6623140321905971</c:v>
                </c:pt>
                <c:pt idx="725">
                  <c:v>2.4559961471063776</c:v>
                </c:pt>
                <c:pt idx="726">
                  <c:v>2.6797788674448615</c:v>
                </c:pt>
                <c:pt idx="727">
                  <c:v>2.5104223072851646</c:v>
                </c:pt>
                <c:pt idx="728">
                  <c:v>3.1199063586124245</c:v>
                </c:pt>
                <c:pt idx="729">
                  <c:v>2.8750940874647073</c:v>
                </c:pt>
                <c:pt idx="730">
                  <c:v>2.032162213503784</c:v>
                </c:pt>
                <c:pt idx="731">
                  <c:v>2.6615211796011602</c:v>
                </c:pt>
                <c:pt idx="732">
                  <c:v>2.8037441793630844</c:v>
                </c:pt>
                <c:pt idx="733">
                  <c:v>4.8199009554371495</c:v>
                </c:pt>
                <c:pt idx="734">
                  <c:v>2.5950826813534293</c:v>
                </c:pt>
                <c:pt idx="735">
                  <c:v>2.3011532743818703</c:v>
                </c:pt>
                <c:pt idx="736">
                  <c:v>2.8298030130917748</c:v>
                </c:pt>
                <c:pt idx="737">
                  <c:v>3.1669844533393592</c:v>
                </c:pt>
                <c:pt idx="738">
                  <c:v>2.8977452390177754</c:v>
                </c:pt>
                <c:pt idx="739">
                  <c:v>3.555189584107791</c:v>
                </c:pt>
                <c:pt idx="740">
                  <c:v>2.6196575870434726</c:v>
                </c:pt>
                <c:pt idx="741">
                  <c:v>2.2890846608043121</c:v>
                </c:pt>
                <c:pt idx="742">
                  <c:v>2.5409423671377334</c:v>
                </c:pt>
                <c:pt idx="743">
                  <c:v>1.9793351099558172</c:v>
                </c:pt>
                <c:pt idx="744">
                  <c:v>3.1371311578022798</c:v>
                </c:pt>
                <c:pt idx="745">
                  <c:v>3.5766088241010716</c:v>
                </c:pt>
                <c:pt idx="746">
                  <c:v>2.1354109264148109</c:v>
                </c:pt>
                <c:pt idx="747">
                  <c:v>2.1077229106665718</c:v>
                </c:pt>
                <c:pt idx="748">
                  <c:v>3.1443926446926747</c:v>
                </c:pt>
                <c:pt idx="749">
                  <c:v>3.1511899052671399</c:v>
                </c:pt>
                <c:pt idx="750">
                  <c:v>3.6583448518402166</c:v>
                </c:pt>
                <c:pt idx="751">
                  <c:v>3.226676266469136</c:v>
                </c:pt>
                <c:pt idx="752">
                  <c:v>3.8757486661749199</c:v>
                </c:pt>
                <c:pt idx="753">
                  <c:v>2.9805820093614597</c:v>
                </c:pt>
                <c:pt idx="754">
                  <c:v>3.9192804804656642</c:v>
                </c:pt>
                <c:pt idx="755">
                  <c:v>2.4364138696076547</c:v>
                </c:pt>
                <c:pt idx="756">
                  <c:v>3.3991792582497071</c:v>
                </c:pt>
                <c:pt idx="757">
                  <c:v>3.6655242096081784</c:v>
                </c:pt>
                <c:pt idx="758">
                  <c:v>3.5494236840007893</c:v>
                </c:pt>
                <c:pt idx="759">
                  <c:v>2.6342638680071833</c:v>
                </c:pt>
                <c:pt idx="760">
                  <c:v>3.8206790364945999</c:v>
                </c:pt>
                <c:pt idx="761">
                  <c:v>2.766062081428017</c:v>
                </c:pt>
                <c:pt idx="762">
                  <c:v>3.1482953086648124</c:v>
                </c:pt>
                <c:pt idx="763">
                  <c:v>2.3847055493013736</c:v>
                </c:pt>
                <c:pt idx="764">
                  <c:v>1.9050088868980477</c:v>
                </c:pt>
                <c:pt idx="765">
                  <c:v>2.1912681580000051</c:v>
                </c:pt>
                <c:pt idx="766">
                  <c:v>3.2152707599730297</c:v>
                </c:pt>
                <c:pt idx="767">
                  <c:v>3.8714349359920304</c:v>
                </c:pt>
                <c:pt idx="768">
                  <c:v>3.2101100318777318</c:v>
                </c:pt>
                <c:pt idx="769">
                  <c:v>3.0133201294414036</c:v>
                </c:pt>
                <c:pt idx="770">
                  <c:v>2.434523356367098</c:v>
                </c:pt>
                <c:pt idx="771">
                  <c:v>2.9280739397269349</c:v>
                </c:pt>
                <c:pt idx="772">
                  <c:v>2.6217969008781639</c:v>
                </c:pt>
                <c:pt idx="773">
                  <c:v>3.3965550440804226</c:v>
                </c:pt>
                <c:pt idx="774">
                  <c:v>2.7629558154156824</c:v>
                </c:pt>
                <c:pt idx="775">
                  <c:v>2.6052345587586174</c:v>
                </c:pt>
                <c:pt idx="776">
                  <c:v>2.7034338904737716</c:v>
                </c:pt>
                <c:pt idx="777">
                  <c:v>3.4209437909221059</c:v>
                </c:pt>
                <c:pt idx="778">
                  <c:v>3.367710128748219</c:v>
                </c:pt>
                <c:pt idx="779">
                  <c:v>2.6032407931733195</c:v>
                </c:pt>
                <c:pt idx="780">
                  <c:v>2.3126951224080816</c:v>
                </c:pt>
                <c:pt idx="781">
                  <c:v>2.3683867861046606</c:v>
                </c:pt>
                <c:pt idx="782">
                  <c:v>2.5452360353459165</c:v>
                </c:pt>
                <c:pt idx="783">
                  <c:v>2.4013834192354291</c:v>
                </c:pt>
                <c:pt idx="784">
                  <c:v>3.0150727316191088</c:v>
                </c:pt>
                <c:pt idx="785">
                  <c:v>5.0190677874123768</c:v>
                </c:pt>
                <c:pt idx="786">
                  <c:v>2.9301847321359666</c:v>
                </c:pt>
                <c:pt idx="787">
                  <c:v>3.0347491826854296</c:v>
                </c:pt>
                <c:pt idx="788">
                  <c:v>4.0352435878486155</c:v>
                </c:pt>
                <c:pt idx="789">
                  <c:v>3.5288594228349845</c:v>
                </c:pt>
                <c:pt idx="790">
                  <c:v>2.5618138671036546</c:v>
                </c:pt>
                <c:pt idx="791">
                  <c:v>3.198498318288987</c:v>
                </c:pt>
                <c:pt idx="792">
                  <c:v>3.5078324320740704</c:v>
                </c:pt>
                <c:pt idx="793">
                  <c:v>3.1614415308976263</c:v>
                </c:pt>
                <c:pt idx="794">
                  <c:v>3.2019650984074532</c:v>
                </c:pt>
                <c:pt idx="795">
                  <c:v>3.007887684877474</c:v>
                </c:pt>
                <c:pt idx="796">
                  <c:v>3.4663677817599119</c:v>
                </c:pt>
                <c:pt idx="797">
                  <c:v>3.2516758103251231</c:v>
                </c:pt>
                <c:pt idx="798">
                  <c:v>3.7581264407999955</c:v>
                </c:pt>
                <c:pt idx="799">
                  <c:v>3.441139594825386</c:v>
                </c:pt>
                <c:pt idx="800">
                  <c:v>2.8428048459435828</c:v>
                </c:pt>
                <c:pt idx="801">
                  <c:v>5.0211190080745727</c:v>
                </c:pt>
                <c:pt idx="802">
                  <c:v>3.747259571889451</c:v>
                </c:pt>
                <c:pt idx="803">
                  <c:v>3.0559947978898321</c:v>
                </c:pt>
                <c:pt idx="804">
                  <c:v>4.3554179626926217</c:v>
                </c:pt>
                <c:pt idx="805">
                  <c:v>1.9284254707607085</c:v>
                </c:pt>
                <c:pt idx="806">
                  <c:v>2.2274718812821286</c:v>
                </c:pt>
                <c:pt idx="807">
                  <c:v>1.6879163183598005</c:v>
                </c:pt>
                <c:pt idx="808">
                  <c:v>3.9966765919130882</c:v>
                </c:pt>
                <c:pt idx="809">
                  <c:v>3.1661081906334099</c:v>
                </c:pt>
                <c:pt idx="810">
                  <c:v>3.0615362999087052</c:v>
                </c:pt>
                <c:pt idx="811">
                  <c:v>3.6393650122818793</c:v>
                </c:pt>
                <c:pt idx="812">
                  <c:v>2.6291219482044985</c:v>
                </c:pt>
                <c:pt idx="813">
                  <c:v>2.4616048070373733</c:v>
                </c:pt>
                <c:pt idx="814">
                  <c:v>2.8024698017761001</c:v>
                </c:pt>
                <c:pt idx="815">
                  <c:v>3.8618660645401253</c:v>
                </c:pt>
                <c:pt idx="816">
                  <c:v>3.7059327418825725</c:v>
                </c:pt>
                <c:pt idx="817">
                  <c:v>3.2125857159022608</c:v>
                </c:pt>
                <c:pt idx="818">
                  <c:v>3.5096623720272144</c:v>
                </c:pt>
                <c:pt idx="819">
                  <c:v>3.8338725547959731</c:v>
                </c:pt>
                <c:pt idx="820">
                  <c:v>2.8441757244055763</c:v>
                </c:pt>
                <c:pt idx="821">
                  <c:v>4.0212804522136034</c:v>
                </c:pt>
                <c:pt idx="822">
                  <c:v>2.1195567826717614</c:v>
                </c:pt>
                <c:pt idx="823">
                  <c:v>3.7887498376682736</c:v>
                </c:pt>
                <c:pt idx="824">
                  <c:v>2.4139840789620512</c:v>
                </c:pt>
                <c:pt idx="825">
                  <c:v>2.8379530850701804</c:v>
                </c:pt>
                <c:pt idx="826">
                  <c:v>4.3978263180633697</c:v>
                </c:pt>
                <c:pt idx="827">
                  <c:v>1.9973160472045035</c:v>
                </c:pt>
                <c:pt idx="828">
                  <c:v>1.956146187913997</c:v>
                </c:pt>
                <c:pt idx="829">
                  <c:v>3.2944755050789269</c:v>
                </c:pt>
                <c:pt idx="830">
                  <c:v>4.723664926638234</c:v>
                </c:pt>
                <c:pt idx="831">
                  <c:v>2.303847898181866</c:v>
                </c:pt>
                <c:pt idx="832">
                  <c:v>2.640707491598989</c:v>
                </c:pt>
                <c:pt idx="833">
                  <c:v>3.3236734490417761</c:v>
                </c:pt>
                <c:pt idx="834">
                  <c:v>3.1753118870712482</c:v>
                </c:pt>
                <c:pt idx="835">
                  <c:v>3.0412791862153448</c:v>
                </c:pt>
                <c:pt idx="836">
                  <c:v>2.6726522842901685</c:v>
                </c:pt>
                <c:pt idx="837">
                  <c:v>2.1610559404099936</c:v>
                </c:pt>
                <c:pt idx="838">
                  <c:v>3.8301727555973968</c:v>
                </c:pt>
                <c:pt idx="839">
                  <c:v>3.0465110121790175</c:v>
                </c:pt>
                <c:pt idx="840">
                  <c:v>2.5359091598130084</c:v>
                </c:pt>
                <c:pt idx="841">
                  <c:v>2.9237281503492314</c:v>
                </c:pt>
                <c:pt idx="842">
                  <c:v>2.2273448885609022</c:v>
                </c:pt>
                <c:pt idx="843">
                  <c:v>4.1902290019632122</c:v>
                </c:pt>
                <c:pt idx="844">
                  <c:v>2.9892609438503759</c:v>
                </c:pt>
                <c:pt idx="845">
                  <c:v>2.3324571186127034</c:v>
                </c:pt>
                <c:pt idx="846">
                  <c:v>2.9707661036001287</c:v>
                </c:pt>
                <c:pt idx="847">
                  <c:v>3.4281493040096933</c:v>
                </c:pt>
                <c:pt idx="848">
                  <c:v>2.9839983621976085</c:v>
                </c:pt>
                <c:pt idx="849">
                  <c:v>2.4422583397959365</c:v>
                </c:pt>
                <c:pt idx="850">
                  <c:v>3.8779639326239508</c:v>
                </c:pt>
                <c:pt idx="851">
                  <c:v>2.8279092444915137</c:v>
                </c:pt>
                <c:pt idx="852">
                  <c:v>2.7315065659607392</c:v>
                </c:pt>
                <c:pt idx="853">
                  <c:v>3.5950829696327595</c:v>
                </c:pt>
                <c:pt idx="854">
                  <c:v>2.9331065424450165</c:v>
                </c:pt>
                <c:pt idx="855">
                  <c:v>2.7572298455751456</c:v>
                </c:pt>
                <c:pt idx="856">
                  <c:v>2.791439766293907</c:v>
                </c:pt>
                <c:pt idx="857">
                  <c:v>3.371281209404958</c:v>
                </c:pt>
                <c:pt idx="858">
                  <c:v>3.0760303385304617</c:v>
                </c:pt>
                <c:pt idx="859">
                  <c:v>2.5372614919004537</c:v>
                </c:pt>
                <c:pt idx="860">
                  <c:v>4.3584727460003014</c:v>
                </c:pt>
                <c:pt idx="861">
                  <c:v>4.1277813123492173</c:v>
                </c:pt>
                <c:pt idx="862">
                  <c:v>4.3994486611859678</c:v>
                </c:pt>
                <c:pt idx="863">
                  <c:v>3.2425416459148568</c:v>
                </c:pt>
                <c:pt idx="864">
                  <c:v>2.4966157372146665</c:v>
                </c:pt>
                <c:pt idx="865">
                  <c:v>3.4253523313169003</c:v>
                </c:pt>
                <c:pt idx="866">
                  <c:v>3.0558305602406071</c:v>
                </c:pt>
                <c:pt idx="867">
                  <c:v>2.4075472889097771</c:v>
                </c:pt>
                <c:pt idx="868">
                  <c:v>2.3845893814099495</c:v>
                </c:pt>
                <c:pt idx="869">
                  <c:v>3.7832145589655308</c:v>
                </c:pt>
                <c:pt idx="870">
                  <c:v>2.1894820216465085</c:v>
                </c:pt>
                <c:pt idx="871">
                  <c:v>3.0100574362087746</c:v>
                </c:pt>
                <c:pt idx="872">
                  <c:v>3.724429315027153</c:v>
                </c:pt>
                <c:pt idx="873">
                  <c:v>2.4811921635457055</c:v>
                </c:pt>
                <c:pt idx="874">
                  <c:v>3.52445483175857</c:v>
                </c:pt>
                <c:pt idx="875">
                  <c:v>3.5926954274093226</c:v>
                </c:pt>
                <c:pt idx="876">
                  <c:v>3.7596041047990765</c:v>
                </c:pt>
                <c:pt idx="877">
                  <c:v>1.7696027736399755</c:v>
                </c:pt>
                <c:pt idx="878">
                  <c:v>3.6083124788164458</c:v>
                </c:pt>
                <c:pt idx="879">
                  <c:v>2.9238376200805831</c:v>
                </c:pt>
                <c:pt idx="880">
                  <c:v>2.897347940629313</c:v>
                </c:pt>
                <c:pt idx="881">
                  <c:v>3.9578323580566352</c:v>
                </c:pt>
                <c:pt idx="882">
                  <c:v>3.4842270268043745</c:v>
                </c:pt>
                <c:pt idx="883">
                  <c:v>3.950469747714072</c:v>
                </c:pt>
                <c:pt idx="884">
                  <c:v>2.0829369339843069</c:v>
                </c:pt>
                <c:pt idx="885">
                  <c:v>2.143812825974448</c:v>
                </c:pt>
                <c:pt idx="886">
                  <c:v>3.8903964997796554</c:v>
                </c:pt>
                <c:pt idx="887">
                  <c:v>3.5152464686917853</c:v>
                </c:pt>
                <c:pt idx="888">
                  <c:v>2.5767801173247089</c:v>
                </c:pt>
                <c:pt idx="889">
                  <c:v>3.1194377112031892</c:v>
                </c:pt>
                <c:pt idx="890">
                  <c:v>3.2324143750472709</c:v>
                </c:pt>
                <c:pt idx="891">
                  <c:v>2.7899427412482636</c:v>
                </c:pt>
                <c:pt idx="892">
                  <c:v>3.0140834411806035</c:v>
                </c:pt>
                <c:pt idx="893">
                  <c:v>2.6758740225189479</c:v>
                </c:pt>
                <c:pt idx="894">
                  <c:v>3.5125196892712212</c:v>
                </c:pt>
                <c:pt idx="895">
                  <c:v>3.4876879474630305</c:v>
                </c:pt>
                <c:pt idx="896">
                  <c:v>3.1851931424372735</c:v>
                </c:pt>
                <c:pt idx="897">
                  <c:v>1.8532448426928991</c:v>
                </c:pt>
                <c:pt idx="898">
                  <c:v>3.250397020694197</c:v>
                </c:pt>
                <c:pt idx="899">
                  <c:v>3.6241635584900784</c:v>
                </c:pt>
                <c:pt idx="900">
                  <c:v>2.3424188610666534</c:v>
                </c:pt>
                <c:pt idx="901">
                  <c:v>2.6774947770209523</c:v>
                </c:pt>
                <c:pt idx="902">
                  <c:v>3.1302895686478354</c:v>
                </c:pt>
                <c:pt idx="903">
                  <c:v>2.5203711247260503</c:v>
                </c:pt>
                <c:pt idx="904">
                  <c:v>3.0048460708700429</c:v>
                </c:pt>
                <c:pt idx="905">
                  <c:v>3.8549111121933519</c:v>
                </c:pt>
                <c:pt idx="906">
                  <c:v>2.9199965021762946</c:v>
                </c:pt>
                <c:pt idx="907">
                  <c:v>2.760001336311348</c:v>
                </c:pt>
                <c:pt idx="908">
                  <c:v>3.9979542184624099</c:v>
                </c:pt>
                <c:pt idx="909">
                  <c:v>4.1893872632722697</c:v>
                </c:pt>
                <c:pt idx="910">
                  <c:v>2.9725093592573599</c:v>
                </c:pt>
                <c:pt idx="911">
                  <c:v>3.3677005215581377</c:v>
                </c:pt>
                <c:pt idx="912">
                  <c:v>2.2845930702042603</c:v>
                </c:pt>
                <c:pt idx="913">
                  <c:v>4.0026532609429122</c:v>
                </c:pt>
                <c:pt idx="914">
                  <c:v>3.9346475989862553</c:v>
                </c:pt>
                <c:pt idx="915">
                  <c:v>3.7316862279689849</c:v>
                </c:pt>
                <c:pt idx="916">
                  <c:v>2.6507805490189558</c:v>
                </c:pt>
                <c:pt idx="917">
                  <c:v>1.7198566801277004</c:v>
                </c:pt>
                <c:pt idx="918">
                  <c:v>2.2087881463959009</c:v>
                </c:pt>
                <c:pt idx="919">
                  <c:v>3.0524505369706434</c:v>
                </c:pt>
                <c:pt idx="920">
                  <c:v>3.8861691935866638</c:v>
                </c:pt>
                <c:pt idx="921">
                  <c:v>2.4665656172520487</c:v>
                </c:pt>
                <c:pt idx="922">
                  <c:v>4.0413786825522484</c:v>
                </c:pt>
                <c:pt idx="923">
                  <c:v>2.6670730503809779</c:v>
                </c:pt>
                <c:pt idx="924">
                  <c:v>4.9226324511647483</c:v>
                </c:pt>
                <c:pt idx="925">
                  <c:v>3.1116211894238797</c:v>
                </c:pt>
                <c:pt idx="926">
                  <c:v>3.1299786413032016</c:v>
                </c:pt>
                <c:pt idx="927">
                  <c:v>3.7380045615167918</c:v>
                </c:pt>
                <c:pt idx="928">
                  <c:v>4.079151725116116</c:v>
                </c:pt>
                <c:pt idx="929">
                  <c:v>3.3321433519747572</c:v>
                </c:pt>
                <c:pt idx="930">
                  <c:v>3.1843465483240103</c:v>
                </c:pt>
                <c:pt idx="931">
                  <c:v>1.8410398453540071</c:v>
                </c:pt>
                <c:pt idx="932">
                  <c:v>2.2656402956063504</c:v>
                </c:pt>
                <c:pt idx="933">
                  <c:v>3.1557536973186533</c:v>
                </c:pt>
                <c:pt idx="934">
                  <c:v>3.1647876085468294</c:v>
                </c:pt>
                <c:pt idx="935">
                  <c:v>2.9612186550472712</c:v>
                </c:pt>
                <c:pt idx="936">
                  <c:v>2.1299030370538388</c:v>
                </c:pt>
                <c:pt idx="937">
                  <c:v>3.5395483780187069</c:v>
                </c:pt>
                <c:pt idx="938">
                  <c:v>2.6911224931939559</c:v>
                </c:pt>
                <c:pt idx="939">
                  <c:v>2.6954347982729212</c:v>
                </c:pt>
                <c:pt idx="940">
                  <c:v>2.8589085152371574</c:v>
                </c:pt>
                <c:pt idx="941">
                  <c:v>2.9396757393751356</c:v>
                </c:pt>
                <c:pt idx="942">
                  <c:v>3.199274224730388</c:v>
                </c:pt>
                <c:pt idx="943">
                  <c:v>2.7826782788598727</c:v>
                </c:pt>
                <c:pt idx="944">
                  <c:v>2.8746689917221122</c:v>
                </c:pt>
                <c:pt idx="945">
                  <c:v>3.7979839813284402</c:v>
                </c:pt>
                <c:pt idx="946">
                  <c:v>2.1820301978531758</c:v>
                </c:pt>
                <c:pt idx="947">
                  <c:v>4.4929173363204873</c:v>
                </c:pt>
                <c:pt idx="948">
                  <c:v>3.4489533121649387</c:v>
                </c:pt>
                <c:pt idx="949">
                  <c:v>2.3916516300758688</c:v>
                </c:pt>
                <c:pt idx="950">
                  <c:v>2.9862015442586491</c:v>
                </c:pt>
                <c:pt idx="951">
                  <c:v>2.7225469838281411</c:v>
                </c:pt>
                <c:pt idx="952">
                  <c:v>1.8657466054807101</c:v>
                </c:pt>
                <c:pt idx="953">
                  <c:v>3.1757270581076331</c:v>
                </c:pt>
                <c:pt idx="954">
                  <c:v>2.9721682937292639</c:v>
                </c:pt>
                <c:pt idx="955">
                  <c:v>3.964422897219543</c:v>
                </c:pt>
                <c:pt idx="956">
                  <c:v>2.4945188985607913</c:v>
                </c:pt>
                <c:pt idx="957">
                  <c:v>3.5764577275106308</c:v>
                </c:pt>
                <c:pt idx="958">
                  <c:v>4.1448205419548803</c:v>
                </c:pt>
                <c:pt idx="959">
                  <c:v>2.1353212718740666</c:v>
                </c:pt>
                <c:pt idx="960">
                  <c:v>3.9962708669427744</c:v>
                </c:pt>
                <c:pt idx="961">
                  <c:v>5.0011851835828853</c:v>
                </c:pt>
                <c:pt idx="962">
                  <c:v>2.5162554027501995</c:v>
                </c:pt>
                <c:pt idx="963">
                  <c:v>3.8728563185021487</c:v>
                </c:pt>
                <c:pt idx="964">
                  <c:v>2.1649954808769998</c:v>
                </c:pt>
                <c:pt idx="965">
                  <c:v>2.5904211915913349</c:v>
                </c:pt>
                <c:pt idx="966">
                  <c:v>2.7454645498250438</c:v>
                </c:pt>
                <c:pt idx="967">
                  <c:v>4.2355812740986583</c:v>
                </c:pt>
                <c:pt idx="968">
                  <c:v>4.1450003527690615</c:v>
                </c:pt>
                <c:pt idx="969">
                  <c:v>3.2456989535418721</c:v>
                </c:pt>
                <c:pt idx="970">
                  <c:v>2.7093299618958975</c:v>
                </c:pt>
                <c:pt idx="971">
                  <c:v>3.9921689750439819</c:v>
                </c:pt>
                <c:pt idx="972">
                  <c:v>3.2062966247317957</c:v>
                </c:pt>
                <c:pt idx="973">
                  <c:v>2.7205508727324501</c:v>
                </c:pt>
                <c:pt idx="974">
                  <c:v>4.8645172458851569</c:v>
                </c:pt>
                <c:pt idx="975">
                  <c:v>2.5212321626766325</c:v>
                </c:pt>
                <c:pt idx="976">
                  <c:v>3.432438448146367</c:v>
                </c:pt>
                <c:pt idx="977">
                  <c:v>3.0453456301558002</c:v>
                </c:pt>
                <c:pt idx="978">
                  <c:v>3.7961265737599259</c:v>
                </c:pt>
                <c:pt idx="979">
                  <c:v>3.0460183552972548</c:v>
                </c:pt>
                <c:pt idx="980">
                  <c:v>3.3999973062327085</c:v>
                </c:pt>
                <c:pt idx="981">
                  <c:v>3.4364615617190664</c:v>
                </c:pt>
                <c:pt idx="982">
                  <c:v>2.7942213546151171</c:v>
                </c:pt>
                <c:pt idx="983">
                  <c:v>3.0598670146396412</c:v>
                </c:pt>
                <c:pt idx="984">
                  <c:v>2.5350008806113209</c:v>
                </c:pt>
                <c:pt idx="985">
                  <c:v>3.9684282866312777</c:v>
                </c:pt>
                <c:pt idx="986">
                  <c:v>2.1293478569554907</c:v>
                </c:pt>
                <c:pt idx="987">
                  <c:v>2.9287835665357074</c:v>
                </c:pt>
                <c:pt idx="988">
                  <c:v>2.8960657863673651</c:v>
                </c:pt>
                <c:pt idx="989">
                  <c:v>3.4838113272507965</c:v>
                </c:pt>
                <c:pt idx="990">
                  <c:v>4.2082867316707029</c:v>
                </c:pt>
                <c:pt idx="991">
                  <c:v>3.1166924552044142</c:v>
                </c:pt>
                <c:pt idx="992">
                  <c:v>3.5831221072990029</c:v>
                </c:pt>
                <c:pt idx="993">
                  <c:v>2.5560014826353479</c:v>
                </c:pt>
                <c:pt idx="994">
                  <c:v>3.6323545719504144</c:v>
                </c:pt>
                <c:pt idx="995">
                  <c:v>4.2443141719227446</c:v>
                </c:pt>
                <c:pt idx="996">
                  <c:v>2.377307929334195</c:v>
                </c:pt>
                <c:pt idx="997">
                  <c:v>2.8655815107643461</c:v>
                </c:pt>
                <c:pt idx="998">
                  <c:v>2.9904176647302778</c:v>
                </c:pt>
                <c:pt idx="999">
                  <c:v>3.2930981681672367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55-42BD-820F-81FA0F850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459104"/>
        <c:axId val="809460064"/>
      </c:scatterChart>
      <c:valAx>
        <c:axId val="809459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Temperature_C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460064"/>
        <c:crosses val="autoZero"/>
        <c:crossBetween val="midCat"/>
      </c:valAx>
      <c:valAx>
        <c:axId val="809460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Energy_kWh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94591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Temperature vs Energy Consumption</a:t>
            </a:r>
            <a:endParaRPr lang="en-US"/>
          </a:p>
        </c:rich>
      </c:tx>
      <c:layout>
        <c:manualLayout>
          <c:xMode val="edge"/>
          <c:yMode val="edge"/>
          <c:x val="0.19849300087489066"/>
          <c:y val="2.768166089965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BuildingData_Clean!$F$1</c:f>
              <c:strCache>
                <c:ptCount val="1"/>
                <c:pt idx="0">
                  <c:v>Temperature_C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BuildingData_Clean!$F$2:$F$1499</c:f>
              <c:numCache>
                <c:formatCode>General</c:formatCode>
                <c:ptCount val="60"/>
                <c:pt idx="0">
                  <c:v>22.644535757458691</c:v>
                </c:pt>
                <c:pt idx="1">
                  <c:v>23.151609116387451</c:v>
                </c:pt>
                <c:pt idx="2">
                  <c:v>22.22386162040517</c:v>
                </c:pt>
                <c:pt idx="3">
                  <c:v>22.737923186002011</c:v>
                </c:pt>
                <c:pt idx="4">
                  <c:v>20.855721976028789</c:v>
                </c:pt>
                <c:pt idx="5">
                  <c:v>24.023848182058551</c:v>
                </c:pt>
                <c:pt idx="6">
                  <c:v>21.3551601352356</c:v>
                </c:pt>
                <c:pt idx="7">
                  <c:v>22.96050181293074</c:v>
                </c:pt>
                <c:pt idx="8">
                  <c:v>26.499167808410839</c:v>
                </c:pt>
                <c:pt idx="9">
                  <c:v>23.999370220605869</c:v>
                </c:pt>
                <c:pt idx="10">
                  <c:v>19.893735893262338</c:v>
                </c:pt>
                <c:pt idx="11">
                  <c:v>26.067709882064349</c:v>
                </c:pt>
                <c:pt idx="12">
                  <c:v>23.39226291804782</c:v>
                </c:pt>
                <c:pt idx="13">
                  <c:v>22.251639448019631</c:v>
                </c:pt>
                <c:pt idx="14">
                  <c:v>25.736196963527629</c:v>
                </c:pt>
                <c:pt idx="15">
                  <c:v>23.693419955209841</c:v>
                </c:pt>
                <c:pt idx="16">
                  <c:v>24.840022920010789</c:v>
                </c:pt>
                <c:pt idx="17">
                  <c:v>18.844376360287601</c:v>
                </c:pt>
                <c:pt idx="18">
                  <c:v>23.79159769741949</c:v>
                </c:pt>
                <c:pt idx="19">
                  <c:v>22.589543234888382</c:v>
                </c:pt>
                <c:pt idx="20">
                  <c:v>23.090982952661509</c:v>
                </c:pt>
                <c:pt idx="21">
                  <c:v>22.125585106104229</c:v>
                </c:pt>
                <c:pt idx="22">
                  <c:v>23.168933572779899</c:v>
                </c:pt>
                <c:pt idx="23">
                  <c:v>20.216083238096541</c:v>
                </c:pt>
                <c:pt idx="24">
                  <c:v>22.45517996679262</c:v>
                </c:pt>
                <c:pt idx="25">
                  <c:v>23.825961131050089</c:v>
                </c:pt>
                <c:pt idx="26">
                  <c:v>22.949011742829601</c:v>
                </c:pt>
                <c:pt idx="27">
                  <c:v>23.50741343898363</c:v>
                </c:pt>
                <c:pt idx="28">
                  <c:v>21.367690021943911</c:v>
                </c:pt>
                <c:pt idx="29">
                  <c:v>21.258891288707691</c:v>
                </c:pt>
                <c:pt idx="30">
                  <c:v>25.211429151686591</c:v>
                </c:pt>
                <c:pt idx="31">
                  <c:v>25.019910993414161</c:v>
                </c:pt>
                <c:pt idx="32">
                  <c:v>28.333810444640019</c:v>
                </c:pt>
                <c:pt idx="33">
                  <c:v>23.403160228399191</c:v>
                </c:pt>
                <c:pt idx="34">
                  <c:v>22.885205072426409</c:v>
                </c:pt>
                <c:pt idx="35">
                  <c:v>23.318354231845159</c:v>
                </c:pt>
                <c:pt idx="36">
                  <c:v>24.890623542471729</c:v>
                </c:pt>
                <c:pt idx="37">
                  <c:v>23.08379184230855</c:v>
                </c:pt>
                <c:pt idx="38">
                  <c:v>22.038851173595049</c:v>
                </c:pt>
                <c:pt idx="39">
                  <c:v>22.823253424947211</c:v>
                </c:pt>
                <c:pt idx="40">
                  <c:v>20.3419847255531</c:v>
                </c:pt>
                <c:pt idx="41">
                  <c:v>18.291034154606791</c:v>
                </c:pt>
                <c:pt idx="42">
                  <c:v>22.281733955405841</c:v>
                </c:pt>
                <c:pt idx="43">
                  <c:v>25.314489095462051</c:v>
                </c:pt>
                <c:pt idx="44">
                  <c:v>23.57277348791078</c:v>
                </c:pt>
                <c:pt idx="45">
                  <c:v>21.289034608148839</c:v>
                </c:pt>
                <c:pt idx="46">
                  <c:v>25.4747395871272</c:v>
                </c:pt>
                <c:pt idx="47">
                  <c:v>21.545605102813852</c:v>
                </c:pt>
                <c:pt idx="48">
                  <c:v>24.580782153070938</c:v>
                </c:pt>
                <c:pt idx="49">
                  <c:v>22.225236509970571</c:v>
                </c:pt>
                <c:pt idx="50">
                  <c:v>20.606969903698129</c:v>
                </c:pt>
                <c:pt idx="51">
                  <c:v>22.49372010107939</c:v>
                </c:pt>
                <c:pt idx="52">
                  <c:v>25.346458182587</c:v>
                </c:pt>
                <c:pt idx="53">
                  <c:v>20.759602397117639</c:v>
                </c:pt>
                <c:pt idx="54">
                  <c:v>24.888954264397</c:v>
                </c:pt>
                <c:pt idx="55">
                  <c:v>20.706789607308959</c:v>
                </c:pt>
                <c:pt idx="56">
                  <c:v>25.230500986563559</c:v>
                </c:pt>
                <c:pt idx="57">
                  <c:v>23.28640438499276</c:v>
                </c:pt>
                <c:pt idx="58">
                  <c:v>21.301165060567389</c:v>
                </c:pt>
                <c:pt idx="59">
                  <c:v>26.512755975255981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19-4209-8854-F75349789990}"/>
            </c:ext>
          </c:extLst>
        </c:ser>
        <c:ser>
          <c:idx val="1"/>
          <c:order val="1"/>
          <c:tx>
            <c:strRef>
              <c:f>BuildingData_Clean!$H$2</c:f>
              <c:strCache>
                <c:ptCount val="1"/>
                <c:pt idx="0">
                  <c:v>2.84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BuildingData_Clean!$H$3:$H$1499</c:f>
              <c:numCache>
                <c:formatCode>General</c:formatCode>
                <c:ptCount val="60"/>
                <c:pt idx="0">
                  <c:v>2.52</c:v>
                </c:pt>
                <c:pt idx="1">
                  <c:v>3.52</c:v>
                </c:pt>
                <c:pt idx="2">
                  <c:v>3.13</c:v>
                </c:pt>
                <c:pt idx="3">
                  <c:v>2.0499999999999998</c:v>
                </c:pt>
                <c:pt idx="4">
                  <c:v>1.85</c:v>
                </c:pt>
                <c:pt idx="5">
                  <c:v>2.5499999999999998</c:v>
                </c:pt>
                <c:pt idx="6">
                  <c:v>2.48</c:v>
                </c:pt>
                <c:pt idx="7">
                  <c:v>2.5499999999999998</c:v>
                </c:pt>
                <c:pt idx="8">
                  <c:v>3.39</c:v>
                </c:pt>
                <c:pt idx="9">
                  <c:v>2.99</c:v>
                </c:pt>
                <c:pt idx="10">
                  <c:v>2.2799999999999998</c:v>
                </c:pt>
                <c:pt idx="11">
                  <c:v>3.7</c:v>
                </c:pt>
                <c:pt idx="12">
                  <c:v>2.74</c:v>
                </c:pt>
                <c:pt idx="13">
                  <c:v>3.79</c:v>
                </c:pt>
                <c:pt idx="14">
                  <c:v>3.01</c:v>
                </c:pt>
                <c:pt idx="15">
                  <c:v>4.3099999999999996</c:v>
                </c:pt>
                <c:pt idx="16">
                  <c:v>2.39</c:v>
                </c:pt>
                <c:pt idx="17">
                  <c:v>3.43</c:v>
                </c:pt>
                <c:pt idx="18">
                  <c:v>2.4</c:v>
                </c:pt>
                <c:pt idx="19">
                  <c:v>1.79</c:v>
                </c:pt>
                <c:pt idx="20">
                  <c:v>3.13</c:v>
                </c:pt>
                <c:pt idx="21">
                  <c:v>2.58</c:v>
                </c:pt>
                <c:pt idx="22">
                  <c:v>3.65</c:v>
                </c:pt>
                <c:pt idx="23">
                  <c:v>3.83</c:v>
                </c:pt>
                <c:pt idx="24">
                  <c:v>2.99</c:v>
                </c:pt>
                <c:pt idx="25">
                  <c:v>2.99</c:v>
                </c:pt>
                <c:pt idx="26">
                  <c:v>3.63</c:v>
                </c:pt>
                <c:pt idx="27">
                  <c:v>2.76</c:v>
                </c:pt>
                <c:pt idx="28">
                  <c:v>2.71</c:v>
                </c:pt>
                <c:pt idx="29">
                  <c:v>3.21</c:v>
                </c:pt>
                <c:pt idx="30">
                  <c:v>2.69</c:v>
                </c:pt>
                <c:pt idx="31">
                  <c:v>3.1</c:v>
                </c:pt>
                <c:pt idx="32">
                  <c:v>3.78</c:v>
                </c:pt>
                <c:pt idx="33">
                  <c:v>2.79</c:v>
                </c:pt>
                <c:pt idx="34">
                  <c:v>2.92</c:v>
                </c:pt>
                <c:pt idx="35">
                  <c:v>2.54</c:v>
                </c:pt>
                <c:pt idx="36">
                  <c:v>2.3199999999999998</c:v>
                </c:pt>
                <c:pt idx="37">
                  <c:v>2.5</c:v>
                </c:pt>
                <c:pt idx="38">
                  <c:v>2.4900000000000002</c:v>
                </c:pt>
                <c:pt idx="39">
                  <c:v>3.59</c:v>
                </c:pt>
                <c:pt idx="40">
                  <c:v>2.08</c:v>
                </c:pt>
                <c:pt idx="41">
                  <c:v>5.1100000000000003</c:v>
                </c:pt>
                <c:pt idx="42">
                  <c:v>3.48</c:v>
                </c:pt>
                <c:pt idx="43">
                  <c:v>2.75</c:v>
                </c:pt>
                <c:pt idx="44">
                  <c:v>2.48</c:v>
                </c:pt>
                <c:pt idx="45">
                  <c:v>2.57</c:v>
                </c:pt>
                <c:pt idx="46">
                  <c:v>3.74</c:v>
                </c:pt>
                <c:pt idx="47">
                  <c:v>2.3199999999999998</c:v>
                </c:pt>
                <c:pt idx="48">
                  <c:v>2.34</c:v>
                </c:pt>
                <c:pt idx="49">
                  <c:v>3.81</c:v>
                </c:pt>
                <c:pt idx="50">
                  <c:v>3.53</c:v>
                </c:pt>
                <c:pt idx="51">
                  <c:v>2.86</c:v>
                </c:pt>
                <c:pt idx="52">
                  <c:v>3.05</c:v>
                </c:pt>
                <c:pt idx="53">
                  <c:v>2.27</c:v>
                </c:pt>
                <c:pt idx="54">
                  <c:v>3.86</c:v>
                </c:pt>
                <c:pt idx="55">
                  <c:v>4.08</c:v>
                </c:pt>
                <c:pt idx="56">
                  <c:v>2.7</c:v>
                </c:pt>
                <c:pt idx="57">
                  <c:v>2.8</c:v>
                </c:pt>
                <c:pt idx="58">
                  <c:v>3.2</c:v>
                </c:pt>
                <c:pt idx="59">
                  <c:v>2.19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19-4209-8854-F75349789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715664"/>
        <c:axId val="1138709904"/>
      </c:scatterChart>
      <c:valAx>
        <c:axId val="113871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709904"/>
        <c:crosses val="autoZero"/>
        <c:crossBetween val="midCat"/>
      </c:valAx>
      <c:valAx>
        <c:axId val="113870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715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[Smart_building_energy_Consumption_Model.xlsx]Pivot Table!PivotTable3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Energy Consumption by Shift Period</a:t>
            </a:r>
            <a:endParaRPr lang="en-US"/>
          </a:p>
        </c:rich>
      </c:tx>
      <c:layout>
        <c:manualLayout>
          <c:xMode val="edge"/>
          <c:yMode val="edge"/>
          <c:x val="0.1832292213473315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Table'!$A$14:$A$18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'Pivot Table'!$B$14:$B$18</c:f>
              <c:numCache>
                <c:formatCode>General</c:formatCode>
                <c:ptCount val="4"/>
                <c:pt idx="0">
                  <c:v>3.0115806451612896</c:v>
                </c:pt>
                <c:pt idx="1">
                  <c:v>3.1141295546558716</c:v>
                </c:pt>
                <c:pt idx="2">
                  <c:v>3.0121904761904776</c:v>
                </c:pt>
                <c:pt idx="3">
                  <c:v>3.0620447284345067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4-4EA9-B5C0-4034AE037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2207872"/>
        <c:axId val="1262204032"/>
      </c:barChart>
      <c:catAx>
        <c:axId val="126220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204032"/>
        <c:crosses val="autoZero"/>
        <c:auto val="1"/>
        <c:lblAlgn val="ctr"/>
        <c:lblOffset val="100"/>
        <c:noMultiLvlLbl val="0"/>
      </c:catAx>
      <c:valAx>
        <c:axId val="126220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20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Average Energy by Building (kWh)</a:t>
            </a:r>
          </a:p>
        </c:rich>
      </c:tx>
      <c:layout>
        <c:manualLayout>
          <c:xMode val="edge"/>
          <c:yMode val="edge"/>
          <c:x val="0.32784947382866719"/>
          <c:y val="8.39628098379760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B01</c:v>
              </c:pt>
              <c:pt idx="1">
                <c:v>B02</c:v>
              </c:pt>
              <c:pt idx="2">
                <c:v>B03</c:v>
              </c:pt>
              <c:pt idx="3">
                <c:v>B04</c:v>
              </c:pt>
              <c:pt idx="4">
                <c:v>B05</c:v>
              </c:pt>
            </c:strLit>
          </c:cat>
          <c:val>
            <c:numLit>
              <c:formatCode>General</c:formatCode>
              <c:ptCount val="5"/>
              <c:pt idx="0">
                <c:v>3.0834374999999992</c:v>
              </c:pt>
              <c:pt idx="1">
                <c:v>3.0155944055944044</c:v>
              </c:pt>
              <c:pt idx="2">
                <c:v>3.07851851851852</c:v>
              </c:pt>
              <c:pt idx="3">
                <c:v>2.989273927392738</c:v>
              </c:pt>
              <c:pt idx="4">
                <c:v>3.0795547945205501</c:v>
              </c:pt>
            </c:numLit>
          </c:val>
          <c:extLst>
            <c:ext xmlns:c16="http://schemas.microsoft.com/office/drawing/2014/chart" uri="{C3380CC4-5D6E-409C-BE32-E72D297353CC}">
              <c16:uniqueId val="{00000000-8225-4B1C-A330-DCCCA5B90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9899728"/>
        <c:axId val="1629897328"/>
      </c:barChart>
      <c:catAx>
        <c:axId val="162989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897328"/>
        <c:crosses val="autoZero"/>
        <c:auto val="1"/>
        <c:lblAlgn val="ctr"/>
        <c:lblOffset val="100"/>
        <c:noMultiLvlLbl val="0"/>
      </c:catAx>
      <c:valAx>
        <c:axId val="1629897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8997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2075D"/>
    </a:solidFill>
    <a:ln w="9525" cap="flat" cmpd="sng" algn="ctr">
      <a:solidFill>
        <a:srgbClr val="2E75B6"/>
      </a:solidFill>
      <a:round/>
    </a:ln>
    <a:effectLst/>
  </c:spPr>
  <c:txPr>
    <a:bodyPr/>
    <a:lstStyle/>
    <a:p>
      <a:pPr>
        <a:defRPr>
          <a:solidFill>
            <a:srgbClr val="D9D9D9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Energy Consumption by Shift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2809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028090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Afternoon</c:v>
              </c:pt>
              <c:pt idx="1">
                <c:v>Evening</c:v>
              </c:pt>
              <c:pt idx="2">
                <c:v>Morning</c:v>
              </c:pt>
              <c:pt idx="3">
                <c:v>Night</c:v>
              </c:pt>
            </c:strLit>
          </c:cat>
          <c:val>
            <c:numLit>
              <c:formatCode>General</c:formatCode>
              <c:ptCount val="4"/>
              <c:pt idx="0">
                <c:v>3.0115806451612896</c:v>
              </c:pt>
              <c:pt idx="1">
                <c:v>3.1141295546558716</c:v>
              </c:pt>
              <c:pt idx="2">
                <c:v>3.0121904761904776</c:v>
              </c:pt>
              <c:pt idx="3">
                <c:v>3.0620447284345067</c:v>
              </c:pt>
            </c:numLit>
          </c:val>
          <c:extLst>
            <c:ext xmlns:c16="http://schemas.microsoft.com/office/drawing/2014/chart" uri="{C3380CC4-5D6E-409C-BE32-E72D297353CC}">
              <c16:uniqueId val="{00000000-8574-4770-BACC-750265010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966464"/>
        <c:axId val="1970969824"/>
      </c:barChart>
      <c:catAx>
        <c:axId val="197096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969824"/>
        <c:crosses val="autoZero"/>
        <c:auto val="1"/>
        <c:lblAlgn val="ctr"/>
        <c:lblOffset val="100"/>
        <c:noMultiLvlLbl val="0"/>
      </c:catAx>
      <c:valAx>
        <c:axId val="1970969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96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2075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D9D9D9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Energy Consumption by Temperature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100000">
                <a:srgbClr val="0000FF"/>
              </a:gs>
              <a:gs pos="23000">
                <a:schemeClr val="accent2">
                  <a:lumMod val="89000"/>
                </a:schemeClr>
              </a:gs>
              <a:gs pos="69000">
                <a:schemeClr val="accent2">
                  <a:lumMod val="75000"/>
                </a:schemeClr>
              </a:gs>
              <a:gs pos="97000">
                <a:schemeClr val="accent2">
                  <a:lumMod val="7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100000">
                  <a:srgbClr val="0000FF"/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solidFill>
                <a:schemeClr val="bg1"/>
              </a:solidFill>
            </a:ln>
            <a:effectLst/>
          </c:spPr>
          <c:invertIfNegative val="0"/>
          <c:cat>
            <c:strLit>
              <c:ptCount val="8"/>
              <c:pt idx="0">
                <c:v>14–16°C</c:v>
              </c:pt>
              <c:pt idx="1">
                <c:v>16–18°C</c:v>
              </c:pt>
              <c:pt idx="2">
                <c:v>18–20°C</c:v>
              </c:pt>
              <c:pt idx="3">
                <c:v>20–22°C</c:v>
              </c:pt>
              <c:pt idx="4">
                <c:v>22–24°C</c:v>
              </c:pt>
              <c:pt idx="5">
                <c:v>24–26°C</c:v>
              </c:pt>
              <c:pt idx="6">
                <c:v>26–28°C</c:v>
              </c:pt>
              <c:pt idx="7">
                <c:v>28–30°C</c:v>
              </c:pt>
            </c:strLit>
          </c:cat>
          <c:val>
            <c:numLit>
              <c:formatCode>General</c:formatCode>
              <c:ptCount val="8"/>
              <c:pt idx="0">
                <c:v>4.16</c:v>
              </c:pt>
              <c:pt idx="1">
                <c:v>3.6211111111111105</c:v>
              </c:pt>
              <c:pt idx="2">
                <c:v>3.1602325581395361</c:v>
              </c:pt>
              <c:pt idx="3">
                <c:v>2.925623268698061</c:v>
              </c:pt>
              <c:pt idx="4">
                <c:v>2.9687837837837865</c:v>
              </c:pt>
              <c:pt idx="5">
                <c:v>3.146183844011142</c:v>
              </c:pt>
              <c:pt idx="6">
                <c:v>3.5124050632911388</c:v>
              </c:pt>
              <c:pt idx="7">
                <c:v>3.5727272727272732</c:v>
              </c:pt>
            </c:numLit>
          </c:val>
          <c:extLst>
            <c:ext xmlns:c16="http://schemas.microsoft.com/office/drawing/2014/chart" uri="{C3380CC4-5D6E-409C-BE32-E72D297353CC}">
              <c16:uniqueId val="{00000000-8E56-407B-A311-BEFD54C6D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5938176"/>
        <c:axId val="1705925216"/>
      </c:barChart>
      <c:catAx>
        <c:axId val="170593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925216"/>
        <c:crosses val="autoZero"/>
        <c:auto val="1"/>
        <c:lblAlgn val="ctr"/>
        <c:lblOffset val="100"/>
        <c:noMultiLvlLbl val="0"/>
      </c:catAx>
      <c:valAx>
        <c:axId val="1705925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93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2075D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D9D9D9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[Smart_building_energy_Consumption_Model.xlsx]Pivot 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Monthly Energy Trend (Jan–Mar 2026)</a:t>
            </a:r>
          </a:p>
          <a:p>
            <a:pPr algn="ctr" rtl="0"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A500"/>
            </a:solidFill>
            <a:round/>
          </a:ln>
          <a:effectLst/>
        </c:spPr>
        <c:marker>
          <c:symbol val="circle"/>
          <c:size val="8"/>
          <c:spPr>
            <a:solidFill>
              <a:srgbClr val="C55A1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9D9D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34424669530216E-2"/>
          <c:y val="0.19078982135798375"/>
          <c:w val="0.89805176712965684"/>
          <c:h val="0.6632420429155154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C55A1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Table'!$A$33:$A$36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'Pivot Table'!$B$33:$B$36</c:f>
              <c:numCache>
                <c:formatCode>General</c:formatCode>
                <c:ptCount val="3"/>
                <c:pt idx="0">
                  <c:v>3.0152016129032231</c:v>
                </c:pt>
                <c:pt idx="1">
                  <c:v>3.0708196721311487</c:v>
                </c:pt>
                <c:pt idx="2">
                  <c:v>3.1883132530120482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F4-40FE-9417-8E9C7B722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849903"/>
        <c:axId val="1926846063"/>
      </c:lineChart>
      <c:catAx>
        <c:axId val="19268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846063"/>
        <c:crosses val="autoZero"/>
        <c:auto val="1"/>
        <c:lblAlgn val="ctr"/>
        <c:lblOffset val="100"/>
        <c:tickLblSkip val="1"/>
        <c:noMultiLvlLbl val="0"/>
      </c:catAx>
      <c:valAx>
        <c:axId val="1926846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8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2075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D9D9D9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</xdr:row>
      <xdr:rowOff>19050</xdr:rowOff>
    </xdr:from>
    <xdr:to>
      <xdr:col>8</xdr:col>
      <xdr:colOff>38100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6BD8A9-3280-4F32-B7F5-0B85D9357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400050</xdr:colOff>
      <xdr:row>15</xdr:row>
      <xdr:rowOff>57150</xdr:rowOff>
    </xdr:from>
    <xdr:to>
      <xdr:col>31</xdr:col>
      <xdr:colOff>200025</xdr:colOff>
      <xdr:row>31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D08142-933E-9A55-54B4-E329D200E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609599</xdr:colOff>
      <xdr:row>0</xdr:row>
      <xdr:rowOff>66675</xdr:rowOff>
    </xdr:from>
    <xdr:to>
      <xdr:col>28</xdr:col>
      <xdr:colOff>333374</xdr:colOff>
      <xdr:row>15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DE1258-2CFB-913F-5EF2-DBDDE3433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1</xdr:row>
      <xdr:rowOff>4762</xdr:rowOff>
    </xdr:from>
    <xdr:to>
      <xdr:col>9</xdr:col>
      <xdr:colOff>357187</xdr:colOff>
      <xdr:row>15</xdr:row>
      <xdr:rowOff>90487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C36F5DC-991F-28E1-ABE4-B3652BBE3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</xdr:colOff>
      <xdr:row>0</xdr:row>
      <xdr:rowOff>185737</xdr:rowOff>
    </xdr:from>
    <xdr:to>
      <xdr:col>17</xdr:col>
      <xdr:colOff>323850</xdr:colOff>
      <xdr:row>15</xdr:row>
      <xdr:rowOff>71437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4BE9EFB5-9260-78CB-C5A9-E0B1A9A92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15</xdr:row>
      <xdr:rowOff>14287</xdr:rowOff>
    </xdr:from>
    <xdr:to>
      <xdr:col>16</xdr:col>
      <xdr:colOff>9524</xdr:colOff>
      <xdr:row>29</xdr:row>
      <xdr:rowOff>238125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0952D9-B274-59EE-C5E5-818D360C8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23812</xdr:colOff>
      <xdr:row>15</xdr:row>
      <xdr:rowOff>4761</xdr:rowOff>
    </xdr:from>
    <xdr:to>
      <xdr:col>24</xdr:col>
      <xdr:colOff>28576</xdr:colOff>
      <xdr:row>30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D7B346-B34C-5994-353B-092BC8F39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33337</xdr:colOff>
      <xdr:row>31</xdr:row>
      <xdr:rowOff>14286</xdr:rowOff>
    </xdr:from>
    <xdr:to>
      <xdr:col>23</xdr:col>
      <xdr:colOff>838200</xdr:colOff>
      <xdr:row>45</xdr:row>
      <xdr:rowOff>247649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03A9B2-E1F2-B187-AF65-5ACD50BE4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2198</xdr:colOff>
      <xdr:row>30</xdr:row>
      <xdr:rowOff>239222</xdr:rowOff>
    </xdr:from>
    <xdr:to>
      <xdr:col>16</xdr:col>
      <xdr:colOff>29307</xdr:colOff>
      <xdr:row>45</xdr:row>
      <xdr:rowOff>241788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2B04B2-AA73-A68C-E2B3-6F71A5979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uglas Titus" refreshedDate="46114.203786226855" createdVersion="8" refreshedVersion="8" minRefreshableVersion="3" recordCount="1498" xr:uid="{A485A724-F254-43B6-BA44-7431496F53AB}">
  <cacheSource type="worksheet">
    <worksheetSource name="FinalData"/>
  </cacheSource>
  <cacheFields count="16">
    <cacheField name="Timestamp" numFmtId="22">
      <sharedItems containsSemiMixedTypes="0" containsNonDate="0" containsDate="1" containsString="0" minDate="2026-01-01T00:00:00" maxDate="2026-03-05T00:00:00"/>
    </cacheField>
    <cacheField name="BuildingID" numFmtId="0">
      <sharedItems count="5">
        <s v="B03"/>
        <s v="B02"/>
        <s v="B01"/>
        <s v="B04"/>
        <s v="B05"/>
      </sharedItems>
    </cacheField>
    <cacheField name="RoomID" numFmtId="0">
      <sharedItems/>
    </cacheField>
    <cacheField name="Occupancy" numFmtId="0">
      <sharedItems containsSemiMixedTypes="0" containsString="0" containsNumber="1" containsInteger="1" minValue="0" maxValue="17"/>
    </cacheField>
    <cacheField name="RoomCapacity" numFmtId="0">
      <sharedItems containsSemiMixedTypes="0" containsString="0" containsNumber="1" containsInteger="1" minValue="20" maxValue="40"/>
    </cacheField>
    <cacheField name="Temperature_C" numFmtId="0">
      <sharedItems containsSemiMixedTypes="0" containsString="0" containsNumber="1" minValue="15.15519949676332" maxValue="29.754765838165291"/>
    </cacheField>
    <cacheField name="Temp_Bin" numFmtId="0">
      <sharedItems/>
    </cacheField>
    <cacheField name="Energy_kWh" numFmtId="0">
      <sharedItems containsSemiMixedTypes="0" containsString="0" containsNumber="1" minValue="0.64" maxValue="5.88"/>
    </cacheField>
    <cacheField name="Year" numFmtId="0">
      <sharedItems containsSemiMixedTypes="0" containsString="0" containsNumber="1" containsInteger="1" minValue="2026" maxValue="2026"/>
    </cacheField>
    <cacheField name="Month" numFmtId="0">
      <sharedItems containsSemiMixedTypes="0" containsString="0" containsNumber="1" containsInteger="1" minValue="1" maxValue="3" count="3">
        <n v="1"/>
        <n v="2"/>
        <n v="3"/>
      </sharedItems>
    </cacheField>
    <cacheField name="Day" numFmtId="0">
      <sharedItems containsSemiMixedTypes="0" containsString="0" containsNumber="1" containsInteger="1" minValue="1" maxValue="31"/>
    </cacheField>
    <cacheField name="Day of Week" numFmtId="0">
      <sharedItems containsSemiMixedTypes="0" containsString="0" containsNumber="1" containsInteger="1" minValue="0" maxValue="6"/>
    </cacheField>
    <cacheField name="Hour" numFmtId="0">
      <sharedItems containsSemiMixedTypes="0" containsString="0" containsNumber="1" containsInteger="1" minValue="0" maxValue="23"/>
    </cacheField>
    <cacheField name="Occupancy_Rate" numFmtId="0">
      <sharedItems containsSemiMixedTypes="0" containsString="0" containsNumber="1" minValue="0" maxValue="0.8"/>
    </cacheField>
    <cacheField name="Energy_Per_Person" numFmtId="0">
      <sharedItems containsString="0" containsBlank="1" containsNumber="1" minValue="0.25555555555555554" maxValue="2.19"/>
    </cacheField>
    <cacheField name="ShiftPeriod" numFmtId="0">
      <sharedItems count="4">
        <s v="Night"/>
        <s v="Morning"/>
        <s v="Afternoon"/>
        <s v="Even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8">
  <r>
    <d v="2026-01-01T00:00:00"/>
    <x v="0"/>
    <s v="R111"/>
    <n v="6"/>
    <n v="30"/>
    <n v="23.558082584400299"/>
    <s v="22–24°C"/>
    <n v="2.84"/>
    <n v="2026"/>
    <x v="0"/>
    <n v="1"/>
    <n v="4"/>
    <n v="0"/>
    <n v="0.2"/>
    <n v="0.47333333333333333"/>
    <x v="0"/>
  </r>
  <r>
    <d v="2026-01-01T01:00:00"/>
    <x v="1"/>
    <s v="R105"/>
    <n v="6"/>
    <n v="30"/>
    <n v="23.483924543132069"/>
    <s v="22–24°C"/>
    <n v="1.95"/>
    <n v="2026"/>
    <x v="0"/>
    <n v="1"/>
    <n v="4"/>
    <n v="1"/>
    <n v="0.2"/>
    <n v="0.32500000000000001"/>
    <x v="0"/>
  </r>
  <r>
    <d v="2026-01-01T02:00:00"/>
    <x v="1"/>
    <s v="R111"/>
    <n v="8"/>
    <n v="40"/>
    <n v="28.118976062075589"/>
    <s v="28–30°C"/>
    <n v="3.84"/>
    <n v="2026"/>
    <x v="0"/>
    <n v="1"/>
    <n v="4"/>
    <n v="2"/>
    <n v="0.2"/>
    <n v="0.48"/>
    <x v="0"/>
  </r>
  <r>
    <d v="2026-01-01T03:00:00"/>
    <x v="2"/>
    <s v="R111"/>
    <n v="3"/>
    <n v="30"/>
    <n v="21.799492299788181"/>
    <s v="20–22°C"/>
    <n v="1.86"/>
    <n v="2026"/>
    <x v="0"/>
    <n v="1"/>
    <n v="4"/>
    <n v="3"/>
    <n v="0.1"/>
    <n v="0.62"/>
    <x v="0"/>
  </r>
  <r>
    <d v="2026-01-01T04:00:00"/>
    <x v="1"/>
    <s v="R101"/>
    <n v="5"/>
    <n v="25"/>
    <n v="22.54109909233609"/>
    <s v="22–24°C"/>
    <n v="2.25"/>
    <n v="2026"/>
    <x v="0"/>
    <n v="1"/>
    <n v="4"/>
    <n v="4"/>
    <n v="0.2"/>
    <n v="0.45"/>
    <x v="0"/>
  </r>
  <r>
    <d v="2026-01-01T05:00:00"/>
    <x v="3"/>
    <s v="R112"/>
    <n v="11"/>
    <n v="20"/>
    <n v="20.981829314269781"/>
    <s v="20–22°C"/>
    <n v="3.23"/>
    <n v="2026"/>
    <x v="0"/>
    <n v="1"/>
    <n v="4"/>
    <n v="5"/>
    <n v="0.55000000000000004"/>
    <n v="0.29363636363636364"/>
    <x v="0"/>
  </r>
  <r>
    <d v="2026-01-01T06:00:00"/>
    <x v="3"/>
    <s v="R113"/>
    <n v="7"/>
    <n v="20"/>
    <n v="24.164245589426081"/>
    <s v="24–26°C"/>
    <n v="3.14"/>
    <n v="2026"/>
    <x v="0"/>
    <n v="1"/>
    <n v="4"/>
    <n v="6"/>
    <n v="0.35"/>
    <n v="0.44857142857142857"/>
    <x v="0"/>
  </r>
  <r>
    <d v="2026-01-01T07:00:00"/>
    <x v="2"/>
    <s v="R104"/>
    <n v="7"/>
    <n v="20"/>
    <n v="22.644535757458691"/>
    <s v="22–24°C"/>
    <n v="2.52"/>
    <n v="2026"/>
    <x v="0"/>
    <n v="1"/>
    <n v="4"/>
    <n v="7"/>
    <n v="0.35"/>
    <n v="0.36"/>
    <x v="1"/>
  </r>
  <r>
    <d v="2026-01-01T08:00:00"/>
    <x v="0"/>
    <s v="R109"/>
    <n v="12"/>
    <n v="20"/>
    <n v="23.174094136476342"/>
    <s v="22–24°C"/>
    <n v="3.89"/>
    <n v="2026"/>
    <x v="0"/>
    <n v="1"/>
    <n v="4"/>
    <n v="8"/>
    <n v="0.6"/>
    <n v="0.32416666666666666"/>
    <x v="1"/>
  </r>
  <r>
    <d v="2026-01-01T09:00:00"/>
    <x v="4"/>
    <s v="R106"/>
    <n v="7"/>
    <n v="40"/>
    <n v="21.38301279421362"/>
    <s v="20–22°C"/>
    <n v="2.4900000000000002"/>
    <n v="2026"/>
    <x v="0"/>
    <n v="1"/>
    <n v="4"/>
    <n v="9"/>
    <n v="0.17499999999999999"/>
    <n v="0.35571428571428576"/>
    <x v="1"/>
  </r>
  <r>
    <d v="2026-01-01T10:00:00"/>
    <x v="4"/>
    <s v="R104"/>
    <n v="12"/>
    <n v="30"/>
    <n v="25.547467240279111"/>
    <s v="24–26°C"/>
    <n v="4.24"/>
    <n v="2026"/>
    <x v="0"/>
    <n v="1"/>
    <n v="4"/>
    <n v="10"/>
    <n v="0.4"/>
    <n v="0.35333333333333333"/>
    <x v="1"/>
  </r>
  <r>
    <d v="2026-01-01T11:00:00"/>
    <x v="0"/>
    <s v="R105"/>
    <n v="4"/>
    <n v="25"/>
    <n v="22.314570966946459"/>
    <s v="22–24°C"/>
    <n v="1.61"/>
    <n v="2026"/>
    <x v="0"/>
    <n v="1"/>
    <n v="4"/>
    <n v="11"/>
    <n v="0.16"/>
    <n v="0.40250000000000002"/>
    <x v="1"/>
  </r>
  <r>
    <d v="2026-01-01T12:00:00"/>
    <x v="0"/>
    <s v="R119"/>
    <n v="11"/>
    <n v="30"/>
    <n v="23.12046041988205"/>
    <s v="22–24°C"/>
    <n v="4.46"/>
    <n v="2026"/>
    <x v="0"/>
    <n v="1"/>
    <n v="4"/>
    <n v="12"/>
    <n v="0.36666666666666664"/>
    <n v="0.40545454545454546"/>
    <x v="2"/>
  </r>
  <r>
    <d v="2026-01-01T13:00:00"/>
    <x v="0"/>
    <s v="R110"/>
    <n v="5"/>
    <n v="25"/>
    <n v="25.285645629030039"/>
    <s v="24–26°C"/>
    <n v="2.77"/>
    <n v="2026"/>
    <x v="0"/>
    <n v="1"/>
    <n v="4"/>
    <n v="13"/>
    <n v="0.2"/>
    <n v="0.55400000000000005"/>
    <x v="2"/>
  </r>
  <r>
    <d v="2026-01-01T14:00:00"/>
    <x v="4"/>
    <s v="R116"/>
    <n v="8"/>
    <n v="20"/>
    <n v="26.413209907356919"/>
    <s v="26–28°C"/>
    <n v="3.72"/>
    <n v="2026"/>
    <x v="0"/>
    <n v="1"/>
    <n v="4"/>
    <n v="14"/>
    <n v="0.4"/>
    <n v="0.46500000000000002"/>
    <x v="2"/>
  </r>
  <r>
    <d v="2026-01-01T15:00:00"/>
    <x v="2"/>
    <s v="R105"/>
    <n v="4"/>
    <n v="30"/>
    <n v="21.16115153153239"/>
    <s v="20–22°C"/>
    <n v="2.39"/>
    <n v="2026"/>
    <x v="0"/>
    <n v="1"/>
    <n v="4"/>
    <n v="15"/>
    <n v="0.13333333333333333"/>
    <n v="0.59750000000000003"/>
    <x v="2"/>
  </r>
  <r>
    <d v="2026-01-01T16:00:00"/>
    <x v="3"/>
    <s v="R115"/>
    <n v="9"/>
    <n v="20"/>
    <n v="19.785033530877541"/>
    <s v="18–20°C"/>
    <n v="3.44"/>
    <n v="2026"/>
    <x v="0"/>
    <n v="1"/>
    <n v="4"/>
    <n v="16"/>
    <n v="0.45"/>
    <n v="0.38222222222222224"/>
    <x v="2"/>
  </r>
  <r>
    <d v="2026-01-01T17:00:00"/>
    <x v="0"/>
    <s v="R102"/>
    <n v="11"/>
    <n v="40"/>
    <n v="23.586144946597361"/>
    <s v="22–24°C"/>
    <n v="3.57"/>
    <n v="2026"/>
    <x v="0"/>
    <n v="1"/>
    <n v="4"/>
    <n v="17"/>
    <n v="0.27500000000000002"/>
    <n v="0.32454545454545453"/>
    <x v="3"/>
  </r>
  <r>
    <d v="2026-01-01T18:00:00"/>
    <x v="2"/>
    <s v="R117"/>
    <n v="3"/>
    <n v="30"/>
    <n v="20.6173930055947"/>
    <s v="20–22°C"/>
    <n v="1.95"/>
    <n v="2026"/>
    <x v="0"/>
    <n v="1"/>
    <n v="4"/>
    <n v="18"/>
    <n v="0.1"/>
    <n v="0.65"/>
    <x v="3"/>
  </r>
  <r>
    <d v="2026-01-01T19:00:00"/>
    <x v="1"/>
    <s v="R113"/>
    <n v="9"/>
    <n v="20"/>
    <n v="21.220971140748951"/>
    <s v="20–22°C"/>
    <n v="2.92"/>
    <n v="2026"/>
    <x v="0"/>
    <n v="1"/>
    <n v="4"/>
    <n v="19"/>
    <n v="0.45"/>
    <n v="0.32444444444444442"/>
    <x v="3"/>
  </r>
  <r>
    <d v="2026-01-01T20:00:00"/>
    <x v="0"/>
    <s v="R102"/>
    <n v="11"/>
    <n v="40"/>
    <n v="20.85821500387777"/>
    <s v="20–22°C"/>
    <n v="3.87"/>
    <n v="2026"/>
    <x v="0"/>
    <n v="1"/>
    <n v="4"/>
    <n v="20"/>
    <n v="0.27500000000000002"/>
    <n v="0.35181818181818181"/>
    <x v="3"/>
  </r>
  <r>
    <d v="2026-01-01T21:00:00"/>
    <x v="4"/>
    <s v="R102"/>
    <n v="11"/>
    <n v="40"/>
    <n v="22.106970095865961"/>
    <s v="22–24°C"/>
    <n v="3.82"/>
    <n v="2026"/>
    <x v="0"/>
    <n v="1"/>
    <n v="4"/>
    <n v="21"/>
    <n v="0.27500000000000002"/>
    <n v="0.34727272727272723"/>
    <x v="0"/>
  </r>
  <r>
    <d v="2026-01-01T22:00:00"/>
    <x v="1"/>
    <s v="R116"/>
    <n v="8"/>
    <n v="40"/>
    <n v="25.114847017724749"/>
    <s v="24–26°C"/>
    <n v="3.28"/>
    <n v="2026"/>
    <x v="0"/>
    <n v="1"/>
    <n v="4"/>
    <n v="22"/>
    <n v="0.2"/>
    <n v="0.41"/>
    <x v="0"/>
  </r>
  <r>
    <d v="2026-01-01T23:00:00"/>
    <x v="1"/>
    <s v="R112"/>
    <n v="17"/>
    <n v="40"/>
    <n v="23.330045596218682"/>
    <s v="22–24°C"/>
    <n v="4.99"/>
    <n v="2026"/>
    <x v="0"/>
    <n v="1"/>
    <n v="4"/>
    <n v="23"/>
    <n v="0.42499999999999999"/>
    <n v="0.29352941176470587"/>
    <x v="0"/>
  </r>
  <r>
    <d v="2026-01-02T00:00:00"/>
    <x v="0"/>
    <s v="R120"/>
    <n v="5"/>
    <n v="25"/>
    <n v="21.213759452741549"/>
    <s v="20–22°C"/>
    <n v="2.0699999999999998"/>
    <n v="2026"/>
    <x v="0"/>
    <n v="2"/>
    <n v="5"/>
    <n v="0"/>
    <n v="0.2"/>
    <n v="0.41399999999999998"/>
    <x v="0"/>
  </r>
  <r>
    <d v="2026-01-02T01:00:00"/>
    <x v="0"/>
    <s v="R107"/>
    <n v="5"/>
    <n v="30"/>
    <n v="27.77807191478492"/>
    <s v="26–28°C"/>
    <n v="3.47"/>
    <n v="2026"/>
    <x v="0"/>
    <n v="2"/>
    <n v="5"/>
    <n v="1"/>
    <n v="0.16666666666666666"/>
    <n v="0.69400000000000006"/>
    <x v="0"/>
  </r>
  <r>
    <d v="2026-01-02T02:00:00"/>
    <x v="2"/>
    <s v="R115"/>
    <n v="9"/>
    <n v="30"/>
    <n v="21.456361844486491"/>
    <s v="20–22°C"/>
    <n v="3.63"/>
    <n v="2026"/>
    <x v="0"/>
    <n v="2"/>
    <n v="5"/>
    <n v="2"/>
    <n v="0.3"/>
    <n v="0.40333333333333332"/>
    <x v="0"/>
  </r>
  <r>
    <d v="2026-01-02T03:00:00"/>
    <x v="3"/>
    <s v="R101"/>
    <n v="9"/>
    <n v="40"/>
    <n v="20.346336467728211"/>
    <s v="20–22°C"/>
    <n v="3.85"/>
    <n v="2026"/>
    <x v="0"/>
    <n v="2"/>
    <n v="5"/>
    <n v="3"/>
    <n v="0.22500000000000001"/>
    <n v="0.42777777777777781"/>
    <x v="0"/>
  </r>
  <r>
    <d v="2026-01-02T04:00:00"/>
    <x v="4"/>
    <s v="R105"/>
    <n v="4"/>
    <n v="40"/>
    <n v="23.887638856292462"/>
    <s v="22–24°C"/>
    <n v="2.3199999999999998"/>
    <n v="2026"/>
    <x v="0"/>
    <n v="2"/>
    <n v="5"/>
    <n v="4"/>
    <n v="0.1"/>
    <n v="0.57999999999999996"/>
    <x v="0"/>
  </r>
  <r>
    <d v="2026-01-02T05:00:00"/>
    <x v="3"/>
    <s v="R103"/>
    <n v="6"/>
    <n v="40"/>
    <n v="26.086135303718169"/>
    <s v="26–28°C"/>
    <n v="3.31"/>
    <n v="2026"/>
    <x v="0"/>
    <n v="2"/>
    <n v="5"/>
    <n v="5"/>
    <n v="0.15"/>
    <n v="0.55166666666666664"/>
    <x v="0"/>
  </r>
  <r>
    <d v="2026-01-02T06:00:00"/>
    <x v="1"/>
    <s v="R119"/>
    <n v="7"/>
    <n v="25"/>
    <n v="22.595084948336901"/>
    <s v="22–24°C"/>
    <n v="2.66"/>
    <n v="2026"/>
    <x v="0"/>
    <n v="2"/>
    <n v="5"/>
    <n v="6"/>
    <n v="0.28000000000000003"/>
    <n v="0.38"/>
    <x v="0"/>
  </r>
  <r>
    <d v="2026-01-02T07:00:00"/>
    <x v="0"/>
    <s v="R118"/>
    <n v="12"/>
    <n v="20"/>
    <n v="23.561983735470061"/>
    <s v="22–24°C"/>
    <n v="3.85"/>
    <n v="2026"/>
    <x v="0"/>
    <n v="2"/>
    <n v="5"/>
    <n v="7"/>
    <n v="0.6"/>
    <n v="0.32083333333333336"/>
    <x v="1"/>
  </r>
  <r>
    <d v="2026-01-02T08:00:00"/>
    <x v="0"/>
    <s v="R116"/>
    <n v="5"/>
    <n v="40"/>
    <n v="23.714030971930089"/>
    <s v="22–24°C"/>
    <n v="2.1"/>
    <n v="2026"/>
    <x v="0"/>
    <n v="2"/>
    <n v="5"/>
    <n v="8"/>
    <n v="0.125"/>
    <n v="0.42000000000000004"/>
    <x v="1"/>
  </r>
  <r>
    <d v="2026-01-02T09:00:00"/>
    <x v="4"/>
    <s v="R104"/>
    <n v="14"/>
    <n v="30"/>
    <n v="26.10571955167865"/>
    <s v="26–28°C"/>
    <n v="4.78"/>
    <n v="2026"/>
    <x v="0"/>
    <n v="2"/>
    <n v="5"/>
    <n v="9"/>
    <n v="0.46666666666666667"/>
    <n v="0.34142857142857147"/>
    <x v="1"/>
  </r>
  <r>
    <d v="2026-01-02T10:00:00"/>
    <x v="0"/>
    <s v="R118"/>
    <n v="8"/>
    <n v="40"/>
    <n v="23.64833270497688"/>
    <s v="22–24°C"/>
    <n v="3.01"/>
    <n v="2026"/>
    <x v="0"/>
    <n v="2"/>
    <n v="5"/>
    <n v="10"/>
    <n v="0.2"/>
    <n v="0.37624999999999997"/>
    <x v="1"/>
  </r>
  <r>
    <d v="2026-01-02T11:00:00"/>
    <x v="2"/>
    <s v="R116"/>
    <n v="11"/>
    <n v="30"/>
    <n v="23.151609116387451"/>
    <s v="22–24°C"/>
    <n v="3.52"/>
    <n v="2026"/>
    <x v="0"/>
    <n v="2"/>
    <n v="5"/>
    <n v="11"/>
    <n v="0.36666666666666664"/>
    <n v="0.32"/>
    <x v="1"/>
  </r>
  <r>
    <d v="2026-01-02T12:00:00"/>
    <x v="1"/>
    <s v="R101"/>
    <n v="7"/>
    <n v="20"/>
    <n v="23.489933142217449"/>
    <s v="22–24°C"/>
    <n v="2.62"/>
    <n v="2026"/>
    <x v="0"/>
    <n v="2"/>
    <n v="5"/>
    <n v="12"/>
    <n v="0.35"/>
    <n v="0.37428571428571428"/>
    <x v="2"/>
  </r>
  <r>
    <d v="2026-01-02T13:00:00"/>
    <x v="3"/>
    <s v="R119"/>
    <n v="4"/>
    <n v="30"/>
    <n v="25.308708676817851"/>
    <s v="24–26°C"/>
    <n v="2.15"/>
    <n v="2026"/>
    <x v="0"/>
    <n v="2"/>
    <n v="5"/>
    <n v="13"/>
    <n v="0.13333333333333333"/>
    <n v="0.53749999999999998"/>
    <x v="2"/>
  </r>
  <r>
    <d v="2026-01-02T14:00:00"/>
    <x v="4"/>
    <s v="R113"/>
    <n v="10"/>
    <n v="20"/>
    <n v="22.962973728015221"/>
    <s v="22–24°C"/>
    <n v="3.36"/>
    <n v="2026"/>
    <x v="0"/>
    <n v="2"/>
    <n v="5"/>
    <n v="14"/>
    <n v="0.5"/>
    <n v="0.33599999999999997"/>
    <x v="2"/>
  </r>
  <r>
    <d v="2026-01-02T15:00:00"/>
    <x v="3"/>
    <s v="R113"/>
    <n v="5"/>
    <n v="40"/>
    <n v="22.782479703086281"/>
    <s v="22–24°C"/>
    <n v="2.29"/>
    <n v="2026"/>
    <x v="0"/>
    <n v="2"/>
    <n v="5"/>
    <n v="15"/>
    <n v="0.125"/>
    <n v="0.45800000000000002"/>
    <x v="2"/>
  </r>
  <r>
    <d v="2026-01-02T16:00:00"/>
    <x v="0"/>
    <s v="R117"/>
    <n v="6"/>
    <n v="20"/>
    <n v="23.139305329037761"/>
    <s v="22–24°C"/>
    <n v="2.77"/>
    <n v="2026"/>
    <x v="0"/>
    <n v="2"/>
    <n v="5"/>
    <n v="16"/>
    <n v="0.3"/>
    <n v="0.46166666666666667"/>
    <x v="2"/>
  </r>
  <r>
    <d v="2026-01-02T17:00:00"/>
    <x v="0"/>
    <s v="R104"/>
    <n v="11"/>
    <n v="30"/>
    <n v="22.778136128740979"/>
    <s v="22–24°C"/>
    <n v="3.96"/>
    <n v="2026"/>
    <x v="0"/>
    <n v="2"/>
    <n v="5"/>
    <n v="17"/>
    <n v="0.36666666666666664"/>
    <n v="0.36"/>
    <x v="3"/>
  </r>
  <r>
    <d v="2026-01-02T18:00:00"/>
    <x v="0"/>
    <s v="R110"/>
    <n v="6"/>
    <n v="40"/>
    <n v="23.683511951554319"/>
    <s v="22–24°C"/>
    <n v="3.12"/>
    <n v="2026"/>
    <x v="0"/>
    <n v="2"/>
    <n v="5"/>
    <n v="18"/>
    <n v="0.15"/>
    <n v="0.52"/>
    <x v="3"/>
  </r>
  <r>
    <d v="2026-01-02T19:00:00"/>
    <x v="2"/>
    <s v="R109"/>
    <n v="12"/>
    <n v="20"/>
    <n v="22.852777768416189"/>
    <s v="22–24°C"/>
    <n v="3.84"/>
    <n v="2026"/>
    <x v="0"/>
    <n v="2"/>
    <n v="5"/>
    <n v="19"/>
    <n v="0.6"/>
    <n v="0.32"/>
    <x v="3"/>
  </r>
  <r>
    <d v="2026-01-02T20:00:00"/>
    <x v="4"/>
    <s v="R112"/>
    <n v="11"/>
    <n v="40"/>
    <n v="23.518778617999391"/>
    <s v="22–24°C"/>
    <n v="3.87"/>
    <n v="2026"/>
    <x v="0"/>
    <n v="2"/>
    <n v="5"/>
    <n v="20"/>
    <n v="0.27500000000000002"/>
    <n v="0.35181818181818181"/>
    <x v="3"/>
  </r>
  <r>
    <d v="2026-01-02T21:00:00"/>
    <x v="2"/>
    <s v="R109"/>
    <n v="13"/>
    <n v="20"/>
    <n v="21.344213842168571"/>
    <s v="20–22°C"/>
    <n v="4.0599999999999996"/>
    <n v="2026"/>
    <x v="0"/>
    <n v="2"/>
    <n v="5"/>
    <n v="21"/>
    <n v="0.65"/>
    <n v="0.31230769230769229"/>
    <x v="0"/>
  </r>
  <r>
    <d v="2026-01-02T22:00:00"/>
    <x v="1"/>
    <s v="R118"/>
    <n v="10"/>
    <n v="25"/>
    <n v="24.290751899170299"/>
    <s v="24–26°C"/>
    <n v="4.05"/>
    <n v="2026"/>
    <x v="0"/>
    <n v="2"/>
    <n v="5"/>
    <n v="22"/>
    <n v="0.4"/>
    <n v="0.40499999999999997"/>
    <x v="0"/>
  </r>
  <r>
    <d v="2026-01-02T23:00:00"/>
    <x v="1"/>
    <s v="R111"/>
    <n v="3"/>
    <n v="25"/>
    <n v="25.116848973699181"/>
    <s v="24–26°C"/>
    <n v="1.49"/>
    <n v="2026"/>
    <x v="0"/>
    <n v="2"/>
    <n v="5"/>
    <n v="23"/>
    <n v="0.12"/>
    <n v="0.49666666666666665"/>
    <x v="0"/>
  </r>
  <r>
    <d v="2026-01-03T00:00:00"/>
    <x v="3"/>
    <s v="R107"/>
    <n v="12"/>
    <n v="40"/>
    <n v="22.437229786897831"/>
    <s v="22–24°C"/>
    <n v="3.37"/>
    <n v="2026"/>
    <x v="0"/>
    <n v="3"/>
    <n v="6"/>
    <n v="0"/>
    <n v="0.3"/>
    <n v="0.28083333333333332"/>
    <x v="0"/>
  </r>
  <r>
    <d v="2026-01-03T01:00:00"/>
    <x v="4"/>
    <s v="R102"/>
    <n v="6"/>
    <n v="20"/>
    <n v="23.733196492193699"/>
    <s v="22–24°C"/>
    <n v="2.2799999999999998"/>
    <n v="2026"/>
    <x v="0"/>
    <n v="3"/>
    <n v="6"/>
    <n v="1"/>
    <n v="0.3"/>
    <n v="0.37999999999999995"/>
    <x v="0"/>
  </r>
  <r>
    <d v="2026-01-03T02:00:00"/>
    <x v="0"/>
    <s v="R119"/>
    <n v="7"/>
    <n v="25"/>
    <n v="21.93948476325512"/>
    <s v="20–22°C"/>
    <n v="2.3199999999999998"/>
    <n v="2026"/>
    <x v="0"/>
    <n v="3"/>
    <n v="6"/>
    <n v="2"/>
    <n v="0.28000000000000003"/>
    <n v="0.33142857142857141"/>
    <x v="0"/>
  </r>
  <r>
    <d v="2026-01-03T03:00:00"/>
    <x v="0"/>
    <s v="R104"/>
    <n v="4"/>
    <n v="20"/>
    <n v="23.114948006048589"/>
    <s v="22–24°C"/>
    <n v="1.28"/>
    <n v="2026"/>
    <x v="0"/>
    <n v="3"/>
    <n v="6"/>
    <n v="3"/>
    <n v="0.2"/>
    <n v="0.32"/>
    <x v="0"/>
  </r>
  <r>
    <d v="2026-01-03T04:00:00"/>
    <x v="3"/>
    <s v="R109"/>
    <n v="7"/>
    <n v="20"/>
    <n v="24.702708529201018"/>
    <s v="24–26°C"/>
    <n v="2.77"/>
    <n v="2026"/>
    <x v="0"/>
    <n v="3"/>
    <n v="6"/>
    <n v="4"/>
    <n v="0.35"/>
    <n v="0.39571428571428574"/>
    <x v="0"/>
  </r>
  <r>
    <d v="2026-01-03T05:00:00"/>
    <x v="4"/>
    <s v="R116"/>
    <n v="9"/>
    <n v="40"/>
    <n v="24.70280418475766"/>
    <s v="24–26°C"/>
    <n v="3.16"/>
    <n v="2026"/>
    <x v="0"/>
    <n v="3"/>
    <n v="6"/>
    <n v="5"/>
    <n v="0.22500000000000001"/>
    <n v="0.35111111111111115"/>
    <x v="0"/>
  </r>
  <r>
    <d v="2026-01-03T06:00:00"/>
    <x v="3"/>
    <s v="R116"/>
    <n v="8"/>
    <n v="40"/>
    <n v="21.706854231514949"/>
    <s v="20–22°C"/>
    <n v="2.52"/>
    <n v="2026"/>
    <x v="0"/>
    <n v="3"/>
    <n v="6"/>
    <n v="6"/>
    <n v="0.2"/>
    <n v="0.315"/>
    <x v="0"/>
  </r>
  <r>
    <d v="2026-01-03T07:00:00"/>
    <x v="2"/>
    <s v="R113"/>
    <n v="10"/>
    <n v="20"/>
    <n v="22.22386162040517"/>
    <s v="22–24°C"/>
    <n v="3.13"/>
    <n v="2026"/>
    <x v="0"/>
    <n v="3"/>
    <n v="6"/>
    <n v="7"/>
    <n v="0.5"/>
    <n v="0.313"/>
    <x v="1"/>
  </r>
  <r>
    <d v="2026-01-03T08:00:00"/>
    <x v="3"/>
    <s v="R115"/>
    <n v="8"/>
    <n v="40"/>
    <n v="21.698714861756351"/>
    <s v="20–22°C"/>
    <n v="2.7"/>
    <n v="2026"/>
    <x v="0"/>
    <n v="3"/>
    <n v="6"/>
    <n v="8"/>
    <n v="0.2"/>
    <n v="0.33750000000000002"/>
    <x v="1"/>
  </r>
  <r>
    <d v="2026-01-03T09:00:00"/>
    <x v="3"/>
    <s v="R110"/>
    <n v="6"/>
    <n v="30"/>
    <n v="23.780506537966289"/>
    <s v="22–24°C"/>
    <n v="2.54"/>
    <n v="2026"/>
    <x v="0"/>
    <n v="3"/>
    <n v="6"/>
    <n v="9"/>
    <n v="0.2"/>
    <n v="0.42333333333333334"/>
    <x v="1"/>
  </r>
  <r>
    <d v="2026-01-03T10:00:00"/>
    <x v="0"/>
    <s v="R107"/>
    <n v="10"/>
    <n v="30"/>
    <n v="21.473481686914969"/>
    <s v="20–22°C"/>
    <n v="2.84"/>
    <n v="2026"/>
    <x v="0"/>
    <n v="3"/>
    <n v="6"/>
    <n v="10"/>
    <n v="0.33333333333333331"/>
    <n v="0.28399999999999997"/>
    <x v="1"/>
  </r>
  <r>
    <d v="2026-01-03T11:00:00"/>
    <x v="3"/>
    <s v="R102"/>
    <n v="6"/>
    <n v="30"/>
    <n v="28.567554846978101"/>
    <s v="28–30°C"/>
    <n v="2.8"/>
    <n v="2026"/>
    <x v="0"/>
    <n v="3"/>
    <n v="6"/>
    <n v="11"/>
    <n v="0.2"/>
    <n v="0.46666666666666662"/>
    <x v="1"/>
  </r>
  <r>
    <d v="2026-01-03T12:00:00"/>
    <x v="4"/>
    <s v="R109"/>
    <n v="3"/>
    <n v="30"/>
    <n v="21.796062642207229"/>
    <s v="20–22°C"/>
    <n v="1.81"/>
    <n v="2026"/>
    <x v="0"/>
    <n v="3"/>
    <n v="6"/>
    <n v="12"/>
    <n v="0.1"/>
    <n v="0.60333333333333339"/>
    <x v="2"/>
  </r>
  <r>
    <d v="2026-01-03T13:00:00"/>
    <x v="0"/>
    <s v="R106"/>
    <n v="12"/>
    <n v="20"/>
    <n v="23.173179574945799"/>
    <s v="22–24°C"/>
    <n v="3.93"/>
    <n v="2026"/>
    <x v="0"/>
    <n v="3"/>
    <n v="6"/>
    <n v="13"/>
    <n v="0.6"/>
    <n v="0.32750000000000001"/>
    <x v="2"/>
  </r>
  <r>
    <d v="2026-01-03T14:00:00"/>
    <x v="3"/>
    <s v="R117"/>
    <n v="6"/>
    <n v="25"/>
    <n v="24.08696630592755"/>
    <s v="24–26°C"/>
    <n v="2.92"/>
    <n v="2026"/>
    <x v="0"/>
    <n v="3"/>
    <n v="6"/>
    <n v="14"/>
    <n v="0.24"/>
    <n v="0.48666666666666664"/>
    <x v="2"/>
  </r>
  <r>
    <d v="2026-01-03T15:00:00"/>
    <x v="0"/>
    <s v="R116"/>
    <n v="11"/>
    <n v="40"/>
    <n v="22.521642667939659"/>
    <s v="22–24°C"/>
    <n v="3.88"/>
    <n v="2026"/>
    <x v="0"/>
    <n v="3"/>
    <n v="6"/>
    <n v="15"/>
    <n v="0.27500000000000002"/>
    <n v="0.35272727272727272"/>
    <x v="2"/>
  </r>
  <r>
    <d v="2026-01-03T16:00:00"/>
    <x v="1"/>
    <s v="R119"/>
    <n v="10"/>
    <n v="40"/>
    <n v="23.363732510116989"/>
    <s v="22–24°C"/>
    <n v="3.58"/>
    <n v="2026"/>
    <x v="0"/>
    <n v="3"/>
    <n v="6"/>
    <n v="16"/>
    <n v="0.25"/>
    <n v="0.35799999999999998"/>
    <x v="2"/>
  </r>
  <r>
    <d v="2026-01-03T17:00:00"/>
    <x v="4"/>
    <s v="R117"/>
    <n v="4"/>
    <n v="40"/>
    <n v="26.01954262491925"/>
    <s v="26–28°C"/>
    <n v="2.52"/>
    <n v="2026"/>
    <x v="0"/>
    <n v="3"/>
    <n v="6"/>
    <n v="17"/>
    <n v="0.1"/>
    <n v="0.63"/>
    <x v="3"/>
  </r>
  <r>
    <d v="2026-01-03T18:00:00"/>
    <x v="3"/>
    <s v="R114"/>
    <n v="8"/>
    <n v="40"/>
    <n v="24.513977233290699"/>
    <s v="24–26°C"/>
    <n v="2.9"/>
    <n v="2026"/>
    <x v="0"/>
    <n v="3"/>
    <n v="6"/>
    <n v="18"/>
    <n v="0.2"/>
    <n v="0.36249999999999999"/>
    <x v="3"/>
  </r>
  <r>
    <d v="2026-01-03T19:00:00"/>
    <x v="1"/>
    <s v="R108"/>
    <n v="10"/>
    <n v="40"/>
    <n v="23.36106168361086"/>
    <s v="22–24°C"/>
    <n v="4.3"/>
    <n v="2026"/>
    <x v="0"/>
    <n v="3"/>
    <n v="6"/>
    <n v="19"/>
    <n v="0.25"/>
    <n v="0.43"/>
    <x v="3"/>
  </r>
  <r>
    <d v="2026-01-03T20:00:00"/>
    <x v="1"/>
    <s v="R105"/>
    <n v="9"/>
    <n v="20"/>
    <n v="20.317109684400609"/>
    <s v="20–22°C"/>
    <n v="3.87"/>
    <n v="2026"/>
    <x v="0"/>
    <n v="3"/>
    <n v="6"/>
    <n v="20"/>
    <n v="0.45"/>
    <n v="0.43"/>
    <x v="3"/>
  </r>
  <r>
    <d v="2026-01-03T21:00:00"/>
    <x v="0"/>
    <s v="R119"/>
    <n v="12"/>
    <n v="30"/>
    <n v="22.683984202842019"/>
    <s v="22–24°C"/>
    <n v="3.77"/>
    <n v="2026"/>
    <x v="0"/>
    <n v="3"/>
    <n v="6"/>
    <n v="21"/>
    <n v="0.4"/>
    <n v="0.31416666666666665"/>
    <x v="0"/>
  </r>
  <r>
    <d v="2026-01-03T22:00:00"/>
    <x v="1"/>
    <s v="R116"/>
    <n v="4"/>
    <n v="40"/>
    <n v="22.540240857107229"/>
    <s v="22–24°C"/>
    <n v="2.0699999999999998"/>
    <n v="2026"/>
    <x v="0"/>
    <n v="3"/>
    <n v="6"/>
    <n v="22"/>
    <n v="0.1"/>
    <n v="0.51749999999999996"/>
    <x v="0"/>
  </r>
  <r>
    <d v="2026-01-03T23:00:00"/>
    <x v="1"/>
    <s v="R113"/>
    <n v="6"/>
    <n v="20"/>
    <n v="17.606226714116861"/>
    <s v="16–18°C"/>
    <n v="2.94"/>
    <n v="2026"/>
    <x v="0"/>
    <n v="3"/>
    <n v="6"/>
    <n v="23"/>
    <n v="0.3"/>
    <n v="0.49"/>
    <x v="0"/>
  </r>
  <r>
    <d v="2026-01-04T00:00:00"/>
    <x v="4"/>
    <s v="R119"/>
    <n v="6"/>
    <n v="40"/>
    <n v="21.40177885834947"/>
    <s v="20–22°C"/>
    <n v="2.34"/>
    <n v="2026"/>
    <x v="0"/>
    <n v="4"/>
    <n v="0"/>
    <n v="0"/>
    <n v="0.15"/>
    <n v="0.38999999999999996"/>
    <x v="0"/>
  </r>
  <r>
    <d v="2026-01-04T01:00:00"/>
    <x v="4"/>
    <s v="R114"/>
    <n v="8"/>
    <n v="40"/>
    <n v="22.934493459567999"/>
    <s v="22–24°C"/>
    <n v="2.78"/>
    <n v="2026"/>
    <x v="0"/>
    <n v="4"/>
    <n v="0"/>
    <n v="1"/>
    <n v="0.2"/>
    <n v="0.34749999999999998"/>
    <x v="0"/>
  </r>
  <r>
    <d v="2026-01-04T02:00:00"/>
    <x v="0"/>
    <s v="R118"/>
    <n v="8"/>
    <n v="20"/>
    <n v="23.579684528336941"/>
    <s v="22–24°C"/>
    <n v="2.96"/>
    <n v="2026"/>
    <x v="0"/>
    <n v="4"/>
    <n v="0"/>
    <n v="2"/>
    <n v="0.4"/>
    <n v="0.37"/>
    <x v="0"/>
  </r>
  <r>
    <d v="2026-01-04T03:00:00"/>
    <x v="2"/>
    <s v="R104"/>
    <n v="6"/>
    <n v="40"/>
    <n v="24.871356786294921"/>
    <s v="24–26°C"/>
    <n v="3.11"/>
    <n v="2026"/>
    <x v="0"/>
    <n v="4"/>
    <n v="0"/>
    <n v="3"/>
    <n v="0.15"/>
    <n v="0.51833333333333331"/>
    <x v="0"/>
  </r>
  <r>
    <d v="2026-01-04T04:00:00"/>
    <x v="3"/>
    <s v="R104"/>
    <n v="4"/>
    <n v="25"/>
    <n v="23.19749155527467"/>
    <s v="22–24°C"/>
    <n v="1.94"/>
    <n v="2026"/>
    <x v="0"/>
    <n v="4"/>
    <n v="0"/>
    <n v="4"/>
    <n v="0.16"/>
    <n v="0.48499999999999999"/>
    <x v="0"/>
  </r>
  <r>
    <d v="2026-01-04T05:00:00"/>
    <x v="0"/>
    <s v="R105"/>
    <n v="8"/>
    <n v="30"/>
    <n v="20.837873344800201"/>
    <s v="20–22°C"/>
    <n v="3.16"/>
    <n v="2026"/>
    <x v="0"/>
    <n v="4"/>
    <n v="0"/>
    <n v="5"/>
    <n v="0.26666666666666666"/>
    <n v="0.39500000000000002"/>
    <x v="0"/>
  </r>
  <r>
    <d v="2026-01-04T06:00:00"/>
    <x v="4"/>
    <s v="R114"/>
    <n v="3"/>
    <n v="20"/>
    <n v="23.652266044484239"/>
    <s v="22–24°C"/>
    <n v="1.42"/>
    <n v="2026"/>
    <x v="0"/>
    <n v="4"/>
    <n v="0"/>
    <n v="6"/>
    <n v="0.15"/>
    <n v="0.47333333333333333"/>
    <x v="0"/>
  </r>
  <r>
    <d v="2026-01-04T07:00:00"/>
    <x v="4"/>
    <s v="R117"/>
    <n v="10"/>
    <n v="25"/>
    <n v="19.49306116749867"/>
    <s v="18–20°C"/>
    <n v="3.51"/>
    <n v="2026"/>
    <x v="0"/>
    <n v="4"/>
    <n v="0"/>
    <n v="7"/>
    <n v="0.4"/>
    <n v="0.35099999999999998"/>
    <x v="1"/>
  </r>
  <r>
    <d v="2026-01-04T08:00:00"/>
    <x v="1"/>
    <s v="R114"/>
    <n v="8"/>
    <n v="20"/>
    <n v="23.615603537784121"/>
    <s v="22–24°C"/>
    <n v="2.5299999999999998"/>
    <n v="2026"/>
    <x v="0"/>
    <n v="4"/>
    <n v="0"/>
    <n v="8"/>
    <n v="0.4"/>
    <n v="0.31624999999999998"/>
    <x v="1"/>
  </r>
  <r>
    <d v="2026-01-04T09:00:00"/>
    <x v="0"/>
    <s v="R118"/>
    <n v="8"/>
    <n v="40"/>
    <n v="19.74081402804735"/>
    <s v="18–20°C"/>
    <n v="3.3"/>
    <n v="2026"/>
    <x v="0"/>
    <n v="4"/>
    <n v="0"/>
    <n v="9"/>
    <n v="0.2"/>
    <n v="0.41249999999999998"/>
    <x v="1"/>
  </r>
  <r>
    <d v="2026-01-04T10:00:00"/>
    <x v="4"/>
    <s v="R116"/>
    <n v="5"/>
    <n v="25"/>
    <n v="26.241066890331751"/>
    <s v="26–28°C"/>
    <n v="3.16"/>
    <n v="2026"/>
    <x v="0"/>
    <n v="4"/>
    <n v="0"/>
    <n v="10"/>
    <n v="0.2"/>
    <n v="0.63200000000000001"/>
    <x v="1"/>
  </r>
  <r>
    <d v="2026-01-04T11:00:00"/>
    <x v="1"/>
    <s v="R115"/>
    <n v="7"/>
    <n v="25"/>
    <n v="22.30397382740632"/>
    <s v="22–24°C"/>
    <n v="2.66"/>
    <n v="2026"/>
    <x v="0"/>
    <n v="4"/>
    <n v="0"/>
    <n v="11"/>
    <n v="0.28000000000000003"/>
    <n v="0.38"/>
    <x v="1"/>
  </r>
  <r>
    <d v="2026-01-04T12:00:00"/>
    <x v="0"/>
    <s v="R113"/>
    <n v="9"/>
    <n v="20"/>
    <n v="23.190641613895441"/>
    <s v="22–24°C"/>
    <n v="3.28"/>
    <n v="2026"/>
    <x v="0"/>
    <n v="4"/>
    <n v="0"/>
    <n v="12"/>
    <n v="0.45"/>
    <n v="0.3644444444444444"/>
    <x v="2"/>
  </r>
  <r>
    <d v="2026-01-04T13:00:00"/>
    <x v="2"/>
    <s v="R117"/>
    <n v="4"/>
    <n v="20"/>
    <n v="28.120169076537589"/>
    <s v="28–30°C"/>
    <n v="2.69"/>
    <n v="2026"/>
    <x v="0"/>
    <n v="4"/>
    <n v="0"/>
    <n v="13"/>
    <n v="0.2"/>
    <n v="0.67249999999999999"/>
    <x v="2"/>
  </r>
  <r>
    <d v="2026-01-04T14:00:00"/>
    <x v="2"/>
    <s v="R102"/>
    <n v="7"/>
    <n v="30"/>
    <n v="24.41550387091095"/>
    <s v="24–26°C"/>
    <n v="2.74"/>
    <n v="2026"/>
    <x v="0"/>
    <n v="4"/>
    <n v="0"/>
    <n v="14"/>
    <n v="0.23333333333333334"/>
    <n v="0.39142857142857146"/>
    <x v="2"/>
  </r>
  <r>
    <d v="2026-01-04T15:00:00"/>
    <x v="3"/>
    <s v="R111"/>
    <n v="9"/>
    <n v="20"/>
    <n v="23.355402001866508"/>
    <s v="22–24°C"/>
    <n v="2.85"/>
    <n v="2026"/>
    <x v="0"/>
    <n v="4"/>
    <n v="0"/>
    <n v="15"/>
    <n v="0.45"/>
    <n v="0.31666666666666665"/>
    <x v="2"/>
  </r>
  <r>
    <d v="2026-01-04T16:00:00"/>
    <x v="4"/>
    <s v="R104"/>
    <n v="11"/>
    <n v="40"/>
    <n v="23.859236438265171"/>
    <s v="22–24°C"/>
    <n v="3.89"/>
    <n v="2026"/>
    <x v="0"/>
    <n v="4"/>
    <n v="0"/>
    <n v="16"/>
    <n v="0.27500000000000002"/>
    <n v="0.35363636363636364"/>
    <x v="2"/>
  </r>
  <r>
    <d v="2026-01-04T17:00:00"/>
    <x v="3"/>
    <s v="R110"/>
    <n v="9"/>
    <n v="40"/>
    <n v="23.056636752260921"/>
    <s v="22–24°C"/>
    <n v="3.22"/>
    <n v="2026"/>
    <x v="0"/>
    <n v="4"/>
    <n v="0"/>
    <n v="17"/>
    <n v="0.22500000000000001"/>
    <n v="0.35777777777777781"/>
    <x v="3"/>
  </r>
  <r>
    <d v="2026-01-04T18:00:00"/>
    <x v="0"/>
    <s v="R102"/>
    <n v="5"/>
    <n v="30"/>
    <n v="23.444267543267429"/>
    <s v="22–24°C"/>
    <n v="2.12"/>
    <n v="2026"/>
    <x v="0"/>
    <n v="4"/>
    <n v="0"/>
    <n v="18"/>
    <n v="0.16666666666666666"/>
    <n v="0.42400000000000004"/>
    <x v="3"/>
  </r>
  <r>
    <d v="2026-01-04T19:00:00"/>
    <x v="4"/>
    <s v="R103"/>
    <n v="9"/>
    <n v="25"/>
    <n v="23.164567978550849"/>
    <s v="22–24°C"/>
    <n v="3.54"/>
    <n v="2026"/>
    <x v="0"/>
    <n v="4"/>
    <n v="0"/>
    <n v="19"/>
    <n v="0.36"/>
    <n v="0.39333333333333331"/>
    <x v="3"/>
  </r>
  <r>
    <d v="2026-01-04T20:00:00"/>
    <x v="4"/>
    <s v="R117"/>
    <n v="15"/>
    <n v="20"/>
    <n v="20.311098977931451"/>
    <s v="20–22°C"/>
    <n v="4.53"/>
    <n v="2026"/>
    <x v="0"/>
    <n v="4"/>
    <n v="0"/>
    <n v="20"/>
    <n v="0.75"/>
    <n v="0.30199999999999999"/>
    <x v="3"/>
  </r>
  <r>
    <d v="2026-01-04T21:00:00"/>
    <x v="0"/>
    <s v="R114"/>
    <n v="3"/>
    <n v="20"/>
    <n v="22.930630225226441"/>
    <s v="22–24°C"/>
    <n v="1.76"/>
    <n v="2026"/>
    <x v="0"/>
    <n v="4"/>
    <n v="0"/>
    <n v="21"/>
    <n v="0.15"/>
    <n v="0.58666666666666667"/>
    <x v="0"/>
  </r>
  <r>
    <d v="2026-01-04T22:00:00"/>
    <x v="4"/>
    <s v="R104"/>
    <n v="11"/>
    <n v="20"/>
    <n v="23.332904416426111"/>
    <s v="22–24°C"/>
    <n v="3.9"/>
    <n v="2026"/>
    <x v="0"/>
    <n v="4"/>
    <n v="0"/>
    <n v="22"/>
    <n v="0.55000000000000004"/>
    <n v="0.35454545454545455"/>
    <x v="0"/>
  </r>
  <r>
    <d v="2026-01-04T23:00:00"/>
    <x v="4"/>
    <s v="R104"/>
    <n v="7"/>
    <n v="40"/>
    <n v="25.841008495979711"/>
    <s v="24–26°C"/>
    <n v="2.95"/>
    <n v="2026"/>
    <x v="0"/>
    <n v="4"/>
    <n v="0"/>
    <n v="23"/>
    <n v="0.17499999999999999"/>
    <n v="0.42142857142857143"/>
    <x v="0"/>
  </r>
  <r>
    <d v="2026-01-05T00:00:00"/>
    <x v="0"/>
    <s v="R116"/>
    <n v="8"/>
    <n v="25"/>
    <n v="22.27492994980128"/>
    <s v="22–24°C"/>
    <n v="3.02"/>
    <n v="2026"/>
    <x v="0"/>
    <n v="5"/>
    <n v="1"/>
    <n v="0"/>
    <n v="0.32"/>
    <n v="0.3775"/>
    <x v="0"/>
  </r>
  <r>
    <d v="2026-01-05T01:00:00"/>
    <x v="0"/>
    <s v="R105"/>
    <n v="10"/>
    <n v="40"/>
    <n v="22.93374605425241"/>
    <s v="22–24°C"/>
    <n v="3.98"/>
    <n v="2026"/>
    <x v="0"/>
    <n v="5"/>
    <n v="1"/>
    <n v="1"/>
    <n v="0.25"/>
    <n v="0.39800000000000002"/>
    <x v="0"/>
  </r>
  <r>
    <d v="2026-01-05T02:00:00"/>
    <x v="0"/>
    <s v="R105"/>
    <n v="6"/>
    <n v="20"/>
    <n v="25.411256155905679"/>
    <s v="24–26°C"/>
    <n v="2.91"/>
    <n v="2026"/>
    <x v="0"/>
    <n v="5"/>
    <n v="1"/>
    <n v="2"/>
    <n v="0.3"/>
    <n v="0.48500000000000004"/>
    <x v="0"/>
  </r>
  <r>
    <d v="2026-01-05T03:00:00"/>
    <x v="2"/>
    <s v="R108"/>
    <n v="15"/>
    <n v="25"/>
    <n v="22.259353262805408"/>
    <s v="22–24°C"/>
    <n v="4.34"/>
    <n v="2026"/>
    <x v="0"/>
    <n v="5"/>
    <n v="1"/>
    <n v="3"/>
    <n v="0.6"/>
    <n v="0.28933333333333333"/>
    <x v="0"/>
  </r>
  <r>
    <d v="2026-01-05T04:00:00"/>
    <x v="4"/>
    <s v="R109"/>
    <n v="5"/>
    <n v="40"/>
    <n v="24.635505391752101"/>
    <s v="24–26°C"/>
    <n v="2"/>
    <n v="2026"/>
    <x v="0"/>
    <n v="5"/>
    <n v="1"/>
    <n v="4"/>
    <n v="0.125"/>
    <n v="0.4"/>
    <x v="0"/>
  </r>
  <r>
    <d v="2026-01-05T05:00:00"/>
    <x v="1"/>
    <s v="R113"/>
    <n v="13"/>
    <n v="20"/>
    <n v="23.351091659781019"/>
    <s v="22–24°C"/>
    <n v="4.38"/>
    <n v="2026"/>
    <x v="0"/>
    <n v="5"/>
    <n v="1"/>
    <n v="5"/>
    <n v="0.65"/>
    <n v="0.33692307692307694"/>
    <x v="0"/>
  </r>
  <r>
    <d v="2026-01-05T06:00:00"/>
    <x v="3"/>
    <s v="R114"/>
    <n v="5"/>
    <n v="20"/>
    <n v="22.039736264608301"/>
    <s v="22–24°C"/>
    <n v="2.09"/>
    <n v="2026"/>
    <x v="0"/>
    <n v="5"/>
    <n v="1"/>
    <n v="6"/>
    <n v="0.25"/>
    <n v="0.41799999999999998"/>
    <x v="0"/>
  </r>
  <r>
    <d v="2026-01-05T07:00:00"/>
    <x v="2"/>
    <s v="R120"/>
    <n v="7"/>
    <n v="40"/>
    <n v="22.737923186002011"/>
    <s v="22–24°C"/>
    <n v="2.0499999999999998"/>
    <n v="2026"/>
    <x v="0"/>
    <n v="5"/>
    <n v="1"/>
    <n v="7"/>
    <n v="0.17499999999999999"/>
    <n v="0.29285714285714282"/>
    <x v="1"/>
  </r>
  <r>
    <d v="2026-01-05T08:00:00"/>
    <x v="3"/>
    <s v="R106"/>
    <n v="10"/>
    <n v="30"/>
    <n v="23.487601427542401"/>
    <s v="22–24°C"/>
    <n v="3.35"/>
    <n v="2026"/>
    <x v="0"/>
    <n v="5"/>
    <n v="1"/>
    <n v="8"/>
    <n v="0.33333333333333331"/>
    <n v="0.33500000000000002"/>
    <x v="1"/>
  </r>
  <r>
    <d v="2026-01-05T09:00:00"/>
    <x v="1"/>
    <s v="R108"/>
    <n v="9"/>
    <n v="20"/>
    <n v="22.908827967289"/>
    <s v="22–24°C"/>
    <n v="3.26"/>
    <n v="2026"/>
    <x v="0"/>
    <n v="5"/>
    <n v="1"/>
    <n v="9"/>
    <n v="0.45"/>
    <n v="0.36222222222222222"/>
    <x v="1"/>
  </r>
  <r>
    <d v="2026-01-05T10:00:00"/>
    <x v="1"/>
    <s v="R107"/>
    <n v="5"/>
    <n v="25"/>
    <n v="22.835697643214861"/>
    <s v="22–24°C"/>
    <n v="2.5099999999999998"/>
    <n v="2026"/>
    <x v="0"/>
    <n v="5"/>
    <n v="1"/>
    <n v="10"/>
    <n v="0.2"/>
    <n v="0.502"/>
    <x v="1"/>
  </r>
  <r>
    <d v="2026-01-05T11:00:00"/>
    <x v="1"/>
    <s v="R109"/>
    <n v="9"/>
    <n v="40"/>
    <n v="23.393042339402939"/>
    <s v="22–24°C"/>
    <n v="3.47"/>
    <n v="2026"/>
    <x v="0"/>
    <n v="5"/>
    <n v="1"/>
    <n v="11"/>
    <n v="0.22500000000000001"/>
    <n v="0.3855555555555556"/>
    <x v="1"/>
  </r>
  <r>
    <d v="2026-01-05T12:00:00"/>
    <x v="1"/>
    <s v="R112"/>
    <n v="6"/>
    <n v="40"/>
    <n v="21.5183351840646"/>
    <s v="20–22°C"/>
    <n v="2.37"/>
    <n v="2026"/>
    <x v="0"/>
    <n v="5"/>
    <n v="1"/>
    <n v="12"/>
    <n v="0.15"/>
    <n v="0.39500000000000002"/>
    <x v="2"/>
  </r>
  <r>
    <d v="2026-01-05T13:00:00"/>
    <x v="2"/>
    <s v="R111"/>
    <n v="5"/>
    <n v="40"/>
    <n v="22.653930242606169"/>
    <s v="22–24°C"/>
    <n v="1.94"/>
    <n v="2026"/>
    <x v="0"/>
    <n v="5"/>
    <n v="1"/>
    <n v="13"/>
    <n v="0.125"/>
    <n v="0.38800000000000001"/>
    <x v="2"/>
  </r>
  <r>
    <d v="2026-01-05T14:00:00"/>
    <x v="2"/>
    <s v="R104"/>
    <n v="8"/>
    <n v="25"/>
    <n v="22.992794921818859"/>
    <s v="22–24°C"/>
    <n v="2.6"/>
    <n v="2026"/>
    <x v="0"/>
    <n v="5"/>
    <n v="1"/>
    <n v="14"/>
    <n v="0.32"/>
    <n v="0.32500000000000001"/>
    <x v="2"/>
  </r>
  <r>
    <d v="2026-01-05T15:00:00"/>
    <x v="4"/>
    <s v="R110"/>
    <n v="6"/>
    <n v="25"/>
    <n v="22.461627736637219"/>
    <s v="22–24°C"/>
    <n v="2.34"/>
    <n v="2026"/>
    <x v="0"/>
    <n v="5"/>
    <n v="1"/>
    <n v="15"/>
    <n v="0.24"/>
    <n v="0.38999999999999996"/>
    <x v="2"/>
  </r>
  <r>
    <d v="2026-01-05T16:00:00"/>
    <x v="4"/>
    <s v="R113"/>
    <n v="6"/>
    <n v="40"/>
    <n v="25.798710873172009"/>
    <s v="24–26°C"/>
    <n v="3.15"/>
    <n v="2026"/>
    <x v="0"/>
    <n v="5"/>
    <n v="1"/>
    <n v="16"/>
    <n v="0.15"/>
    <n v="0.52500000000000002"/>
    <x v="2"/>
  </r>
  <r>
    <d v="2026-01-05T17:00:00"/>
    <x v="2"/>
    <s v="R107"/>
    <n v="7"/>
    <n v="40"/>
    <n v="25.099105430638669"/>
    <s v="24–26°C"/>
    <n v="2.85"/>
    <n v="2026"/>
    <x v="0"/>
    <n v="5"/>
    <n v="1"/>
    <n v="17"/>
    <n v="0.17499999999999999"/>
    <n v="0.40714285714285714"/>
    <x v="3"/>
  </r>
  <r>
    <d v="2026-01-05T18:00:00"/>
    <x v="4"/>
    <s v="R116"/>
    <n v="8"/>
    <n v="20"/>
    <n v="20.936847506259689"/>
    <s v="20–22°C"/>
    <n v="2.8"/>
    <n v="2026"/>
    <x v="0"/>
    <n v="5"/>
    <n v="1"/>
    <n v="18"/>
    <n v="0.4"/>
    <n v="0.35"/>
    <x v="3"/>
  </r>
  <r>
    <d v="2026-01-05T19:00:00"/>
    <x v="0"/>
    <s v="R117"/>
    <n v="11"/>
    <n v="20"/>
    <n v="25.18209220432934"/>
    <s v="24–26°C"/>
    <n v="3.99"/>
    <n v="2026"/>
    <x v="0"/>
    <n v="5"/>
    <n v="1"/>
    <n v="19"/>
    <n v="0.55000000000000004"/>
    <n v="0.36272727272727273"/>
    <x v="3"/>
  </r>
  <r>
    <d v="2026-01-05T20:00:00"/>
    <x v="1"/>
    <s v="R107"/>
    <n v="9"/>
    <n v="30"/>
    <n v="22.789216149125352"/>
    <s v="22–24°C"/>
    <n v="3.7"/>
    <n v="2026"/>
    <x v="0"/>
    <n v="5"/>
    <n v="1"/>
    <n v="20"/>
    <n v="0.3"/>
    <n v="0.41111111111111115"/>
    <x v="3"/>
  </r>
  <r>
    <d v="2026-01-05T21:00:00"/>
    <x v="2"/>
    <s v="R119"/>
    <n v="11"/>
    <n v="40"/>
    <n v="23.647600255211891"/>
    <s v="22–24°C"/>
    <n v="3.71"/>
    <n v="2026"/>
    <x v="0"/>
    <n v="5"/>
    <n v="1"/>
    <n v="21"/>
    <n v="0.27500000000000002"/>
    <n v="0.33727272727272728"/>
    <x v="0"/>
  </r>
  <r>
    <d v="2026-01-05T22:00:00"/>
    <x v="4"/>
    <s v="R106"/>
    <n v="8"/>
    <n v="40"/>
    <n v="20.41063704855819"/>
    <s v="20–22°C"/>
    <n v="3.39"/>
    <n v="2026"/>
    <x v="0"/>
    <n v="5"/>
    <n v="1"/>
    <n v="22"/>
    <n v="0.2"/>
    <n v="0.42375000000000002"/>
    <x v="0"/>
  </r>
  <r>
    <d v="2026-01-05T23:00:00"/>
    <x v="3"/>
    <s v="R117"/>
    <n v="6"/>
    <n v="30"/>
    <n v="18.80968495464003"/>
    <s v="18–20°C"/>
    <n v="2.85"/>
    <n v="2026"/>
    <x v="0"/>
    <n v="5"/>
    <n v="1"/>
    <n v="23"/>
    <n v="0.2"/>
    <n v="0.47500000000000003"/>
    <x v="0"/>
  </r>
  <r>
    <d v="2026-01-06T00:00:00"/>
    <x v="4"/>
    <s v="R119"/>
    <n v="7"/>
    <n v="25"/>
    <n v="24.694158019970072"/>
    <s v="24–26°C"/>
    <n v="3.32"/>
    <n v="2026"/>
    <x v="0"/>
    <n v="6"/>
    <n v="2"/>
    <n v="0"/>
    <n v="0.28000000000000003"/>
    <n v="0.47428571428571425"/>
    <x v="0"/>
  </r>
  <r>
    <d v="2026-01-06T01:00:00"/>
    <x v="2"/>
    <s v="R107"/>
    <n v="8"/>
    <n v="30"/>
    <n v="24.455259087273959"/>
    <s v="24–26°C"/>
    <n v="3.18"/>
    <n v="2026"/>
    <x v="0"/>
    <n v="6"/>
    <n v="2"/>
    <n v="1"/>
    <n v="0.26666666666666666"/>
    <n v="0.39750000000000002"/>
    <x v="0"/>
  </r>
  <r>
    <d v="2026-01-06T02:00:00"/>
    <x v="2"/>
    <s v="R113"/>
    <n v="5"/>
    <n v="40"/>
    <n v="24.832655349404959"/>
    <s v="24–26°C"/>
    <n v="2.58"/>
    <n v="2026"/>
    <x v="0"/>
    <n v="6"/>
    <n v="2"/>
    <n v="2"/>
    <n v="0.125"/>
    <n v="0.51600000000000001"/>
    <x v="0"/>
  </r>
  <r>
    <d v="2026-01-06T03:00:00"/>
    <x v="4"/>
    <s v="R117"/>
    <n v="5"/>
    <n v="30"/>
    <n v="25.216365633475029"/>
    <s v="24–26°C"/>
    <n v="2.2200000000000002"/>
    <n v="2026"/>
    <x v="0"/>
    <n v="6"/>
    <n v="2"/>
    <n v="3"/>
    <n v="0.16666666666666666"/>
    <n v="0.44400000000000006"/>
    <x v="0"/>
  </r>
  <r>
    <d v="2026-01-06T04:00:00"/>
    <x v="2"/>
    <s v="R116"/>
    <n v="9"/>
    <n v="40"/>
    <n v="23.300837810287149"/>
    <s v="22–24°C"/>
    <n v="3.35"/>
    <n v="2026"/>
    <x v="0"/>
    <n v="6"/>
    <n v="2"/>
    <n v="4"/>
    <n v="0.22500000000000001"/>
    <n v="0.37222222222222223"/>
    <x v="0"/>
  </r>
  <r>
    <d v="2026-01-06T05:00:00"/>
    <x v="2"/>
    <s v="R102"/>
    <n v="9"/>
    <n v="20"/>
    <n v="26.266863064602191"/>
    <s v="26–28°C"/>
    <n v="3.35"/>
    <n v="2026"/>
    <x v="0"/>
    <n v="6"/>
    <n v="2"/>
    <n v="5"/>
    <n v="0.45"/>
    <n v="0.37222222222222223"/>
    <x v="0"/>
  </r>
  <r>
    <d v="2026-01-06T06:00:00"/>
    <x v="4"/>
    <s v="R109"/>
    <n v="11"/>
    <n v="40"/>
    <n v="25.378940977849279"/>
    <s v="24–26°C"/>
    <n v="3.69"/>
    <n v="2026"/>
    <x v="0"/>
    <n v="6"/>
    <n v="2"/>
    <n v="6"/>
    <n v="0.27500000000000002"/>
    <n v="0.33545454545454545"/>
    <x v="0"/>
  </r>
  <r>
    <d v="2026-01-06T07:00:00"/>
    <x v="4"/>
    <s v="R114"/>
    <n v="7"/>
    <n v="30"/>
    <n v="20.807449826209599"/>
    <s v="20–22°C"/>
    <n v="2.2999999999999998"/>
    <n v="2026"/>
    <x v="0"/>
    <n v="6"/>
    <n v="2"/>
    <n v="7"/>
    <n v="0.23333333333333334"/>
    <n v="0.32857142857142857"/>
    <x v="1"/>
  </r>
  <r>
    <d v="2026-01-06T08:00:00"/>
    <x v="3"/>
    <s v="R111"/>
    <n v="7"/>
    <n v="20"/>
    <n v="26.284030320272741"/>
    <s v="26–28°C"/>
    <n v="3.5"/>
    <n v="2026"/>
    <x v="0"/>
    <n v="6"/>
    <n v="2"/>
    <n v="8"/>
    <n v="0.35"/>
    <n v="0.5"/>
    <x v="1"/>
  </r>
  <r>
    <d v="2026-01-06T09:00:00"/>
    <x v="1"/>
    <s v="R101"/>
    <n v="7"/>
    <n v="20"/>
    <n v="20.220855066472812"/>
    <s v="20–22°C"/>
    <n v="2.3199999999999998"/>
    <n v="2026"/>
    <x v="0"/>
    <n v="6"/>
    <n v="2"/>
    <n v="9"/>
    <n v="0.35"/>
    <n v="0.33142857142857141"/>
    <x v="1"/>
  </r>
  <r>
    <d v="2026-01-06T10:00:00"/>
    <x v="0"/>
    <s v="R111"/>
    <n v="8"/>
    <n v="40"/>
    <n v="22.494628623998072"/>
    <s v="22–24°C"/>
    <n v="2.99"/>
    <n v="2026"/>
    <x v="0"/>
    <n v="6"/>
    <n v="2"/>
    <n v="10"/>
    <n v="0.2"/>
    <n v="0.37375000000000003"/>
    <x v="1"/>
  </r>
  <r>
    <d v="2026-01-06T11:00:00"/>
    <x v="1"/>
    <s v="R120"/>
    <n v="6"/>
    <n v="40"/>
    <n v="21.02281778569817"/>
    <s v="20–22°C"/>
    <n v="2.12"/>
    <n v="2026"/>
    <x v="0"/>
    <n v="6"/>
    <n v="2"/>
    <n v="11"/>
    <n v="0.15"/>
    <n v="0.35333333333333333"/>
    <x v="1"/>
  </r>
  <r>
    <d v="2026-01-06T12:00:00"/>
    <x v="2"/>
    <s v="R112"/>
    <n v="8"/>
    <n v="25"/>
    <n v="21.061600779372469"/>
    <s v="20–22°C"/>
    <n v="3.11"/>
    <n v="2026"/>
    <x v="0"/>
    <n v="6"/>
    <n v="2"/>
    <n v="12"/>
    <n v="0.32"/>
    <n v="0.38874999999999998"/>
    <x v="2"/>
  </r>
  <r>
    <d v="2026-01-06T13:00:00"/>
    <x v="4"/>
    <s v="R113"/>
    <n v="9"/>
    <n v="40"/>
    <n v="23.943922666493219"/>
    <s v="22–24°C"/>
    <n v="3.38"/>
    <n v="2026"/>
    <x v="0"/>
    <n v="6"/>
    <n v="2"/>
    <n v="13"/>
    <n v="0.22500000000000001"/>
    <n v="0.37555555555555553"/>
    <x v="2"/>
  </r>
  <r>
    <d v="2026-01-06T14:00:00"/>
    <x v="1"/>
    <s v="R109"/>
    <n v="10"/>
    <n v="40"/>
    <n v="21.563185468861601"/>
    <s v="20–22°C"/>
    <n v="3.63"/>
    <n v="2026"/>
    <x v="0"/>
    <n v="6"/>
    <n v="2"/>
    <n v="14"/>
    <n v="0.25"/>
    <n v="0.36299999999999999"/>
    <x v="2"/>
  </r>
  <r>
    <d v="2026-01-06T15:00:00"/>
    <x v="1"/>
    <s v="R113"/>
    <n v="10"/>
    <n v="30"/>
    <n v="25.44916887525229"/>
    <s v="24–26°C"/>
    <n v="4.3"/>
    <n v="2026"/>
    <x v="0"/>
    <n v="6"/>
    <n v="2"/>
    <n v="15"/>
    <n v="0.33333333333333331"/>
    <n v="0.43"/>
    <x v="2"/>
  </r>
  <r>
    <d v="2026-01-06T16:00:00"/>
    <x v="2"/>
    <s v="R103"/>
    <n v="9"/>
    <n v="40"/>
    <n v="24.952767906924201"/>
    <s v="24–26°C"/>
    <n v="3.82"/>
    <n v="2026"/>
    <x v="0"/>
    <n v="6"/>
    <n v="2"/>
    <n v="16"/>
    <n v="0.22500000000000001"/>
    <n v="0.4244444444444444"/>
    <x v="2"/>
  </r>
  <r>
    <d v="2026-01-06T17:00:00"/>
    <x v="0"/>
    <s v="R108"/>
    <n v="6"/>
    <n v="40"/>
    <n v="21.83663817210271"/>
    <s v="20–22°C"/>
    <n v="2.02"/>
    <n v="2026"/>
    <x v="0"/>
    <n v="6"/>
    <n v="2"/>
    <n v="17"/>
    <n v="0.15"/>
    <n v="0.33666666666666667"/>
    <x v="3"/>
  </r>
  <r>
    <d v="2026-01-06T18:00:00"/>
    <x v="2"/>
    <s v="R116"/>
    <n v="4"/>
    <n v="30"/>
    <n v="21.756363398987219"/>
    <s v="20–22°C"/>
    <n v="2.0499999999999998"/>
    <n v="2026"/>
    <x v="0"/>
    <n v="6"/>
    <n v="2"/>
    <n v="18"/>
    <n v="0.13333333333333333"/>
    <n v="0.51249999999999996"/>
    <x v="3"/>
  </r>
  <r>
    <d v="2026-01-06T19:00:00"/>
    <x v="0"/>
    <s v="R102"/>
    <n v="12"/>
    <n v="30"/>
    <n v="24.11665382504345"/>
    <s v="24–26°C"/>
    <n v="4.1399999999999997"/>
    <n v="2026"/>
    <x v="0"/>
    <n v="6"/>
    <n v="2"/>
    <n v="19"/>
    <n v="0.4"/>
    <n v="0.34499999999999997"/>
    <x v="3"/>
  </r>
  <r>
    <d v="2026-01-06T20:00:00"/>
    <x v="2"/>
    <s v="R104"/>
    <n v="7"/>
    <n v="25"/>
    <n v="25.182620241188541"/>
    <s v="24–26°C"/>
    <n v="3.21"/>
    <n v="2026"/>
    <x v="0"/>
    <n v="6"/>
    <n v="2"/>
    <n v="20"/>
    <n v="0.28000000000000003"/>
    <n v="0.45857142857142857"/>
    <x v="3"/>
  </r>
  <r>
    <d v="2026-01-06T21:00:00"/>
    <x v="2"/>
    <s v="R120"/>
    <n v="10"/>
    <n v="25"/>
    <n v="21.945061352772289"/>
    <s v="20–22°C"/>
    <n v="3.42"/>
    <n v="2026"/>
    <x v="0"/>
    <n v="6"/>
    <n v="2"/>
    <n v="21"/>
    <n v="0.4"/>
    <n v="0.34199999999999997"/>
    <x v="0"/>
  </r>
  <r>
    <d v="2026-01-06T22:00:00"/>
    <x v="3"/>
    <s v="R102"/>
    <n v="7"/>
    <n v="30"/>
    <n v="23.174372808412858"/>
    <s v="22–24°C"/>
    <n v="2.94"/>
    <n v="2026"/>
    <x v="0"/>
    <n v="6"/>
    <n v="2"/>
    <n v="22"/>
    <n v="0.23333333333333334"/>
    <n v="0.42"/>
    <x v="0"/>
  </r>
  <r>
    <d v="2026-01-06T23:00:00"/>
    <x v="1"/>
    <s v="R117"/>
    <n v="11"/>
    <n v="20"/>
    <n v="22.122825587485409"/>
    <s v="22–24°C"/>
    <n v="3.92"/>
    <n v="2026"/>
    <x v="0"/>
    <n v="6"/>
    <n v="2"/>
    <n v="23"/>
    <n v="0.55000000000000004"/>
    <n v="0.35636363636363638"/>
    <x v="0"/>
  </r>
  <r>
    <d v="2026-01-07T00:00:00"/>
    <x v="2"/>
    <s v="R118"/>
    <n v="9"/>
    <n v="30"/>
    <n v="23.10107163118801"/>
    <s v="22–24°C"/>
    <n v="3.27"/>
    <n v="2026"/>
    <x v="0"/>
    <n v="7"/>
    <n v="3"/>
    <n v="0"/>
    <n v="0.3"/>
    <n v="0.36333333333333334"/>
    <x v="0"/>
  </r>
  <r>
    <d v="2026-01-07T01:00:00"/>
    <x v="4"/>
    <s v="R111"/>
    <n v="10"/>
    <n v="40"/>
    <n v="21.780975595681429"/>
    <s v="20–22°C"/>
    <n v="3.28"/>
    <n v="2026"/>
    <x v="0"/>
    <n v="7"/>
    <n v="3"/>
    <n v="1"/>
    <n v="0.25"/>
    <n v="0.32799999999999996"/>
    <x v="0"/>
  </r>
  <r>
    <d v="2026-01-07T02:00:00"/>
    <x v="3"/>
    <s v="R119"/>
    <n v="6"/>
    <n v="40"/>
    <n v="17.223457589614551"/>
    <s v="16–18°C"/>
    <n v="3.1"/>
    <n v="2026"/>
    <x v="0"/>
    <n v="7"/>
    <n v="3"/>
    <n v="2"/>
    <n v="0.15"/>
    <n v="0.51666666666666672"/>
    <x v="0"/>
  </r>
  <r>
    <d v="2026-01-07T03:00:00"/>
    <x v="4"/>
    <s v="R103"/>
    <n v="6"/>
    <n v="20"/>
    <n v="22.573114258139579"/>
    <s v="22–24°C"/>
    <n v="2.83"/>
    <n v="2026"/>
    <x v="0"/>
    <n v="7"/>
    <n v="3"/>
    <n v="3"/>
    <n v="0.3"/>
    <n v="0.47166666666666668"/>
    <x v="0"/>
  </r>
  <r>
    <d v="2026-01-07T04:00:00"/>
    <x v="4"/>
    <s v="R112"/>
    <n v="6"/>
    <n v="40"/>
    <n v="22.265551568090011"/>
    <s v="22–24°C"/>
    <n v="2.13"/>
    <n v="2026"/>
    <x v="0"/>
    <n v="7"/>
    <n v="3"/>
    <n v="4"/>
    <n v="0.15"/>
    <n v="0.35499999999999998"/>
    <x v="0"/>
  </r>
  <r>
    <d v="2026-01-07T05:00:00"/>
    <x v="1"/>
    <s v="R107"/>
    <n v="8"/>
    <n v="40"/>
    <n v="17.892157730196089"/>
    <s v="16–18°C"/>
    <n v="3.7"/>
    <n v="2026"/>
    <x v="0"/>
    <n v="7"/>
    <n v="3"/>
    <n v="5"/>
    <n v="0.2"/>
    <n v="0.46250000000000002"/>
    <x v="0"/>
  </r>
  <r>
    <d v="2026-01-07T06:00:00"/>
    <x v="4"/>
    <s v="R109"/>
    <n v="9"/>
    <n v="30"/>
    <n v="21.84697919854656"/>
    <s v="20–22°C"/>
    <n v="2.2999999999999998"/>
    <n v="2026"/>
    <x v="0"/>
    <n v="7"/>
    <n v="3"/>
    <n v="6"/>
    <n v="0.3"/>
    <n v="0.25555555555555554"/>
    <x v="0"/>
  </r>
  <r>
    <d v="2026-01-07T07:00:00"/>
    <x v="3"/>
    <s v="R110"/>
    <n v="4"/>
    <n v="30"/>
    <n v="21.011787533915619"/>
    <s v="20–22°C"/>
    <n v="1.94"/>
    <n v="2026"/>
    <x v="0"/>
    <n v="7"/>
    <n v="3"/>
    <n v="7"/>
    <n v="0.13333333333333333"/>
    <n v="0.48499999999999999"/>
    <x v="1"/>
  </r>
  <r>
    <d v="2026-01-07T08:00:00"/>
    <x v="0"/>
    <s v="R108"/>
    <n v="8"/>
    <n v="40"/>
    <n v="20.25619771413729"/>
    <s v="20–22°C"/>
    <n v="2.58"/>
    <n v="2026"/>
    <x v="0"/>
    <n v="7"/>
    <n v="3"/>
    <n v="8"/>
    <n v="0.2"/>
    <n v="0.32250000000000001"/>
    <x v="1"/>
  </r>
  <r>
    <d v="2026-01-07T09:00:00"/>
    <x v="1"/>
    <s v="R103"/>
    <n v="10"/>
    <n v="30"/>
    <n v="22.82331468198181"/>
    <s v="22–24°C"/>
    <n v="3.7"/>
    <n v="2026"/>
    <x v="0"/>
    <n v="7"/>
    <n v="3"/>
    <n v="9"/>
    <n v="0.33333333333333331"/>
    <n v="0.37"/>
    <x v="1"/>
  </r>
  <r>
    <d v="2026-01-07T10:00:00"/>
    <x v="1"/>
    <s v="R120"/>
    <n v="9"/>
    <n v="20"/>
    <n v="22.542034277019511"/>
    <s v="22–24°C"/>
    <n v="3.16"/>
    <n v="2026"/>
    <x v="0"/>
    <n v="7"/>
    <n v="3"/>
    <n v="10"/>
    <n v="0.45"/>
    <n v="0.35111111111111115"/>
    <x v="1"/>
  </r>
  <r>
    <d v="2026-01-07T11:00:00"/>
    <x v="3"/>
    <s v="R116"/>
    <n v="3"/>
    <n v="40"/>
    <n v="21.39501453357671"/>
    <s v="20–22°C"/>
    <n v="2.0299999999999998"/>
    <n v="2026"/>
    <x v="0"/>
    <n v="7"/>
    <n v="3"/>
    <n v="11"/>
    <n v="7.4999999999999997E-2"/>
    <n v="0.67666666666666664"/>
    <x v="1"/>
  </r>
  <r>
    <d v="2026-01-07T12:00:00"/>
    <x v="1"/>
    <s v="R120"/>
    <n v="6"/>
    <n v="20"/>
    <n v="25.371408309325989"/>
    <s v="24–26°C"/>
    <n v="3.02"/>
    <n v="2026"/>
    <x v="0"/>
    <n v="7"/>
    <n v="3"/>
    <n v="12"/>
    <n v="0.3"/>
    <n v="0.5033333333333333"/>
    <x v="2"/>
  </r>
  <r>
    <d v="2026-01-07T13:00:00"/>
    <x v="4"/>
    <s v="R105"/>
    <n v="4"/>
    <n v="30"/>
    <n v="24.214262201567241"/>
    <s v="24–26°C"/>
    <n v="2.5299999999999998"/>
    <n v="2026"/>
    <x v="0"/>
    <n v="7"/>
    <n v="3"/>
    <n v="13"/>
    <n v="0.13333333333333333"/>
    <n v="0.63249999999999995"/>
    <x v="2"/>
  </r>
  <r>
    <d v="2026-01-07T14:00:00"/>
    <x v="3"/>
    <s v="R115"/>
    <n v="7"/>
    <n v="20"/>
    <n v="25.91123738016223"/>
    <s v="24–26°C"/>
    <n v="3.68"/>
    <n v="2026"/>
    <x v="0"/>
    <n v="7"/>
    <n v="3"/>
    <n v="14"/>
    <n v="0.35"/>
    <n v="0.52571428571428569"/>
    <x v="2"/>
  </r>
  <r>
    <d v="2026-01-07T15:00:00"/>
    <x v="2"/>
    <s v="R104"/>
    <n v="9"/>
    <n v="40"/>
    <n v="24.158885145734519"/>
    <s v="24–26°C"/>
    <n v="3.42"/>
    <n v="2026"/>
    <x v="0"/>
    <n v="7"/>
    <n v="3"/>
    <n v="15"/>
    <n v="0.22500000000000001"/>
    <n v="0.38"/>
    <x v="2"/>
  </r>
  <r>
    <d v="2026-01-07T16:00:00"/>
    <x v="1"/>
    <s v="R112"/>
    <n v="10"/>
    <n v="25"/>
    <n v="22.502617747632911"/>
    <s v="22–24°C"/>
    <n v="3.86"/>
    <n v="2026"/>
    <x v="0"/>
    <n v="7"/>
    <n v="3"/>
    <n v="16"/>
    <n v="0.4"/>
    <n v="0.38600000000000001"/>
    <x v="2"/>
  </r>
  <r>
    <d v="2026-01-07T17:00:00"/>
    <x v="3"/>
    <s v="R106"/>
    <n v="9"/>
    <n v="30"/>
    <n v="23.799375903505279"/>
    <s v="22–24°C"/>
    <n v="3.12"/>
    <n v="2026"/>
    <x v="0"/>
    <n v="7"/>
    <n v="3"/>
    <n v="17"/>
    <n v="0.3"/>
    <n v="0.34666666666666668"/>
    <x v="3"/>
  </r>
  <r>
    <d v="2026-01-07T18:00:00"/>
    <x v="4"/>
    <s v="R102"/>
    <n v="14"/>
    <n v="20"/>
    <n v="22.49906392201618"/>
    <s v="22–24°C"/>
    <n v="4.37"/>
    <n v="2026"/>
    <x v="0"/>
    <n v="7"/>
    <n v="3"/>
    <n v="18"/>
    <n v="0.7"/>
    <n v="0.31214285714285717"/>
    <x v="3"/>
  </r>
  <r>
    <d v="2026-01-07T19:00:00"/>
    <x v="3"/>
    <s v="R103"/>
    <n v="9"/>
    <n v="40"/>
    <n v="21.970716901563701"/>
    <s v="20–22°C"/>
    <n v="2.72"/>
    <n v="2026"/>
    <x v="0"/>
    <n v="7"/>
    <n v="3"/>
    <n v="19"/>
    <n v="0.22500000000000001"/>
    <n v="0.30222222222222223"/>
    <x v="3"/>
  </r>
  <r>
    <d v="2026-01-07T20:00:00"/>
    <x v="3"/>
    <s v="R104"/>
    <n v="4"/>
    <n v="30"/>
    <n v="21.430203373835521"/>
    <s v="20–22°C"/>
    <n v="2.08"/>
    <n v="2026"/>
    <x v="0"/>
    <n v="7"/>
    <n v="3"/>
    <n v="20"/>
    <n v="0.13333333333333333"/>
    <n v="0.52"/>
    <x v="3"/>
  </r>
  <r>
    <d v="2026-01-07T21:00:00"/>
    <x v="4"/>
    <s v="R117"/>
    <n v="11"/>
    <n v="25"/>
    <n v="20.163268534133941"/>
    <s v="20–22°C"/>
    <n v="3.3"/>
    <n v="2026"/>
    <x v="0"/>
    <n v="7"/>
    <n v="3"/>
    <n v="21"/>
    <n v="0.44"/>
    <n v="0.3"/>
    <x v="0"/>
  </r>
  <r>
    <d v="2026-01-07T22:00:00"/>
    <x v="3"/>
    <s v="R107"/>
    <n v="5"/>
    <n v="20"/>
    <n v="21.896283708215108"/>
    <s v="20–22°C"/>
    <n v="2.83"/>
    <n v="2026"/>
    <x v="0"/>
    <n v="7"/>
    <n v="3"/>
    <n v="22"/>
    <n v="0.25"/>
    <n v="0.56600000000000006"/>
    <x v="0"/>
  </r>
  <r>
    <d v="2026-01-07T23:00:00"/>
    <x v="0"/>
    <s v="R107"/>
    <n v="10"/>
    <n v="25"/>
    <n v="25.231804106730721"/>
    <s v="24–26°C"/>
    <n v="3.59"/>
    <n v="2026"/>
    <x v="0"/>
    <n v="7"/>
    <n v="3"/>
    <n v="23"/>
    <n v="0.4"/>
    <n v="0.35899999999999999"/>
    <x v="0"/>
  </r>
  <r>
    <d v="2026-01-08T00:00:00"/>
    <x v="4"/>
    <s v="R112"/>
    <n v="7"/>
    <n v="40"/>
    <n v="23.96011916017337"/>
    <s v="22–24°C"/>
    <n v="2.4300000000000002"/>
    <n v="2026"/>
    <x v="0"/>
    <n v="8"/>
    <n v="4"/>
    <n v="0"/>
    <n v="0.17499999999999999"/>
    <n v="0.34714285714285714"/>
    <x v="0"/>
  </r>
  <r>
    <d v="2026-01-08T01:00:00"/>
    <x v="3"/>
    <s v="R110"/>
    <n v="13"/>
    <n v="20"/>
    <n v="20.17835100382425"/>
    <s v="20–22°C"/>
    <n v="3.97"/>
    <n v="2026"/>
    <x v="0"/>
    <n v="8"/>
    <n v="4"/>
    <n v="1"/>
    <n v="0.65"/>
    <n v="0.30538461538461542"/>
    <x v="0"/>
  </r>
  <r>
    <d v="2026-01-08T02:00:00"/>
    <x v="0"/>
    <s v="R106"/>
    <n v="3"/>
    <n v="20"/>
    <n v="19.20807031738542"/>
    <s v="18–20°C"/>
    <n v="2.02"/>
    <n v="2026"/>
    <x v="0"/>
    <n v="8"/>
    <n v="4"/>
    <n v="2"/>
    <n v="0.15"/>
    <n v="0.67333333333333334"/>
    <x v="0"/>
  </r>
  <r>
    <d v="2026-01-08T03:00:00"/>
    <x v="2"/>
    <s v="R114"/>
    <n v="10"/>
    <n v="20"/>
    <n v="22.944970189898729"/>
    <s v="22–24°C"/>
    <n v="3.97"/>
    <n v="2026"/>
    <x v="0"/>
    <n v="8"/>
    <n v="4"/>
    <n v="3"/>
    <n v="0.5"/>
    <n v="0.39700000000000002"/>
    <x v="0"/>
  </r>
  <r>
    <d v="2026-01-08T04:00:00"/>
    <x v="3"/>
    <s v="R109"/>
    <n v="9"/>
    <n v="40"/>
    <n v="22.799691847040091"/>
    <s v="22–24°C"/>
    <n v="3.11"/>
    <n v="2026"/>
    <x v="0"/>
    <n v="8"/>
    <n v="4"/>
    <n v="4"/>
    <n v="0.22500000000000001"/>
    <n v="0.34555555555555556"/>
    <x v="0"/>
  </r>
  <r>
    <d v="2026-01-08T05:00:00"/>
    <x v="2"/>
    <s v="R108"/>
    <n v="8"/>
    <n v="40"/>
    <n v="21.947843935576081"/>
    <s v="20–22°C"/>
    <n v="2.8"/>
    <n v="2026"/>
    <x v="0"/>
    <n v="8"/>
    <n v="4"/>
    <n v="5"/>
    <n v="0.2"/>
    <n v="0.35"/>
    <x v="0"/>
  </r>
  <r>
    <d v="2026-01-08T06:00:00"/>
    <x v="2"/>
    <s v="R107"/>
    <n v="7"/>
    <n v="30"/>
    <n v="23.494154755612609"/>
    <s v="22–24°C"/>
    <n v="2.8"/>
    <n v="2026"/>
    <x v="0"/>
    <n v="8"/>
    <n v="4"/>
    <n v="6"/>
    <n v="0.23333333333333334"/>
    <n v="0.39999999999999997"/>
    <x v="0"/>
  </r>
  <r>
    <d v="2026-01-08T07:00:00"/>
    <x v="3"/>
    <s v="R106"/>
    <n v="9"/>
    <n v="25"/>
    <n v="20.333685378692689"/>
    <s v="20–22°C"/>
    <n v="4.0199999999999996"/>
    <n v="2026"/>
    <x v="0"/>
    <n v="8"/>
    <n v="4"/>
    <n v="7"/>
    <n v="0.36"/>
    <n v="0.4466666666666666"/>
    <x v="1"/>
  </r>
  <r>
    <d v="2026-01-08T08:00:00"/>
    <x v="3"/>
    <s v="R105"/>
    <n v="6"/>
    <n v="40"/>
    <n v="23.401138394461881"/>
    <s v="22–24°C"/>
    <n v="2.85"/>
    <n v="2026"/>
    <x v="0"/>
    <n v="8"/>
    <n v="4"/>
    <n v="8"/>
    <n v="0.15"/>
    <n v="0.47500000000000003"/>
    <x v="1"/>
  </r>
  <r>
    <d v="2026-01-08T09:00:00"/>
    <x v="2"/>
    <s v="R117"/>
    <n v="7"/>
    <n v="25"/>
    <n v="20.855721976028789"/>
    <s v="20–22°C"/>
    <n v="1.85"/>
    <n v="2026"/>
    <x v="0"/>
    <n v="8"/>
    <n v="4"/>
    <n v="9"/>
    <n v="0.28000000000000003"/>
    <n v="0.26428571428571429"/>
    <x v="1"/>
  </r>
  <r>
    <d v="2026-01-08T10:00:00"/>
    <x v="3"/>
    <s v="R109"/>
    <n v="9"/>
    <n v="40"/>
    <n v="22.634207117790321"/>
    <s v="22–24°C"/>
    <n v="3.56"/>
    <n v="2026"/>
    <x v="0"/>
    <n v="8"/>
    <n v="4"/>
    <n v="10"/>
    <n v="0.22500000000000001"/>
    <n v="0.39555555555555555"/>
    <x v="1"/>
  </r>
  <r>
    <d v="2026-01-08T11:00:00"/>
    <x v="4"/>
    <s v="R103"/>
    <n v="5"/>
    <n v="30"/>
    <n v="23.245340631989588"/>
    <s v="22–24°C"/>
    <n v="2.72"/>
    <n v="2026"/>
    <x v="0"/>
    <n v="8"/>
    <n v="4"/>
    <n v="11"/>
    <n v="0.16666666666666666"/>
    <n v="0.54400000000000004"/>
    <x v="1"/>
  </r>
  <r>
    <d v="2026-01-08T12:00:00"/>
    <x v="3"/>
    <s v="R110"/>
    <n v="8"/>
    <n v="25"/>
    <n v="22.87791314906001"/>
    <s v="22–24°C"/>
    <n v="2.71"/>
    <n v="2026"/>
    <x v="0"/>
    <n v="8"/>
    <n v="4"/>
    <n v="12"/>
    <n v="0.32"/>
    <n v="0.33875"/>
    <x v="2"/>
  </r>
  <r>
    <d v="2026-01-08T13:00:00"/>
    <x v="0"/>
    <s v="R117"/>
    <n v="11"/>
    <n v="20"/>
    <n v="23.72514163005297"/>
    <s v="22–24°C"/>
    <n v="4.22"/>
    <n v="2026"/>
    <x v="0"/>
    <n v="8"/>
    <n v="4"/>
    <n v="13"/>
    <n v="0.55000000000000004"/>
    <n v="0.38363636363636361"/>
    <x v="2"/>
  </r>
  <r>
    <d v="2026-01-08T14:00:00"/>
    <x v="4"/>
    <s v="R110"/>
    <n v="13"/>
    <n v="20"/>
    <n v="21.906985210982491"/>
    <s v="20–22°C"/>
    <n v="3.91"/>
    <n v="2026"/>
    <x v="0"/>
    <n v="8"/>
    <n v="4"/>
    <n v="14"/>
    <n v="0.65"/>
    <n v="0.30076923076923079"/>
    <x v="2"/>
  </r>
  <r>
    <d v="2026-01-08T15:00:00"/>
    <x v="0"/>
    <s v="R119"/>
    <n v="10"/>
    <n v="20"/>
    <n v="20.875212943706241"/>
    <s v="20–22°C"/>
    <n v="3.6"/>
    <n v="2026"/>
    <x v="0"/>
    <n v="8"/>
    <n v="4"/>
    <n v="15"/>
    <n v="0.5"/>
    <n v="0.36"/>
    <x v="2"/>
  </r>
  <r>
    <d v="2026-01-08T16:00:00"/>
    <x v="0"/>
    <s v="R107"/>
    <n v="5"/>
    <n v="40"/>
    <n v="24.159266346427149"/>
    <s v="24–26°C"/>
    <n v="2.4700000000000002"/>
    <n v="2026"/>
    <x v="0"/>
    <n v="8"/>
    <n v="4"/>
    <n v="16"/>
    <n v="0.125"/>
    <n v="0.49400000000000005"/>
    <x v="2"/>
  </r>
  <r>
    <d v="2026-01-08T17:00:00"/>
    <x v="4"/>
    <s v="R116"/>
    <n v="10"/>
    <n v="25"/>
    <n v="22.817661760887621"/>
    <s v="22–24°C"/>
    <n v="2.75"/>
    <n v="2026"/>
    <x v="0"/>
    <n v="8"/>
    <n v="4"/>
    <n v="17"/>
    <n v="0.4"/>
    <n v="0.27500000000000002"/>
    <x v="3"/>
  </r>
  <r>
    <d v="2026-01-08T18:00:00"/>
    <x v="0"/>
    <s v="R104"/>
    <n v="7"/>
    <n v="30"/>
    <n v="21.674572456274142"/>
    <s v="20–22°C"/>
    <n v="1.99"/>
    <n v="2026"/>
    <x v="0"/>
    <n v="8"/>
    <n v="4"/>
    <n v="18"/>
    <n v="0.23333333333333334"/>
    <n v="0.28428571428571431"/>
    <x v="3"/>
  </r>
  <r>
    <d v="2026-01-08T19:00:00"/>
    <x v="2"/>
    <s v="R104"/>
    <n v="12"/>
    <n v="40"/>
    <n v="23.56657574309228"/>
    <s v="22–24°C"/>
    <n v="3.96"/>
    <n v="2026"/>
    <x v="0"/>
    <n v="8"/>
    <n v="4"/>
    <n v="19"/>
    <n v="0.3"/>
    <n v="0.33"/>
    <x v="3"/>
  </r>
  <r>
    <d v="2026-01-08T20:00:00"/>
    <x v="3"/>
    <s v="R113"/>
    <n v="8"/>
    <n v="25"/>
    <n v="25.057365221392789"/>
    <s v="24–26°C"/>
    <n v="2.86"/>
    <n v="2026"/>
    <x v="0"/>
    <n v="8"/>
    <n v="4"/>
    <n v="20"/>
    <n v="0.32"/>
    <n v="0.35749999999999998"/>
    <x v="3"/>
  </r>
  <r>
    <d v="2026-01-08T21:00:00"/>
    <x v="0"/>
    <s v="R101"/>
    <n v="13"/>
    <n v="30"/>
    <n v="23.505873628530161"/>
    <s v="22–24°C"/>
    <n v="4.26"/>
    <n v="2026"/>
    <x v="0"/>
    <n v="8"/>
    <n v="4"/>
    <n v="21"/>
    <n v="0.43333333333333335"/>
    <n v="0.32769230769230767"/>
    <x v="0"/>
  </r>
  <r>
    <d v="2026-01-08T22:00:00"/>
    <x v="3"/>
    <s v="R115"/>
    <n v="6"/>
    <n v="25"/>
    <n v="24.026211596352169"/>
    <s v="24–26°C"/>
    <n v="2.5299999999999998"/>
    <n v="2026"/>
    <x v="0"/>
    <n v="8"/>
    <n v="4"/>
    <n v="22"/>
    <n v="0.24"/>
    <n v="0.42166666666666663"/>
    <x v="0"/>
  </r>
  <r>
    <d v="2026-01-08T23:00:00"/>
    <x v="4"/>
    <s v="R109"/>
    <n v="9"/>
    <n v="25"/>
    <n v="23.734574626802679"/>
    <s v="22–24°C"/>
    <n v="3.86"/>
    <n v="2026"/>
    <x v="0"/>
    <n v="8"/>
    <n v="4"/>
    <n v="23"/>
    <n v="0.36"/>
    <n v="0.42888888888888888"/>
    <x v="0"/>
  </r>
  <r>
    <d v="2026-01-09T00:00:00"/>
    <x v="0"/>
    <s v="R104"/>
    <n v="2"/>
    <n v="40"/>
    <n v="19.229599895957769"/>
    <s v="18–20°C"/>
    <n v="1.63"/>
    <n v="2026"/>
    <x v="0"/>
    <n v="9"/>
    <n v="5"/>
    <n v="0"/>
    <n v="0.05"/>
    <n v="0.81499999999999995"/>
    <x v="0"/>
  </r>
  <r>
    <d v="2026-01-09T01:00:00"/>
    <x v="4"/>
    <s v="R112"/>
    <n v="10"/>
    <n v="30"/>
    <n v="22.791101562925061"/>
    <s v="22–24°C"/>
    <n v="3.37"/>
    <n v="2026"/>
    <x v="0"/>
    <n v="9"/>
    <n v="5"/>
    <n v="1"/>
    <n v="0.33333333333333331"/>
    <n v="0.33700000000000002"/>
    <x v="0"/>
  </r>
  <r>
    <d v="2026-01-09T02:00:00"/>
    <x v="3"/>
    <s v="R113"/>
    <n v="8"/>
    <n v="20"/>
    <n v="23.530311054597771"/>
    <s v="22–24°C"/>
    <n v="3.22"/>
    <n v="2026"/>
    <x v="0"/>
    <n v="9"/>
    <n v="5"/>
    <n v="2"/>
    <n v="0.4"/>
    <n v="0.40250000000000002"/>
    <x v="0"/>
  </r>
  <r>
    <d v="2026-01-09T03:00:00"/>
    <x v="1"/>
    <s v="R120"/>
    <n v="15"/>
    <n v="30"/>
    <n v="21.06900402834189"/>
    <s v="20–22°C"/>
    <n v="4.7"/>
    <n v="2026"/>
    <x v="0"/>
    <n v="9"/>
    <n v="5"/>
    <n v="3"/>
    <n v="0.5"/>
    <n v="0.31333333333333335"/>
    <x v="0"/>
  </r>
  <r>
    <d v="2026-01-09T04:00:00"/>
    <x v="3"/>
    <s v="R108"/>
    <n v="9"/>
    <n v="20"/>
    <n v="22.120822577936451"/>
    <s v="22–24°C"/>
    <n v="2.41"/>
    <n v="2026"/>
    <x v="0"/>
    <n v="9"/>
    <n v="5"/>
    <n v="4"/>
    <n v="0.45"/>
    <n v="0.26777777777777778"/>
    <x v="0"/>
  </r>
  <r>
    <d v="2026-01-09T05:00:00"/>
    <x v="1"/>
    <s v="R113"/>
    <n v="5"/>
    <n v="25"/>
    <n v="23.90406668917154"/>
    <s v="22–24°C"/>
    <n v="1.96"/>
    <n v="2026"/>
    <x v="0"/>
    <n v="9"/>
    <n v="5"/>
    <n v="5"/>
    <n v="0.2"/>
    <n v="0.39200000000000002"/>
    <x v="0"/>
  </r>
  <r>
    <d v="2026-01-09T06:00:00"/>
    <x v="4"/>
    <s v="R102"/>
    <n v="3"/>
    <n v="20"/>
    <n v="25.168959166146141"/>
    <s v="24–26°C"/>
    <n v="1.85"/>
    <n v="2026"/>
    <x v="0"/>
    <n v="9"/>
    <n v="5"/>
    <n v="6"/>
    <n v="0.15"/>
    <n v="0.6166666666666667"/>
    <x v="0"/>
  </r>
  <r>
    <d v="2026-01-09T07:00:00"/>
    <x v="3"/>
    <s v="R113"/>
    <n v="7"/>
    <n v="40"/>
    <n v="23.207088277278789"/>
    <s v="22–24°C"/>
    <n v="2.08"/>
    <n v="2026"/>
    <x v="0"/>
    <n v="9"/>
    <n v="5"/>
    <n v="7"/>
    <n v="0.17499999999999999"/>
    <n v="0.29714285714285715"/>
    <x v="1"/>
  </r>
  <r>
    <d v="2026-01-09T08:00:00"/>
    <x v="4"/>
    <s v="R110"/>
    <n v="11"/>
    <n v="25"/>
    <n v="24.842495369820689"/>
    <s v="24–26°C"/>
    <n v="3.81"/>
    <n v="2026"/>
    <x v="0"/>
    <n v="9"/>
    <n v="5"/>
    <n v="8"/>
    <n v="0.44"/>
    <n v="0.34636363636363637"/>
    <x v="1"/>
  </r>
  <r>
    <d v="2026-01-09T09:00:00"/>
    <x v="0"/>
    <s v="R120"/>
    <n v="4"/>
    <n v="40"/>
    <n v="26.22444125651085"/>
    <s v="26–28°C"/>
    <n v="2.7"/>
    <n v="2026"/>
    <x v="0"/>
    <n v="9"/>
    <n v="5"/>
    <n v="9"/>
    <n v="0.1"/>
    <n v="0.67500000000000004"/>
    <x v="1"/>
  </r>
  <r>
    <d v="2026-01-09T10:00:00"/>
    <x v="2"/>
    <s v="R106"/>
    <n v="6"/>
    <n v="30"/>
    <n v="24.023848182058551"/>
    <s v="24–26°C"/>
    <n v="2.5499999999999998"/>
    <n v="2026"/>
    <x v="0"/>
    <n v="9"/>
    <n v="5"/>
    <n v="10"/>
    <n v="0.2"/>
    <n v="0.42499999999999999"/>
    <x v="1"/>
  </r>
  <r>
    <d v="2026-01-09T11:00:00"/>
    <x v="3"/>
    <s v="R111"/>
    <n v="8"/>
    <n v="25"/>
    <n v="21.775125250719121"/>
    <s v="20–22°C"/>
    <n v="2.94"/>
    <n v="2026"/>
    <x v="0"/>
    <n v="9"/>
    <n v="5"/>
    <n v="11"/>
    <n v="0.32"/>
    <n v="0.36749999999999999"/>
    <x v="1"/>
  </r>
  <r>
    <d v="2026-01-09T12:00:00"/>
    <x v="2"/>
    <s v="R116"/>
    <n v="4"/>
    <n v="40"/>
    <n v="19.605805230027499"/>
    <s v="18–20°C"/>
    <n v="1.97"/>
    <n v="2026"/>
    <x v="0"/>
    <n v="9"/>
    <n v="5"/>
    <n v="12"/>
    <n v="0.1"/>
    <n v="0.49249999999999999"/>
    <x v="2"/>
  </r>
  <r>
    <d v="2026-01-09T13:00:00"/>
    <x v="1"/>
    <s v="R114"/>
    <n v="5"/>
    <n v="25"/>
    <n v="24.710920017365289"/>
    <s v="24–26°C"/>
    <n v="2.84"/>
    <n v="2026"/>
    <x v="0"/>
    <n v="9"/>
    <n v="5"/>
    <n v="13"/>
    <n v="0.2"/>
    <n v="0.56799999999999995"/>
    <x v="2"/>
  </r>
  <r>
    <d v="2026-01-09T14:00:00"/>
    <x v="1"/>
    <s v="R114"/>
    <n v="14"/>
    <n v="40"/>
    <n v="25.60868048575631"/>
    <s v="24–26°C"/>
    <n v="4.34"/>
    <n v="2026"/>
    <x v="0"/>
    <n v="9"/>
    <n v="5"/>
    <n v="14"/>
    <n v="0.35"/>
    <n v="0.31"/>
    <x v="2"/>
  </r>
  <r>
    <d v="2026-01-09T15:00:00"/>
    <x v="3"/>
    <s v="R115"/>
    <n v="8"/>
    <n v="40"/>
    <n v="23.099157040969409"/>
    <s v="22–24°C"/>
    <n v="2.92"/>
    <n v="2026"/>
    <x v="0"/>
    <n v="9"/>
    <n v="5"/>
    <n v="15"/>
    <n v="0.2"/>
    <n v="0.36499999999999999"/>
    <x v="2"/>
  </r>
  <r>
    <d v="2026-01-09T16:00:00"/>
    <x v="2"/>
    <s v="R104"/>
    <n v="7"/>
    <n v="30"/>
    <n v="26.782775699100679"/>
    <s v="26–28°C"/>
    <n v="3.13"/>
    <n v="2026"/>
    <x v="0"/>
    <n v="9"/>
    <n v="5"/>
    <n v="16"/>
    <n v="0.23333333333333334"/>
    <n v="0.44714285714285712"/>
    <x v="2"/>
  </r>
  <r>
    <d v="2026-01-09T17:00:00"/>
    <x v="4"/>
    <s v="R108"/>
    <n v="6"/>
    <n v="30"/>
    <n v="22.823274081589329"/>
    <s v="22–24°C"/>
    <n v="2.31"/>
    <n v="2026"/>
    <x v="0"/>
    <n v="9"/>
    <n v="5"/>
    <n v="17"/>
    <n v="0.2"/>
    <n v="0.38500000000000001"/>
    <x v="3"/>
  </r>
  <r>
    <d v="2026-01-09T18:00:00"/>
    <x v="2"/>
    <s v="R118"/>
    <n v="6"/>
    <n v="20"/>
    <n v="22.813131858165999"/>
    <s v="22–24°C"/>
    <n v="2.4900000000000002"/>
    <n v="2026"/>
    <x v="0"/>
    <n v="9"/>
    <n v="5"/>
    <n v="18"/>
    <n v="0.3"/>
    <n v="0.41500000000000004"/>
    <x v="3"/>
  </r>
  <r>
    <d v="2026-01-09T19:00:00"/>
    <x v="4"/>
    <s v="R101"/>
    <n v="11"/>
    <n v="25"/>
    <n v="26.14562928183436"/>
    <s v="26–28°C"/>
    <n v="4.25"/>
    <n v="2026"/>
    <x v="0"/>
    <n v="9"/>
    <n v="5"/>
    <n v="19"/>
    <n v="0.44"/>
    <n v="0.38636363636363635"/>
    <x v="3"/>
  </r>
  <r>
    <d v="2026-01-09T20:00:00"/>
    <x v="4"/>
    <s v="R111"/>
    <n v="5"/>
    <n v="25"/>
    <n v="20.47709033268978"/>
    <s v="20–22°C"/>
    <n v="2.02"/>
    <n v="2026"/>
    <x v="0"/>
    <n v="9"/>
    <n v="5"/>
    <n v="20"/>
    <n v="0.2"/>
    <n v="0.40400000000000003"/>
    <x v="3"/>
  </r>
  <r>
    <d v="2026-01-09T21:00:00"/>
    <x v="3"/>
    <s v="R106"/>
    <n v="12"/>
    <n v="40"/>
    <n v="20.54090081109517"/>
    <s v="20–22°C"/>
    <n v="4.17"/>
    <n v="2026"/>
    <x v="0"/>
    <n v="9"/>
    <n v="5"/>
    <n v="21"/>
    <n v="0.3"/>
    <n v="0.34749999999999998"/>
    <x v="0"/>
  </r>
  <r>
    <d v="2026-01-09T22:00:00"/>
    <x v="3"/>
    <s v="R111"/>
    <n v="8"/>
    <n v="30"/>
    <n v="22.27647386232637"/>
    <s v="22–24°C"/>
    <n v="2.93"/>
    <n v="2026"/>
    <x v="0"/>
    <n v="9"/>
    <n v="5"/>
    <n v="22"/>
    <n v="0.26666666666666666"/>
    <n v="0.36625000000000002"/>
    <x v="0"/>
  </r>
  <r>
    <d v="2026-01-09T23:00:00"/>
    <x v="4"/>
    <s v="R110"/>
    <n v="11"/>
    <n v="20"/>
    <n v="24.27957466359107"/>
    <s v="24–26°C"/>
    <n v="3.67"/>
    <n v="2026"/>
    <x v="0"/>
    <n v="9"/>
    <n v="5"/>
    <n v="23"/>
    <n v="0.55000000000000004"/>
    <n v="0.33363636363636362"/>
    <x v="0"/>
  </r>
  <r>
    <d v="2026-01-10T00:00:00"/>
    <x v="2"/>
    <s v="R114"/>
    <n v="12"/>
    <n v="40"/>
    <n v="22.610183439294641"/>
    <s v="22–24°C"/>
    <n v="4.2300000000000004"/>
    <n v="2026"/>
    <x v="0"/>
    <n v="10"/>
    <n v="6"/>
    <n v="0"/>
    <n v="0.3"/>
    <n v="0.35250000000000004"/>
    <x v="0"/>
  </r>
  <r>
    <d v="2026-01-10T01:00:00"/>
    <x v="4"/>
    <s v="R102"/>
    <n v="8"/>
    <n v="25"/>
    <n v="26.914127281083282"/>
    <s v="26–28°C"/>
    <n v="3.46"/>
    <n v="2026"/>
    <x v="0"/>
    <n v="10"/>
    <n v="6"/>
    <n v="1"/>
    <n v="0.32"/>
    <n v="0.4325"/>
    <x v="0"/>
  </r>
  <r>
    <d v="2026-01-10T02:00:00"/>
    <x v="2"/>
    <s v="R116"/>
    <n v="8"/>
    <n v="30"/>
    <n v="24.90625009075217"/>
    <s v="24–26°C"/>
    <n v="3.39"/>
    <n v="2026"/>
    <x v="0"/>
    <n v="10"/>
    <n v="6"/>
    <n v="2"/>
    <n v="0.26666666666666666"/>
    <n v="0.42375000000000002"/>
    <x v="0"/>
  </r>
  <r>
    <d v="2026-01-10T03:00:00"/>
    <x v="2"/>
    <s v="R102"/>
    <n v="5"/>
    <n v="25"/>
    <n v="24.60081905045536"/>
    <s v="24–26°C"/>
    <n v="2.67"/>
    <n v="2026"/>
    <x v="0"/>
    <n v="10"/>
    <n v="6"/>
    <n v="3"/>
    <n v="0.2"/>
    <n v="0.53400000000000003"/>
    <x v="0"/>
  </r>
  <r>
    <d v="2026-01-10T04:00:00"/>
    <x v="0"/>
    <s v="R119"/>
    <n v="8"/>
    <n v="40"/>
    <n v="22.617904620105939"/>
    <s v="22–24°C"/>
    <n v="2.73"/>
    <n v="2026"/>
    <x v="0"/>
    <n v="10"/>
    <n v="6"/>
    <n v="4"/>
    <n v="0.2"/>
    <n v="0.34125"/>
    <x v="0"/>
  </r>
  <r>
    <d v="2026-01-10T05:00:00"/>
    <x v="2"/>
    <s v="R115"/>
    <n v="7"/>
    <n v="20"/>
    <n v="25.910042445526329"/>
    <s v="24–26°C"/>
    <n v="3.14"/>
    <n v="2026"/>
    <x v="0"/>
    <n v="10"/>
    <n v="6"/>
    <n v="5"/>
    <n v="0.35"/>
    <n v="0.44857142857142857"/>
    <x v="0"/>
  </r>
  <r>
    <d v="2026-01-10T06:00:00"/>
    <x v="3"/>
    <s v="R113"/>
    <n v="4"/>
    <n v="40"/>
    <n v="21.4617153004254"/>
    <s v="20–22°C"/>
    <n v="1.6"/>
    <n v="2026"/>
    <x v="0"/>
    <n v="10"/>
    <n v="6"/>
    <n v="6"/>
    <n v="0.1"/>
    <n v="0.4"/>
    <x v="0"/>
  </r>
  <r>
    <d v="2026-01-10T07:00:00"/>
    <x v="0"/>
    <s v="R112"/>
    <n v="12"/>
    <n v="20"/>
    <n v="23.015928565294661"/>
    <s v="22–24°C"/>
    <n v="4.25"/>
    <n v="2026"/>
    <x v="0"/>
    <n v="10"/>
    <n v="6"/>
    <n v="7"/>
    <n v="0.6"/>
    <n v="0.35416666666666669"/>
    <x v="1"/>
  </r>
  <r>
    <d v="2026-01-10T08:00:00"/>
    <x v="4"/>
    <s v="R111"/>
    <n v="10"/>
    <n v="30"/>
    <n v="23.784831934357531"/>
    <s v="22–24°C"/>
    <n v="3.42"/>
    <n v="2026"/>
    <x v="0"/>
    <n v="10"/>
    <n v="6"/>
    <n v="8"/>
    <n v="0.33333333333333331"/>
    <n v="0.34199999999999997"/>
    <x v="1"/>
  </r>
  <r>
    <d v="2026-01-10T09:00:00"/>
    <x v="2"/>
    <s v="R102"/>
    <n v="5"/>
    <n v="30"/>
    <n v="21.3551601352356"/>
    <s v="20–22°C"/>
    <n v="2.48"/>
    <n v="2026"/>
    <x v="0"/>
    <n v="10"/>
    <n v="6"/>
    <n v="9"/>
    <n v="0.16666666666666666"/>
    <n v="0.496"/>
    <x v="1"/>
  </r>
  <r>
    <d v="2026-01-10T10:00:00"/>
    <x v="3"/>
    <s v="R107"/>
    <n v="0"/>
    <n v="20"/>
    <n v="21.74761993555687"/>
    <s v="20–22°C"/>
    <n v="0.84"/>
    <n v="2026"/>
    <x v="0"/>
    <n v="10"/>
    <n v="6"/>
    <n v="10"/>
    <n v="0"/>
    <m/>
    <x v="1"/>
  </r>
  <r>
    <d v="2026-01-10T11:00:00"/>
    <x v="4"/>
    <s v="R113"/>
    <n v="4"/>
    <n v="20"/>
    <n v="24.650196529335268"/>
    <s v="24–26°C"/>
    <n v="1.94"/>
    <n v="2026"/>
    <x v="0"/>
    <n v="10"/>
    <n v="6"/>
    <n v="11"/>
    <n v="0.2"/>
    <n v="0.48499999999999999"/>
    <x v="1"/>
  </r>
  <r>
    <d v="2026-01-10T12:00:00"/>
    <x v="2"/>
    <s v="R111"/>
    <n v="8"/>
    <n v="25"/>
    <n v="22.5474782576525"/>
    <s v="22–24°C"/>
    <n v="3.11"/>
    <n v="2026"/>
    <x v="0"/>
    <n v="10"/>
    <n v="6"/>
    <n v="12"/>
    <n v="0.32"/>
    <n v="0.38874999999999998"/>
    <x v="2"/>
  </r>
  <r>
    <d v="2026-01-10T13:00:00"/>
    <x v="3"/>
    <s v="R103"/>
    <n v="7"/>
    <n v="40"/>
    <n v="24.044487362496021"/>
    <s v="24–26°C"/>
    <n v="2.61"/>
    <n v="2026"/>
    <x v="0"/>
    <n v="10"/>
    <n v="6"/>
    <n v="13"/>
    <n v="0.17499999999999999"/>
    <n v="0.37285714285714283"/>
    <x v="2"/>
  </r>
  <r>
    <d v="2026-01-10T14:00:00"/>
    <x v="0"/>
    <s v="R118"/>
    <n v="9"/>
    <n v="30"/>
    <n v="23.815850035028571"/>
    <s v="22–24°C"/>
    <n v="3.28"/>
    <n v="2026"/>
    <x v="0"/>
    <n v="10"/>
    <n v="6"/>
    <n v="14"/>
    <n v="0.3"/>
    <n v="0.3644444444444444"/>
    <x v="2"/>
  </r>
  <r>
    <d v="2026-01-10T15:00:00"/>
    <x v="3"/>
    <s v="R112"/>
    <n v="6"/>
    <n v="30"/>
    <n v="22.09350318195397"/>
    <s v="22–24°C"/>
    <n v="2.75"/>
    <n v="2026"/>
    <x v="0"/>
    <n v="10"/>
    <n v="6"/>
    <n v="15"/>
    <n v="0.2"/>
    <n v="0.45833333333333331"/>
    <x v="2"/>
  </r>
  <r>
    <d v="2026-01-10T16:00:00"/>
    <x v="0"/>
    <s v="R108"/>
    <n v="10"/>
    <n v="20"/>
    <n v="25.54918375058703"/>
    <s v="24–26°C"/>
    <n v="4.08"/>
    <n v="2026"/>
    <x v="0"/>
    <n v="10"/>
    <n v="6"/>
    <n v="16"/>
    <n v="0.5"/>
    <n v="0.40800000000000003"/>
    <x v="2"/>
  </r>
  <r>
    <d v="2026-01-10T17:00:00"/>
    <x v="0"/>
    <s v="R106"/>
    <n v="8"/>
    <n v="30"/>
    <n v="23.08183835079144"/>
    <s v="22–24°C"/>
    <n v="2.66"/>
    <n v="2026"/>
    <x v="0"/>
    <n v="10"/>
    <n v="6"/>
    <n v="17"/>
    <n v="0.26666666666666666"/>
    <n v="0.33250000000000002"/>
    <x v="3"/>
  </r>
  <r>
    <d v="2026-01-10T18:00:00"/>
    <x v="0"/>
    <s v="R111"/>
    <n v="5"/>
    <n v="40"/>
    <n v="22.54280016931996"/>
    <s v="22–24°C"/>
    <n v="1.83"/>
    <n v="2026"/>
    <x v="0"/>
    <n v="10"/>
    <n v="6"/>
    <n v="18"/>
    <n v="0.125"/>
    <n v="0.36599999999999999"/>
    <x v="3"/>
  </r>
  <r>
    <d v="2026-01-10T19:00:00"/>
    <x v="2"/>
    <s v="R118"/>
    <n v="5"/>
    <n v="40"/>
    <n v="23.04493178562409"/>
    <s v="22–24°C"/>
    <n v="2.37"/>
    <n v="2026"/>
    <x v="0"/>
    <n v="10"/>
    <n v="6"/>
    <n v="19"/>
    <n v="0.125"/>
    <n v="0.47400000000000003"/>
    <x v="3"/>
  </r>
  <r>
    <d v="2026-01-10T20:00:00"/>
    <x v="1"/>
    <s v="R101"/>
    <n v="7"/>
    <n v="40"/>
    <n v="24.345722471933641"/>
    <s v="24–26°C"/>
    <n v="3.08"/>
    <n v="2026"/>
    <x v="0"/>
    <n v="10"/>
    <n v="6"/>
    <n v="20"/>
    <n v="0.17499999999999999"/>
    <n v="0.44"/>
    <x v="3"/>
  </r>
  <r>
    <d v="2026-01-10T21:00:00"/>
    <x v="3"/>
    <s v="R109"/>
    <n v="3"/>
    <n v="25"/>
    <n v="23.203712590523971"/>
    <s v="22–24°C"/>
    <n v="2.2000000000000002"/>
    <n v="2026"/>
    <x v="0"/>
    <n v="10"/>
    <n v="6"/>
    <n v="21"/>
    <n v="0.12"/>
    <n v="0.73333333333333339"/>
    <x v="0"/>
  </r>
  <r>
    <d v="2026-01-10T22:00:00"/>
    <x v="0"/>
    <s v="R106"/>
    <n v="2"/>
    <n v="30"/>
    <n v="24.97733833871601"/>
    <s v="24–26°C"/>
    <n v="1.34"/>
    <n v="2026"/>
    <x v="0"/>
    <n v="10"/>
    <n v="6"/>
    <n v="22"/>
    <n v="6.6666666666666666E-2"/>
    <n v="0.67"/>
    <x v="0"/>
  </r>
  <r>
    <d v="2026-01-10T23:00:00"/>
    <x v="4"/>
    <s v="R111"/>
    <n v="9"/>
    <n v="20"/>
    <n v="21.51373147046403"/>
    <s v="20–22°C"/>
    <n v="2.88"/>
    <n v="2026"/>
    <x v="0"/>
    <n v="10"/>
    <n v="6"/>
    <n v="23"/>
    <n v="0.45"/>
    <n v="0.32"/>
    <x v="0"/>
  </r>
  <r>
    <d v="2026-01-11T00:00:00"/>
    <x v="3"/>
    <s v="R104"/>
    <n v="10"/>
    <n v="40"/>
    <n v="20.479670469654842"/>
    <s v="20–22°C"/>
    <n v="3.34"/>
    <n v="2026"/>
    <x v="0"/>
    <n v="11"/>
    <n v="0"/>
    <n v="0"/>
    <n v="0.25"/>
    <n v="0.33399999999999996"/>
    <x v="0"/>
  </r>
  <r>
    <d v="2026-01-11T01:00:00"/>
    <x v="0"/>
    <s v="R108"/>
    <n v="8"/>
    <n v="25"/>
    <n v="20.65996469880217"/>
    <s v="20–22°C"/>
    <n v="3.26"/>
    <n v="2026"/>
    <x v="0"/>
    <n v="11"/>
    <n v="0"/>
    <n v="1"/>
    <n v="0.32"/>
    <n v="0.40749999999999997"/>
    <x v="0"/>
  </r>
  <r>
    <d v="2026-01-11T02:00:00"/>
    <x v="0"/>
    <s v="R105"/>
    <n v="7"/>
    <n v="20"/>
    <n v="20.82183976770439"/>
    <s v="20–22°C"/>
    <n v="2.68"/>
    <n v="2026"/>
    <x v="0"/>
    <n v="11"/>
    <n v="0"/>
    <n v="2"/>
    <n v="0.35"/>
    <n v="0.3828571428571429"/>
    <x v="0"/>
  </r>
  <r>
    <d v="2026-01-11T03:00:00"/>
    <x v="4"/>
    <s v="R118"/>
    <n v="8"/>
    <n v="25"/>
    <n v="18.57627617734099"/>
    <s v="18–20°C"/>
    <n v="3.77"/>
    <n v="2026"/>
    <x v="0"/>
    <n v="11"/>
    <n v="0"/>
    <n v="3"/>
    <n v="0.32"/>
    <n v="0.47125"/>
    <x v="0"/>
  </r>
  <r>
    <d v="2026-01-11T04:00:00"/>
    <x v="2"/>
    <s v="R113"/>
    <n v="4"/>
    <n v="20"/>
    <n v="23.895723495503589"/>
    <s v="22–24°C"/>
    <n v="2.2000000000000002"/>
    <n v="2026"/>
    <x v="0"/>
    <n v="11"/>
    <n v="0"/>
    <n v="4"/>
    <n v="0.2"/>
    <n v="0.55000000000000004"/>
    <x v="0"/>
  </r>
  <r>
    <d v="2026-01-11T05:00:00"/>
    <x v="4"/>
    <s v="R103"/>
    <n v="11"/>
    <n v="40"/>
    <n v="23.325488829692791"/>
    <s v="22–24°C"/>
    <n v="3.76"/>
    <n v="2026"/>
    <x v="0"/>
    <n v="11"/>
    <n v="0"/>
    <n v="5"/>
    <n v="0.27500000000000002"/>
    <n v="0.3418181818181818"/>
    <x v="0"/>
  </r>
  <r>
    <d v="2026-01-11T06:00:00"/>
    <x v="0"/>
    <s v="R107"/>
    <n v="13"/>
    <n v="20"/>
    <n v="23.46431189948407"/>
    <s v="22–24°C"/>
    <n v="3.91"/>
    <n v="2026"/>
    <x v="0"/>
    <n v="11"/>
    <n v="0"/>
    <n v="6"/>
    <n v="0.65"/>
    <n v="0.30076923076923079"/>
    <x v="0"/>
  </r>
  <r>
    <d v="2026-01-11T07:00:00"/>
    <x v="0"/>
    <s v="R120"/>
    <n v="3"/>
    <n v="20"/>
    <n v="24.236976760912949"/>
    <s v="24–26°C"/>
    <n v="1.82"/>
    <n v="2026"/>
    <x v="0"/>
    <n v="11"/>
    <n v="0"/>
    <n v="7"/>
    <n v="0.15"/>
    <n v="0.60666666666666669"/>
    <x v="1"/>
  </r>
  <r>
    <d v="2026-01-11T08:00:00"/>
    <x v="2"/>
    <s v="R109"/>
    <n v="7"/>
    <n v="30"/>
    <n v="22.96050181293074"/>
    <s v="22–24°C"/>
    <n v="2.5499999999999998"/>
    <n v="2026"/>
    <x v="0"/>
    <n v="11"/>
    <n v="0"/>
    <n v="8"/>
    <n v="0.23333333333333334"/>
    <n v="0.36428571428571427"/>
    <x v="1"/>
  </r>
  <r>
    <d v="2026-01-11T09:00:00"/>
    <x v="1"/>
    <s v="R102"/>
    <n v="7"/>
    <n v="25"/>
    <n v="20.311771059273621"/>
    <s v="20–22°C"/>
    <n v="2.3199999999999998"/>
    <n v="2026"/>
    <x v="0"/>
    <n v="11"/>
    <n v="0"/>
    <n v="9"/>
    <n v="0.28000000000000003"/>
    <n v="0.33142857142857141"/>
    <x v="1"/>
  </r>
  <r>
    <d v="2026-01-11T10:00:00"/>
    <x v="1"/>
    <s v="R101"/>
    <n v="11"/>
    <n v="25"/>
    <n v="19.947458006555571"/>
    <s v="18–20°C"/>
    <n v="3.87"/>
    <n v="2026"/>
    <x v="0"/>
    <n v="11"/>
    <n v="0"/>
    <n v="10"/>
    <n v="0.44"/>
    <n v="0.35181818181818181"/>
    <x v="1"/>
  </r>
  <r>
    <d v="2026-01-11T11:00:00"/>
    <x v="4"/>
    <s v="R109"/>
    <n v="2"/>
    <n v="40"/>
    <n v="22.185927374146441"/>
    <s v="22–24°C"/>
    <n v="1.53"/>
    <n v="2026"/>
    <x v="0"/>
    <n v="11"/>
    <n v="0"/>
    <n v="11"/>
    <n v="0.05"/>
    <n v="0.76500000000000001"/>
    <x v="1"/>
  </r>
  <r>
    <d v="2026-01-11T12:00:00"/>
    <x v="3"/>
    <s v="R102"/>
    <n v="14"/>
    <n v="25"/>
    <n v="23.81805610748528"/>
    <s v="22–24°C"/>
    <n v="4.18"/>
    <n v="2026"/>
    <x v="0"/>
    <n v="11"/>
    <n v="0"/>
    <n v="12"/>
    <n v="0.56000000000000005"/>
    <n v="0.29857142857142854"/>
    <x v="2"/>
  </r>
  <r>
    <d v="2026-01-11T13:00:00"/>
    <x v="1"/>
    <s v="R111"/>
    <n v="5"/>
    <n v="20"/>
    <n v="23.02228312609752"/>
    <s v="22–24°C"/>
    <n v="2.42"/>
    <n v="2026"/>
    <x v="0"/>
    <n v="11"/>
    <n v="0"/>
    <n v="13"/>
    <n v="0.25"/>
    <n v="0.48399999999999999"/>
    <x v="2"/>
  </r>
  <r>
    <d v="2026-01-11T14:00:00"/>
    <x v="2"/>
    <s v="R104"/>
    <n v="11"/>
    <n v="25"/>
    <n v="24.380473600760549"/>
    <s v="24–26°C"/>
    <n v="3.14"/>
    <n v="2026"/>
    <x v="0"/>
    <n v="11"/>
    <n v="0"/>
    <n v="14"/>
    <n v="0.44"/>
    <n v="0.28545454545454546"/>
    <x v="2"/>
  </r>
  <r>
    <d v="2026-01-11T15:00:00"/>
    <x v="1"/>
    <s v="R114"/>
    <n v="5"/>
    <n v="25"/>
    <n v="25.434747139503258"/>
    <s v="24–26°C"/>
    <n v="2.81"/>
    <n v="2026"/>
    <x v="0"/>
    <n v="11"/>
    <n v="0"/>
    <n v="15"/>
    <n v="0.2"/>
    <n v="0.56200000000000006"/>
    <x v="2"/>
  </r>
  <r>
    <d v="2026-01-11T16:00:00"/>
    <x v="4"/>
    <s v="R117"/>
    <n v="12"/>
    <n v="30"/>
    <n v="26.477799327595161"/>
    <s v="26–28°C"/>
    <n v="4.7699999999999996"/>
    <n v="2026"/>
    <x v="0"/>
    <n v="11"/>
    <n v="0"/>
    <n v="16"/>
    <n v="0.4"/>
    <n v="0.39749999999999996"/>
    <x v="2"/>
  </r>
  <r>
    <d v="2026-01-11T17:00:00"/>
    <x v="1"/>
    <s v="R103"/>
    <n v="7"/>
    <n v="25"/>
    <n v="24.30090018507228"/>
    <s v="24–26°C"/>
    <n v="2.44"/>
    <n v="2026"/>
    <x v="0"/>
    <n v="11"/>
    <n v="0"/>
    <n v="17"/>
    <n v="0.28000000000000003"/>
    <n v="0.34857142857142859"/>
    <x v="3"/>
  </r>
  <r>
    <d v="2026-01-11T18:00:00"/>
    <x v="0"/>
    <s v="R114"/>
    <n v="11"/>
    <n v="20"/>
    <n v="23.460141518382809"/>
    <s v="22–24°C"/>
    <n v="3.92"/>
    <n v="2026"/>
    <x v="0"/>
    <n v="11"/>
    <n v="0"/>
    <n v="18"/>
    <n v="0.55000000000000004"/>
    <n v="0.35636363636363638"/>
    <x v="3"/>
  </r>
  <r>
    <d v="2026-01-11T19:00:00"/>
    <x v="3"/>
    <s v="R102"/>
    <n v="14"/>
    <n v="20"/>
    <n v="23.908366334379679"/>
    <s v="22–24°C"/>
    <n v="4.43"/>
    <n v="2026"/>
    <x v="0"/>
    <n v="11"/>
    <n v="0"/>
    <n v="19"/>
    <n v="0.7"/>
    <n v="0.31642857142857139"/>
    <x v="3"/>
  </r>
  <r>
    <d v="2026-01-11T20:00:00"/>
    <x v="4"/>
    <s v="R116"/>
    <n v="4"/>
    <n v="40"/>
    <n v="19.964252506638381"/>
    <s v="18–20°C"/>
    <n v="2"/>
    <n v="2026"/>
    <x v="0"/>
    <n v="11"/>
    <n v="0"/>
    <n v="20"/>
    <n v="0.1"/>
    <n v="0.5"/>
    <x v="3"/>
  </r>
  <r>
    <d v="2026-01-11T21:00:00"/>
    <x v="4"/>
    <s v="R114"/>
    <n v="11"/>
    <n v="20"/>
    <n v="22.04232508798319"/>
    <s v="22–24°C"/>
    <n v="3.3"/>
    <n v="2026"/>
    <x v="0"/>
    <n v="11"/>
    <n v="0"/>
    <n v="21"/>
    <n v="0.55000000000000004"/>
    <n v="0.3"/>
    <x v="0"/>
  </r>
  <r>
    <d v="2026-01-11T22:00:00"/>
    <x v="3"/>
    <s v="R115"/>
    <n v="9"/>
    <n v="25"/>
    <n v="22.261445721507599"/>
    <s v="22–24°C"/>
    <n v="3.13"/>
    <n v="2026"/>
    <x v="0"/>
    <n v="11"/>
    <n v="0"/>
    <n v="22"/>
    <n v="0.36"/>
    <n v="0.34777777777777774"/>
    <x v="0"/>
  </r>
  <r>
    <d v="2026-01-11T23:00:00"/>
    <x v="2"/>
    <s v="R117"/>
    <n v="8"/>
    <n v="40"/>
    <n v="21.59269090086698"/>
    <s v="20–22°C"/>
    <n v="3.14"/>
    <n v="2026"/>
    <x v="0"/>
    <n v="11"/>
    <n v="0"/>
    <n v="23"/>
    <n v="0.2"/>
    <n v="0.39250000000000002"/>
    <x v="0"/>
  </r>
  <r>
    <d v="2026-01-12T00:00:00"/>
    <x v="3"/>
    <s v="R116"/>
    <n v="9"/>
    <n v="30"/>
    <n v="26.040678474619011"/>
    <s v="26–28°C"/>
    <n v="3.51"/>
    <n v="2026"/>
    <x v="0"/>
    <n v="12"/>
    <n v="1"/>
    <n v="0"/>
    <n v="0.3"/>
    <n v="0.38999999999999996"/>
    <x v="0"/>
  </r>
  <r>
    <d v="2026-01-12T01:00:00"/>
    <x v="2"/>
    <s v="R105"/>
    <n v="5"/>
    <n v="40"/>
    <n v="20.343370097069901"/>
    <s v="20–22°C"/>
    <n v="2.3199999999999998"/>
    <n v="2026"/>
    <x v="0"/>
    <n v="12"/>
    <n v="1"/>
    <n v="1"/>
    <n v="0.125"/>
    <n v="0.46399999999999997"/>
    <x v="0"/>
  </r>
  <r>
    <d v="2026-01-12T02:00:00"/>
    <x v="0"/>
    <s v="R118"/>
    <n v="9"/>
    <n v="40"/>
    <n v="19.505093830609869"/>
    <s v="18–20°C"/>
    <n v="3.39"/>
    <n v="2026"/>
    <x v="0"/>
    <n v="12"/>
    <n v="1"/>
    <n v="2"/>
    <n v="0.22500000000000001"/>
    <n v="0.37666666666666671"/>
    <x v="0"/>
  </r>
  <r>
    <d v="2026-01-12T03:00:00"/>
    <x v="4"/>
    <s v="R118"/>
    <n v="7"/>
    <n v="20"/>
    <n v="23.394654525190418"/>
    <s v="22–24°C"/>
    <n v="2.52"/>
    <n v="2026"/>
    <x v="0"/>
    <n v="12"/>
    <n v="1"/>
    <n v="3"/>
    <n v="0.35"/>
    <n v="0.36"/>
    <x v="0"/>
  </r>
  <r>
    <d v="2026-01-12T04:00:00"/>
    <x v="3"/>
    <s v="R120"/>
    <n v="6"/>
    <n v="25"/>
    <n v="24.63755528750972"/>
    <s v="24–26°C"/>
    <n v="3.16"/>
    <n v="2026"/>
    <x v="0"/>
    <n v="12"/>
    <n v="1"/>
    <n v="4"/>
    <n v="0.24"/>
    <n v="0.52666666666666673"/>
    <x v="0"/>
  </r>
  <r>
    <d v="2026-01-12T05:00:00"/>
    <x v="2"/>
    <s v="R120"/>
    <n v="10"/>
    <n v="25"/>
    <n v="26.328634196249268"/>
    <s v="26–28°C"/>
    <n v="4.17"/>
    <n v="2026"/>
    <x v="0"/>
    <n v="12"/>
    <n v="1"/>
    <n v="5"/>
    <n v="0.4"/>
    <n v="0.41699999999999998"/>
    <x v="0"/>
  </r>
  <r>
    <d v="2026-01-12T06:00:00"/>
    <x v="3"/>
    <s v="R112"/>
    <n v="5"/>
    <n v="25"/>
    <n v="22.780460992367711"/>
    <s v="22–24°C"/>
    <n v="2.3199999999999998"/>
    <n v="2026"/>
    <x v="0"/>
    <n v="12"/>
    <n v="1"/>
    <n v="6"/>
    <n v="0.2"/>
    <n v="0.46399999999999997"/>
    <x v="0"/>
  </r>
  <r>
    <d v="2026-01-12T07:00:00"/>
    <x v="4"/>
    <s v="R120"/>
    <n v="5"/>
    <n v="40"/>
    <n v="21.271217858171639"/>
    <s v="20–22°C"/>
    <n v="2.12"/>
    <n v="2026"/>
    <x v="0"/>
    <n v="12"/>
    <n v="1"/>
    <n v="7"/>
    <n v="0.125"/>
    <n v="0.42400000000000004"/>
    <x v="1"/>
  </r>
  <r>
    <d v="2026-01-12T08:00:00"/>
    <x v="2"/>
    <s v="R120"/>
    <n v="6"/>
    <n v="20"/>
    <n v="26.499167808410839"/>
    <s v="26–28°C"/>
    <n v="3.39"/>
    <n v="2026"/>
    <x v="0"/>
    <n v="12"/>
    <n v="1"/>
    <n v="8"/>
    <n v="0.3"/>
    <n v="0.56500000000000006"/>
    <x v="1"/>
  </r>
  <r>
    <d v="2026-01-12T09:00:00"/>
    <x v="0"/>
    <s v="R106"/>
    <n v="7"/>
    <n v="25"/>
    <n v="21.432468668827209"/>
    <s v="20–22°C"/>
    <n v="2.4300000000000002"/>
    <n v="2026"/>
    <x v="0"/>
    <n v="12"/>
    <n v="1"/>
    <n v="9"/>
    <n v="0.28000000000000003"/>
    <n v="0.34714285714285714"/>
    <x v="1"/>
  </r>
  <r>
    <d v="2026-01-12T10:00:00"/>
    <x v="2"/>
    <s v="R104"/>
    <n v="7"/>
    <n v="30"/>
    <n v="23.999370220605869"/>
    <s v="22–24°C"/>
    <n v="2.99"/>
    <n v="2026"/>
    <x v="0"/>
    <n v="12"/>
    <n v="1"/>
    <n v="10"/>
    <n v="0.23333333333333334"/>
    <n v="0.42714285714285716"/>
    <x v="1"/>
  </r>
  <r>
    <d v="2026-01-12T11:00:00"/>
    <x v="3"/>
    <s v="R109"/>
    <n v="10"/>
    <n v="30"/>
    <n v="19.564411808383479"/>
    <s v="18–20°C"/>
    <n v="3.75"/>
    <n v="2026"/>
    <x v="0"/>
    <n v="12"/>
    <n v="1"/>
    <n v="11"/>
    <n v="0.33333333333333331"/>
    <n v="0.375"/>
    <x v="1"/>
  </r>
  <r>
    <d v="2026-01-12T12:00:00"/>
    <x v="4"/>
    <s v="R119"/>
    <n v="12"/>
    <n v="30"/>
    <n v="21.900885728182839"/>
    <s v="20–22°C"/>
    <n v="4.07"/>
    <n v="2026"/>
    <x v="0"/>
    <n v="12"/>
    <n v="1"/>
    <n v="12"/>
    <n v="0.4"/>
    <n v="0.33916666666666667"/>
    <x v="2"/>
  </r>
  <r>
    <d v="2026-01-12T13:00:00"/>
    <x v="2"/>
    <s v="R108"/>
    <n v="4"/>
    <n v="30"/>
    <n v="24.586338733586199"/>
    <s v="24–26°C"/>
    <n v="2.1800000000000002"/>
    <n v="2026"/>
    <x v="0"/>
    <n v="12"/>
    <n v="1"/>
    <n v="13"/>
    <n v="0.13333333333333333"/>
    <n v="0.54500000000000004"/>
    <x v="2"/>
  </r>
  <r>
    <d v="2026-01-12T14:00:00"/>
    <x v="2"/>
    <s v="R120"/>
    <n v="6"/>
    <n v="20"/>
    <n v="24.580743792103419"/>
    <s v="24–26°C"/>
    <n v="2.79"/>
    <n v="2026"/>
    <x v="0"/>
    <n v="12"/>
    <n v="1"/>
    <n v="14"/>
    <n v="0.3"/>
    <n v="0.46500000000000002"/>
    <x v="2"/>
  </r>
  <r>
    <d v="2026-01-12T15:00:00"/>
    <x v="3"/>
    <s v="R105"/>
    <n v="8"/>
    <n v="25"/>
    <n v="25.097939885182338"/>
    <s v="24–26°C"/>
    <n v="3.12"/>
    <n v="2026"/>
    <x v="0"/>
    <n v="12"/>
    <n v="1"/>
    <n v="15"/>
    <n v="0.32"/>
    <n v="0.39"/>
    <x v="2"/>
  </r>
  <r>
    <d v="2026-01-12T16:00:00"/>
    <x v="2"/>
    <s v="R103"/>
    <n v="11"/>
    <n v="40"/>
    <n v="20.198652017762871"/>
    <s v="20–22°C"/>
    <n v="3.82"/>
    <n v="2026"/>
    <x v="0"/>
    <n v="12"/>
    <n v="1"/>
    <n v="16"/>
    <n v="0.27500000000000002"/>
    <n v="0.34727272727272723"/>
    <x v="2"/>
  </r>
  <r>
    <d v="2026-01-12T17:00:00"/>
    <x v="0"/>
    <s v="R104"/>
    <n v="11"/>
    <n v="20"/>
    <n v="23.224209893649039"/>
    <s v="22–24°C"/>
    <n v="4.26"/>
    <n v="2026"/>
    <x v="0"/>
    <n v="12"/>
    <n v="1"/>
    <n v="17"/>
    <n v="0.55000000000000004"/>
    <n v="0.38727272727272727"/>
    <x v="3"/>
  </r>
  <r>
    <d v="2026-01-12T18:00:00"/>
    <x v="2"/>
    <s v="R104"/>
    <n v="2"/>
    <n v="30"/>
    <n v="21.580840290501651"/>
    <s v="20–22°C"/>
    <n v="0.99"/>
    <n v="2026"/>
    <x v="0"/>
    <n v="12"/>
    <n v="1"/>
    <n v="18"/>
    <n v="6.6666666666666666E-2"/>
    <n v="0.495"/>
    <x v="3"/>
  </r>
  <r>
    <d v="2026-01-12T19:00:00"/>
    <x v="1"/>
    <s v="R109"/>
    <n v="5"/>
    <n v="20"/>
    <n v="20.244764998491529"/>
    <s v="20–22°C"/>
    <n v="2.14"/>
    <n v="2026"/>
    <x v="0"/>
    <n v="12"/>
    <n v="1"/>
    <n v="19"/>
    <n v="0.25"/>
    <n v="0.42800000000000005"/>
    <x v="3"/>
  </r>
  <r>
    <d v="2026-01-12T20:00:00"/>
    <x v="1"/>
    <s v="R117"/>
    <n v="10"/>
    <n v="30"/>
    <n v="25.030456183330141"/>
    <s v="24–26°C"/>
    <n v="3.68"/>
    <n v="2026"/>
    <x v="0"/>
    <n v="12"/>
    <n v="1"/>
    <n v="20"/>
    <n v="0.33333333333333331"/>
    <n v="0.36799999999999999"/>
    <x v="3"/>
  </r>
  <r>
    <d v="2026-01-12T21:00:00"/>
    <x v="3"/>
    <s v="R111"/>
    <n v="6"/>
    <n v="20"/>
    <n v="21.008369210419541"/>
    <s v="20–22°C"/>
    <n v="2.64"/>
    <n v="2026"/>
    <x v="0"/>
    <n v="12"/>
    <n v="1"/>
    <n v="21"/>
    <n v="0.3"/>
    <n v="0.44"/>
    <x v="0"/>
  </r>
  <r>
    <d v="2026-01-12T22:00:00"/>
    <x v="2"/>
    <s v="R103"/>
    <n v="5"/>
    <n v="40"/>
    <n v="28.241586182059951"/>
    <s v="28–30°C"/>
    <n v="2.65"/>
    <n v="2026"/>
    <x v="0"/>
    <n v="12"/>
    <n v="1"/>
    <n v="22"/>
    <n v="0.125"/>
    <n v="0.53"/>
    <x v="0"/>
  </r>
  <r>
    <d v="2026-01-12T23:00:00"/>
    <x v="2"/>
    <s v="R114"/>
    <n v="7"/>
    <n v="20"/>
    <n v="22.893758693964909"/>
    <s v="22–24°C"/>
    <n v="3.05"/>
    <n v="2026"/>
    <x v="0"/>
    <n v="12"/>
    <n v="1"/>
    <n v="23"/>
    <n v="0.35"/>
    <n v="0.43571428571428567"/>
    <x v="0"/>
  </r>
  <r>
    <d v="2026-01-13T00:00:00"/>
    <x v="2"/>
    <s v="R115"/>
    <n v="8"/>
    <n v="20"/>
    <n v="22.448595614158268"/>
    <s v="22–24°C"/>
    <n v="3.15"/>
    <n v="2026"/>
    <x v="0"/>
    <n v="13"/>
    <n v="2"/>
    <n v="0"/>
    <n v="0.4"/>
    <n v="0.39374999999999999"/>
    <x v="0"/>
  </r>
  <r>
    <d v="2026-01-13T01:00:00"/>
    <x v="0"/>
    <s v="R109"/>
    <n v="7"/>
    <n v="20"/>
    <n v="20.844256377245621"/>
    <s v="20–22°C"/>
    <n v="2.52"/>
    <n v="2026"/>
    <x v="0"/>
    <n v="13"/>
    <n v="2"/>
    <n v="1"/>
    <n v="0.35"/>
    <n v="0.36"/>
    <x v="0"/>
  </r>
  <r>
    <d v="2026-01-13T02:00:00"/>
    <x v="0"/>
    <s v="R102"/>
    <n v="8"/>
    <n v="30"/>
    <n v="24.303043982679011"/>
    <s v="24–26°C"/>
    <n v="2.8"/>
    <n v="2026"/>
    <x v="0"/>
    <n v="13"/>
    <n v="2"/>
    <n v="2"/>
    <n v="0.26666666666666666"/>
    <n v="0.35"/>
    <x v="0"/>
  </r>
  <r>
    <d v="2026-01-13T03:00:00"/>
    <x v="3"/>
    <s v="R112"/>
    <n v="5"/>
    <n v="30"/>
    <n v="23.91456080923048"/>
    <s v="22–24°C"/>
    <n v="2.77"/>
    <n v="2026"/>
    <x v="0"/>
    <n v="13"/>
    <n v="2"/>
    <n v="3"/>
    <n v="0.16666666666666666"/>
    <n v="0.55400000000000005"/>
    <x v="0"/>
  </r>
  <r>
    <d v="2026-01-13T04:00:00"/>
    <x v="1"/>
    <s v="R114"/>
    <n v="10"/>
    <n v="25"/>
    <n v="23.712005258450048"/>
    <s v="22–24°C"/>
    <n v="3.62"/>
    <n v="2026"/>
    <x v="0"/>
    <n v="13"/>
    <n v="2"/>
    <n v="4"/>
    <n v="0.4"/>
    <n v="0.36199999999999999"/>
    <x v="0"/>
  </r>
  <r>
    <d v="2026-01-13T05:00:00"/>
    <x v="0"/>
    <s v="R114"/>
    <n v="10"/>
    <n v="40"/>
    <n v="20.820733925315221"/>
    <s v="20–22°C"/>
    <n v="3.24"/>
    <n v="2026"/>
    <x v="0"/>
    <n v="13"/>
    <n v="2"/>
    <n v="5"/>
    <n v="0.25"/>
    <n v="0.32400000000000001"/>
    <x v="0"/>
  </r>
  <r>
    <d v="2026-01-13T06:00:00"/>
    <x v="4"/>
    <s v="R120"/>
    <n v="7"/>
    <n v="30"/>
    <n v="24.021584177055189"/>
    <s v="24–26°C"/>
    <n v="3.16"/>
    <n v="2026"/>
    <x v="0"/>
    <n v="13"/>
    <n v="2"/>
    <n v="6"/>
    <n v="0.23333333333333334"/>
    <n v="0.45142857142857146"/>
    <x v="0"/>
  </r>
  <r>
    <d v="2026-01-13T07:00:00"/>
    <x v="3"/>
    <s v="R113"/>
    <n v="9"/>
    <n v="30"/>
    <n v="23.92641258419825"/>
    <s v="22–24°C"/>
    <n v="2.93"/>
    <n v="2026"/>
    <x v="0"/>
    <n v="13"/>
    <n v="2"/>
    <n v="7"/>
    <n v="0.3"/>
    <n v="0.3255555555555556"/>
    <x v="1"/>
  </r>
  <r>
    <d v="2026-01-13T08:00:00"/>
    <x v="3"/>
    <s v="R109"/>
    <n v="9"/>
    <n v="40"/>
    <n v="23.699300094599391"/>
    <s v="22–24°C"/>
    <n v="2.84"/>
    <n v="2026"/>
    <x v="0"/>
    <n v="13"/>
    <n v="2"/>
    <n v="8"/>
    <n v="0.22500000000000001"/>
    <n v="0.31555555555555553"/>
    <x v="1"/>
  </r>
  <r>
    <d v="2026-01-13T09:00:00"/>
    <x v="3"/>
    <s v="R104"/>
    <n v="11"/>
    <n v="30"/>
    <n v="24.513577359973969"/>
    <s v="24–26°C"/>
    <n v="4.1100000000000003"/>
    <n v="2026"/>
    <x v="0"/>
    <n v="13"/>
    <n v="2"/>
    <n v="9"/>
    <n v="0.36666666666666664"/>
    <n v="0.37363636363636366"/>
    <x v="1"/>
  </r>
  <r>
    <d v="2026-01-13T10:00:00"/>
    <x v="3"/>
    <s v="R117"/>
    <n v="6"/>
    <n v="20"/>
    <n v="25.42959411378877"/>
    <s v="24–26°C"/>
    <n v="2.64"/>
    <n v="2026"/>
    <x v="0"/>
    <n v="13"/>
    <n v="2"/>
    <n v="10"/>
    <n v="0.3"/>
    <n v="0.44"/>
    <x v="1"/>
  </r>
  <r>
    <d v="2026-01-13T11:00:00"/>
    <x v="1"/>
    <s v="R118"/>
    <n v="5"/>
    <n v="25"/>
    <n v="25.669806495686888"/>
    <s v="24–26°C"/>
    <n v="2.79"/>
    <n v="2026"/>
    <x v="0"/>
    <n v="13"/>
    <n v="2"/>
    <n v="11"/>
    <n v="0.2"/>
    <n v="0.55800000000000005"/>
    <x v="1"/>
  </r>
  <r>
    <d v="2026-01-13T12:00:00"/>
    <x v="2"/>
    <s v="R101"/>
    <n v="12"/>
    <n v="20"/>
    <n v="23.999728247480739"/>
    <s v="22–24°C"/>
    <n v="3.68"/>
    <n v="2026"/>
    <x v="0"/>
    <n v="13"/>
    <n v="2"/>
    <n v="12"/>
    <n v="0.6"/>
    <n v="0.3066666666666667"/>
    <x v="2"/>
  </r>
  <r>
    <d v="2026-01-13T13:00:00"/>
    <x v="4"/>
    <s v="R106"/>
    <n v="12"/>
    <n v="30"/>
    <n v="25.379030085330079"/>
    <s v="24–26°C"/>
    <n v="4.66"/>
    <n v="2026"/>
    <x v="0"/>
    <n v="13"/>
    <n v="2"/>
    <n v="13"/>
    <n v="0.4"/>
    <n v="0.38833333333333336"/>
    <x v="2"/>
  </r>
  <r>
    <d v="2026-01-13T14:00:00"/>
    <x v="1"/>
    <s v="R117"/>
    <n v="9"/>
    <n v="30"/>
    <n v="20.58799959785506"/>
    <s v="20–22°C"/>
    <n v="3.37"/>
    <n v="2026"/>
    <x v="0"/>
    <n v="13"/>
    <n v="2"/>
    <n v="14"/>
    <n v="0.3"/>
    <n v="0.37444444444444447"/>
    <x v="2"/>
  </r>
  <r>
    <d v="2026-01-13T15:00:00"/>
    <x v="4"/>
    <s v="R102"/>
    <n v="7"/>
    <n v="25"/>
    <n v="24.69303618345468"/>
    <s v="24–26°C"/>
    <n v="3.1"/>
    <n v="2026"/>
    <x v="0"/>
    <n v="13"/>
    <n v="2"/>
    <n v="15"/>
    <n v="0.28000000000000003"/>
    <n v="0.44285714285714289"/>
    <x v="2"/>
  </r>
  <r>
    <d v="2026-01-13T16:00:00"/>
    <x v="2"/>
    <s v="R108"/>
    <n v="11"/>
    <n v="20"/>
    <n v="21.38512919706077"/>
    <s v="20–22°C"/>
    <n v="3.6"/>
    <n v="2026"/>
    <x v="0"/>
    <n v="13"/>
    <n v="2"/>
    <n v="16"/>
    <n v="0.55000000000000004"/>
    <n v="0.32727272727272727"/>
    <x v="2"/>
  </r>
  <r>
    <d v="2026-01-13T17:00:00"/>
    <x v="4"/>
    <s v="R102"/>
    <n v="12"/>
    <n v="30"/>
    <n v="23.506330476075959"/>
    <s v="22–24°C"/>
    <n v="4.2699999999999996"/>
    <n v="2026"/>
    <x v="0"/>
    <n v="13"/>
    <n v="2"/>
    <n v="17"/>
    <n v="0.4"/>
    <n v="0.35583333333333328"/>
    <x v="3"/>
  </r>
  <r>
    <d v="2026-01-13T18:00:00"/>
    <x v="4"/>
    <s v="R112"/>
    <n v="10"/>
    <n v="30"/>
    <n v="21.66743159898019"/>
    <s v="20–22°C"/>
    <n v="3.3"/>
    <n v="2026"/>
    <x v="0"/>
    <n v="13"/>
    <n v="2"/>
    <n v="18"/>
    <n v="0.33333333333333331"/>
    <n v="0.32999999999999996"/>
    <x v="3"/>
  </r>
  <r>
    <d v="2026-01-13T19:00:00"/>
    <x v="4"/>
    <s v="R120"/>
    <n v="5"/>
    <n v="25"/>
    <n v="19.59557346783998"/>
    <s v="18–20°C"/>
    <n v="2.27"/>
    <n v="2026"/>
    <x v="0"/>
    <n v="13"/>
    <n v="2"/>
    <n v="19"/>
    <n v="0.2"/>
    <n v="0.45400000000000001"/>
    <x v="3"/>
  </r>
  <r>
    <d v="2026-01-13T20:00:00"/>
    <x v="4"/>
    <s v="R115"/>
    <n v="6"/>
    <n v="20"/>
    <n v="22.087758345051618"/>
    <s v="22–24°C"/>
    <n v="2.37"/>
    <n v="2026"/>
    <x v="0"/>
    <n v="13"/>
    <n v="2"/>
    <n v="20"/>
    <n v="0.3"/>
    <n v="0.39500000000000002"/>
    <x v="3"/>
  </r>
  <r>
    <d v="2026-01-13T21:00:00"/>
    <x v="1"/>
    <s v="R107"/>
    <n v="6"/>
    <n v="25"/>
    <n v="19.163800798992419"/>
    <s v="18–20°C"/>
    <n v="2.68"/>
    <n v="2026"/>
    <x v="0"/>
    <n v="13"/>
    <n v="2"/>
    <n v="21"/>
    <n v="0.24"/>
    <n v="0.44666666666666671"/>
    <x v="0"/>
  </r>
  <r>
    <d v="2026-01-13T22:00:00"/>
    <x v="2"/>
    <s v="R114"/>
    <n v="8"/>
    <n v="20"/>
    <n v="22.838800501406482"/>
    <s v="22–24°C"/>
    <n v="2.68"/>
    <n v="2026"/>
    <x v="0"/>
    <n v="13"/>
    <n v="2"/>
    <n v="22"/>
    <n v="0.4"/>
    <n v="0.33500000000000002"/>
    <x v="0"/>
  </r>
  <r>
    <d v="2026-01-13T23:00:00"/>
    <x v="3"/>
    <s v="R119"/>
    <n v="10"/>
    <n v="25"/>
    <n v="25.44770639714746"/>
    <s v="24–26°C"/>
    <n v="3.86"/>
    <n v="2026"/>
    <x v="0"/>
    <n v="13"/>
    <n v="2"/>
    <n v="23"/>
    <n v="0.4"/>
    <n v="0.38600000000000001"/>
    <x v="0"/>
  </r>
  <r>
    <d v="2026-01-14T00:00:00"/>
    <x v="3"/>
    <s v="R106"/>
    <n v="12"/>
    <n v="30"/>
    <n v="26.1257775370164"/>
    <s v="26–28°C"/>
    <n v="4.34"/>
    <n v="2026"/>
    <x v="0"/>
    <n v="14"/>
    <n v="3"/>
    <n v="0"/>
    <n v="0.4"/>
    <n v="0.36166666666666664"/>
    <x v="0"/>
  </r>
  <r>
    <d v="2026-01-14T01:00:00"/>
    <x v="0"/>
    <s v="R109"/>
    <n v="8"/>
    <n v="20"/>
    <n v="18.80664860286041"/>
    <s v="18–20°C"/>
    <n v="3.54"/>
    <n v="2026"/>
    <x v="0"/>
    <n v="14"/>
    <n v="3"/>
    <n v="1"/>
    <n v="0.4"/>
    <n v="0.4425"/>
    <x v="0"/>
  </r>
  <r>
    <d v="2026-01-14T02:00:00"/>
    <x v="4"/>
    <s v="R104"/>
    <n v="6"/>
    <n v="40"/>
    <n v="21.903462410149849"/>
    <s v="20–22°C"/>
    <n v="2.56"/>
    <n v="2026"/>
    <x v="0"/>
    <n v="14"/>
    <n v="3"/>
    <n v="2"/>
    <n v="0.15"/>
    <n v="0.42666666666666669"/>
    <x v="0"/>
  </r>
  <r>
    <d v="2026-01-14T03:00:00"/>
    <x v="3"/>
    <s v="R113"/>
    <n v="9"/>
    <n v="20"/>
    <n v="21.937571410784798"/>
    <s v="20–22°C"/>
    <n v="3.2"/>
    <n v="2026"/>
    <x v="0"/>
    <n v="14"/>
    <n v="3"/>
    <n v="3"/>
    <n v="0.45"/>
    <n v="0.35555555555555557"/>
    <x v="0"/>
  </r>
  <r>
    <d v="2026-01-14T04:00:00"/>
    <x v="3"/>
    <s v="R109"/>
    <n v="6"/>
    <n v="25"/>
    <n v="23.592369609462029"/>
    <s v="22–24°C"/>
    <n v="2.65"/>
    <n v="2026"/>
    <x v="0"/>
    <n v="14"/>
    <n v="3"/>
    <n v="4"/>
    <n v="0.24"/>
    <n v="0.44166666666666665"/>
    <x v="0"/>
  </r>
  <r>
    <d v="2026-01-14T05:00:00"/>
    <x v="4"/>
    <s v="R111"/>
    <n v="8"/>
    <n v="40"/>
    <n v="21.126987250420811"/>
    <s v="20–22°C"/>
    <n v="2.73"/>
    <n v="2026"/>
    <x v="0"/>
    <n v="14"/>
    <n v="3"/>
    <n v="5"/>
    <n v="0.2"/>
    <n v="0.34125"/>
    <x v="0"/>
  </r>
  <r>
    <d v="2026-01-14T06:00:00"/>
    <x v="3"/>
    <s v="R104"/>
    <n v="11"/>
    <n v="30"/>
    <n v="22.229956376574268"/>
    <s v="22–24°C"/>
    <n v="3.7"/>
    <n v="2026"/>
    <x v="0"/>
    <n v="14"/>
    <n v="3"/>
    <n v="6"/>
    <n v="0.36666666666666664"/>
    <n v="0.33636363636363636"/>
    <x v="0"/>
  </r>
  <r>
    <d v="2026-01-14T07:00:00"/>
    <x v="0"/>
    <s v="R109"/>
    <n v="6"/>
    <n v="25"/>
    <n v="21.698334548740071"/>
    <s v="20–22°C"/>
    <n v="2.35"/>
    <n v="2026"/>
    <x v="0"/>
    <n v="14"/>
    <n v="3"/>
    <n v="7"/>
    <n v="0.24"/>
    <n v="0.39166666666666666"/>
    <x v="1"/>
  </r>
  <r>
    <d v="2026-01-14T08:00:00"/>
    <x v="2"/>
    <s v="R118"/>
    <n v="5"/>
    <n v="25"/>
    <n v="19.893735893262338"/>
    <s v="18–20°C"/>
    <n v="2.2799999999999998"/>
    <n v="2026"/>
    <x v="0"/>
    <n v="14"/>
    <n v="3"/>
    <n v="8"/>
    <n v="0.2"/>
    <n v="0.45599999999999996"/>
    <x v="1"/>
  </r>
  <r>
    <d v="2026-01-14T09:00:00"/>
    <x v="0"/>
    <s v="R114"/>
    <n v="5"/>
    <n v="20"/>
    <n v="25.442471320133919"/>
    <s v="24–26°C"/>
    <n v="2.42"/>
    <n v="2026"/>
    <x v="0"/>
    <n v="14"/>
    <n v="3"/>
    <n v="9"/>
    <n v="0.25"/>
    <n v="0.48399999999999999"/>
    <x v="1"/>
  </r>
  <r>
    <d v="2026-01-14T10:00:00"/>
    <x v="2"/>
    <s v="R105"/>
    <n v="9"/>
    <n v="25"/>
    <n v="26.067709882064349"/>
    <s v="26–28°C"/>
    <n v="3.7"/>
    <n v="2026"/>
    <x v="0"/>
    <n v="14"/>
    <n v="3"/>
    <n v="10"/>
    <n v="0.36"/>
    <n v="0.41111111111111115"/>
    <x v="1"/>
  </r>
  <r>
    <d v="2026-01-14T11:00:00"/>
    <x v="0"/>
    <s v="R106"/>
    <n v="7"/>
    <n v="25"/>
    <n v="20.655479094217"/>
    <s v="20–22°C"/>
    <n v="3.1"/>
    <n v="2026"/>
    <x v="0"/>
    <n v="14"/>
    <n v="3"/>
    <n v="11"/>
    <n v="0.28000000000000003"/>
    <n v="0.44285714285714289"/>
    <x v="1"/>
  </r>
  <r>
    <d v="2026-01-14T12:00:00"/>
    <x v="4"/>
    <s v="R118"/>
    <n v="8"/>
    <n v="20"/>
    <n v="24.75209358505959"/>
    <s v="24–26°C"/>
    <n v="3.65"/>
    <n v="2026"/>
    <x v="0"/>
    <n v="14"/>
    <n v="3"/>
    <n v="12"/>
    <n v="0.4"/>
    <n v="0.45624999999999999"/>
    <x v="2"/>
  </r>
  <r>
    <d v="2026-01-14T13:00:00"/>
    <x v="3"/>
    <s v="R106"/>
    <n v="6"/>
    <n v="30"/>
    <n v="22.063132303439271"/>
    <s v="22–24°C"/>
    <n v="1.96"/>
    <n v="2026"/>
    <x v="0"/>
    <n v="14"/>
    <n v="3"/>
    <n v="13"/>
    <n v="0.2"/>
    <n v="0.32666666666666666"/>
    <x v="2"/>
  </r>
  <r>
    <d v="2026-01-14T14:00:00"/>
    <x v="3"/>
    <s v="R119"/>
    <n v="5"/>
    <n v="40"/>
    <n v="22.889603531425252"/>
    <s v="22–24°C"/>
    <n v="2.33"/>
    <n v="2026"/>
    <x v="0"/>
    <n v="14"/>
    <n v="3"/>
    <n v="14"/>
    <n v="0.125"/>
    <n v="0.46600000000000003"/>
    <x v="2"/>
  </r>
  <r>
    <d v="2026-01-14T15:00:00"/>
    <x v="2"/>
    <s v="R104"/>
    <n v="11"/>
    <n v="25"/>
    <n v="24.270892056628711"/>
    <s v="24–26°C"/>
    <n v="3.56"/>
    <n v="2026"/>
    <x v="0"/>
    <n v="14"/>
    <n v="3"/>
    <n v="15"/>
    <n v="0.44"/>
    <n v="0.32363636363636367"/>
    <x v="2"/>
  </r>
  <r>
    <d v="2026-01-14T16:00:00"/>
    <x v="4"/>
    <s v="R113"/>
    <n v="9"/>
    <n v="40"/>
    <n v="21.3277860082408"/>
    <s v="20–22°C"/>
    <n v="2.59"/>
    <n v="2026"/>
    <x v="0"/>
    <n v="14"/>
    <n v="3"/>
    <n v="16"/>
    <n v="0.22500000000000001"/>
    <n v="0.28777777777777774"/>
    <x v="2"/>
  </r>
  <r>
    <d v="2026-01-14T17:00:00"/>
    <x v="4"/>
    <s v="R110"/>
    <n v="9"/>
    <n v="30"/>
    <n v="23.245686877080399"/>
    <s v="22–24°C"/>
    <n v="2.93"/>
    <n v="2026"/>
    <x v="0"/>
    <n v="14"/>
    <n v="3"/>
    <n v="17"/>
    <n v="0.3"/>
    <n v="0.3255555555555556"/>
    <x v="3"/>
  </r>
  <r>
    <d v="2026-01-14T18:00:00"/>
    <x v="3"/>
    <s v="R120"/>
    <n v="11"/>
    <n v="40"/>
    <n v="23.933432468010359"/>
    <s v="22–24°C"/>
    <n v="3.99"/>
    <n v="2026"/>
    <x v="0"/>
    <n v="14"/>
    <n v="3"/>
    <n v="18"/>
    <n v="0.27500000000000002"/>
    <n v="0.36272727272727273"/>
    <x v="3"/>
  </r>
  <r>
    <d v="2026-01-14T19:00:00"/>
    <x v="0"/>
    <s v="R104"/>
    <n v="6"/>
    <n v="40"/>
    <n v="26.032788110507141"/>
    <s v="26–28°C"/>
    <n v="3.09"/>
    <n v="2026"/>
    <x v="0"/>
    <n v="14"/>
    <n v="3"/>
    <n v="19"/>
    <n v="0.15"/>
    <n v="0.51500000000000001"/>
    <x v="3"/>
  </r>
  <r>
    <d v="2026-01-14T20:00:00"/>
    <x v="2"/>
    <s v="R106"/>
    <n v="4"/>
    <n v="40"/>
    <n v="19.51133856144348"/>
    <s v="18–20°C"/>
    <n v="2.35"/>
    <n v="2026"/>
    <x v="0"/>
    <n v="14"/>
    <n v="3"/>
    <n v="20"/>
    <n v="0.1"/>
    <n v="0.58750000000000002"/>
    <x v="3"/>
  </r>
  <r>
    <d v="2026-01-14T21:00:00"/>
    <x v="4"/>
    <s v="R116"/>
    <n v="8"/>
    <n v="25"/>
    <n v="22.17278893315671"/>
    <s v="22–24°C"/>
    <n v="3.39"/>
    <n v="2026"/>
    <x v="0"/>
    <n v="14"/>
    <n v="3"/>
    <n v="21"/>
    <n v="0.32"/>
    <n v="0.42375000000000002"/>
    <x v="0"/>
  </r>
  <r>
    <d v="2026-01-14T22:00:00"/>
    <x v="3"/>
    <s v="R116"/>
    <n v="9"/>
    <n v="40"/>
    <n v="21.832801347307988"/>
    <s v="20–22°C"/>
    <n v="3.39"/>
    <n v="2026"/>
    <x v="0"/>
    <n v="14"/>
    <n v="3"/>
    <n v="22"/>
    <n v="0.22500000000000001"/>
    <n v="0.37666666666666671"/>
    <x v="0"/>
  </r>
  <r>
    <d v="2026-01-14T23:00:00"/>
    <x v="3"/>
    <s v="R115"/>
    <n v="6"/>
    <n v="30"/>
    <n v="23.96889321055788"/>
    <s v="22–24°C"/>
    <n v="2.73"/>
    <n v="2026"/>
    <x v="0"/>
    <n v="14"/>
    <n v="3"/>
    <n v="23"/>
    <n v="0.2"/>
    <n v="0.45500000000000002"/>
    <x v="0"/>
  </r>
  <r>
    <d v="2026-01-15T00:00:00"/>
    <x v="1"/>
    <s v="R106"/>
    <n v="8"/>
    <n v="20"/>
    <n v="18.023345293174021"/>
    <s v="18–20°C"/>
    <n v="3.2"/>
    <n v="2026"/>
    <x v="0"/>
    <n v="15"/>
    <n v="4"/>
    <n v="0"/>
    <n v="0.4"/>
    <n v="0.4"/>
    <x v="0"/>
  </r>
  <r>
    <d v="2026-01-15T01:00:00"/>
    <x v="3"/>
    <s v="R111"/>
    <n v="7"/>
    <n v="25"/>
    <n v="24.220432339178441"/>
    <s v="24–26°C"/>
    <n v="2.93"/>
    <n v="2026"/>
    <x v="0"/>
    <n v="15"/>
    <n v="4"/>
    <n v="1"/>
    <n v="0.28000000000000003"/>
    <n v="0.41857142857142859"/>
    <x v="0"/>
  </r>
  <r>
    <d v="2026-01-15T02:00:00"/>
    <x v="1"/>
    <s v="R119"/>
    <n v="9"/>
    <n v="20"/>
    <n v="22.422902608248592"/>
    <s v="22–24°C"/>
    <n v="2.88"/>
    <n v="2026"/>
    <x v="0"/>
    <n v="15"/>
    <n v="4"/>
    <n v="2"/>
    <n v="0.45"/>
    <n v="0.32"/>
    <x v="0"/>
  </r>
  <r>
    <d v="2026-01-15T03:00:00"/>
    <x v="1"/>
    <s v="R102"/>
    <n v="6"/>
    <n v="25"/>
    <n v="20.600280555640801"/>
    <s v="20–22°C"/>
    <n v="2.42"/>
    <n v="2026"/>
    <x v="0"/>
    <n v="15"/>
    <n v="4"/>
    <n v="3"/>
    <n v="0.24"/>
    <n v="0.40333333333333332"/>
    <x v="0"/>
  </r>
  <r>
    <d v="2026-01-15T04:00:00"/>
    <x v="2"/>
    <s v="R115"/>
    <n v="15"/>
    <n v="30"/>
    <n v="26.252760811337261"/>
    <s v="26–28°C"/>
    <n v="5.04"/>
    <n v="2026"/>
    <x v="0"/>
    <n v="15"/>
    <n v="4"/>
    <n v="4"/>
    <n v="0.5"/>
    <n v="0.33600000000000002"/>
    <x v="0"/>
  </r>
  <r>
    <d v="2026-01-15T05:00:00"/>
    <x v="4"/>
    <s v="R117"/>
    <n v="12"/>
    <n v="25"/>
    <n v="19.364041549225689"/>
    <s v="18–20°C"/>
    <n v="4.42"/>
    <n v="2026"/>
    <x v="0"/>
    <n v="15"/>
    <n v="4"/>
    <n v="5"/>
    <n v="0.48"/>
    <n v="0.36833333333333335"/>
    <x v="0"/>
  </r>
  <r>
    <d v="2026-01-15T06:00:00"/>
    <x v="0"/>
    <s v="R101"/>
    <n v="2"/>
    <n v="40"/>
    <n v="26.015267117827371"/>
    <s v="26–28°C"/>
    <n v="1.69"/>
    <n v="2026"/>
    <x v="0"/>
    <n v="15"/>
    <n v="4"/>
    <n v="6"/>
    <n v="0.05"/>
    <n v="0.84499999999999997"/>
    <x v="0"/>
  </r>
  <r>
    <d v="2026-01-15T07:00:00"/>
    <x v="4"/>
    <s v="R108"/>
    <n v="9"/>
    <n v="40"/>
    <n v="25.564726948231211"/>
    <s v="24–26°C"/>
    <n v="3.91"/>
    <n v="2026"/>
    <x v="0"/>
    <n v="15"/>
    <n v="4"/>
    <n v="7"/>
    <n v="0.22500000000000001"/>
    <n v="0.43444444444444447"/>
    <x v="1"/>
  </r>
  <r>
    <d v="2026-01-15T08:00:00"/>
    <x v="3"/>
    <s v="R107"/>
    <n v="7"/>
    <n v="40"/>
    <n v="22.344352947314611"/>
    <s v="22–24°C"/>
    <n v="2.5"/>
    <n v="2026"/>
    <x v="0"/>
    <n v="15"/>
    <n v="4"/>
    <n v="8"/>
    <n v="0.17499999999999999"/>
    <n v="0.35714285714285715"/>
    <x v="1"/>
  </r>
  <r>
    <d v="2026-01-15T09:00:00"/>
    <x v="3"/>
    <s v="R104"/>
    <n v="6"/>
    <n v="25"/>
    <n v="25.097414252833129"/>
    <s v="24–26°C"/>
    <n v="3.26"/>
    <n v="2026"/>
    <x v="0"/>
    <n v="15"/>
    <n v="4"/>
    <n v="9"/>
    <n v="0.24"/>
    <n v="0.54333333333333333"/>
    <x v="1"/>
  </r>
  <r>
    <d v="2026-01-15T10:00:00"/>
    <x v="3"/>
    <s v="R111"/>
    <n v="5"/>
    <n v="25"/>
    <n v="23.98241533082399"/>
    <s v="22–24°C"/>
    <n v="2.2400000000000002"/>
    <n v="2026"/>
    <x v="0"/>
    <n v="15"/>
    <n v="4"/>
    <n v="10"/>
    <n v="0.2"/>
    <n v="0.44800000000000006"/>
    <x v="1"/>
  </r>
  <r>
    <d v="2026-01-15T11:00:00"/>
    <x v="4"/>
    <s v="R108"/>
    <n v="5"/>
    <n v="30"/>
    <n v="23.145361048658678"/>
    <s v="22–24°C"/>
    <n v="2.1"/>
    <n v="2026"/>
    <x v="0"/>
    <n v="15"/>
    <n v="4"/>
    <n v="11"/>
    <n v="0.16666666666666666"/>
    <n v="0.42000000000000004"/>
    <x v="1"/>
  </r>
  <r>
    <d v="2026-01-15T12:00:00"/>
    <x v="4"/>
    <s v="R107"/>
    <n v="3"/>
    <n v="20"/>
    <n v="19.537597393110151"/>
    <s v="18–20°C"/>
    <n v="2.37"/>
    <n v="2026"/>
    <x v="0"/>
    <n v="15"/>
    <n v="4"/>
    <n v="12"/>
    <n v="0.15"/>
    <n v="0.79"/>
    <x v="2"/>
  </r>
  <r>
    <d v="2026-01-15T13:00:00"/>
    <x v="0"/>
    <s v="R109"/>
    <n v="8"/>
    <n v="25"/>
    <n v="25.42048700101375"/>
    <s v="24–26°C"/>
    <n v="3.23"/>
    <n v="2026"/>
    <x v="0"/>
    <n v="15"/>
    <n v="4"/>
    <n v="13"/>
    <n v="0.32"/>
    <n v="0.40375"/>
    <x v="2"/>
  </r>
  <r>
    <d v="2026-01-15T14:00:00"/>
    <x v="4"/>
    <s v="R108"/>
    <n v="9"/>
    <n v="20"/>
    <n v="24.354719043372839"/>
    <s v="24–26°C"/>
    <n v="3.17"/>
    <n v="2026"/>
    <x v="0"/>
    <n v="15"/>
    <n v="4"/>
    <n v="14"/>
    <n v="0.45"/>
    <n v="0.35222222222222221"/>
    <x v="2"/>
  </r>
  <r>
    <d v="2026-01-15T15:00:00"/>
    <x v="4"/>
    <s v="R115"/>
    <n v="6"/>
    <n v="20"/>
    <n v="25.657281656496458"/>
    <s v="24–26°C"/>
    <n v="2.94"/>
    <n v="2026"/>
    <x v="0"/>
    <n v="15"/>
    <n v="4"/>
    <n v="15"/>
    <n v="0.3"/>
    <n v="0.49"/>
    <x v="2"/>
  </r>
  <r>
    <d v="2026-01-15T16:00:00"/>
    <x v="0"/>
    <s v="R104"/>
    <n v="7"/>
    <n v="25"/>
    <n v="22.806752659970218"/>
    <s v="22–24°C"/>
    <n v="2.5499999999999998"/>
    <n v="2026"/>
    <x v="0"/>
    <n v="15"/>
    <n v="4"/>
    <n v="16"/>
    <n v="0.28000000000000003"/>
    <n v="0.36428571428571427"/>
    <x v="2"/>
  </r>
  <r>
    <d v="2026-01-15T17:00:00"/>
    <x v="4"/>
    <s v="R114"/>
    <n v="9"/>
    <n v="30"/>
    <n v="24.95062491695596"/>
    <s v="24–26°C"/>
    <n v="3.65"/>
    <n v="2026"/>
    <x v="0"/>
    <n v="15"/>
    <n v="4"/>
    <n v="17"/>
    <n v="0.3"/>
    <n v="0.40555555555555556"/>
    <x v="3"/>
  </r>
  <r>
    <d v="2026-01-15T18:00:00"/>
    <x v="2"/>
    <s v="R109"/>
    <n v="8"/>
    <n v="40"/>
    <n v="24.210447402036511"/>
    <s v="24–26°C"/>
    <n v="3.47"/>
    <n v="2026"/>
    <x v="0"/>
    <n v="15"/>
    <n v="4"/>
    <n v="18"/>
    <n v="0.2"/>
    <n v="0.43375000000000002"/>
    <x v="3"/>
  </r>
  <r>
    <d v="2026-01-15T19:00:00"/>
    <x v="2"/>
    <s v="R114"/>
    <n v="10"/>
    <n v="20"/>
    <n v="23.37035107365983"/>
    <s v="22–24°C"/>
    <n v="3.63"/>
    <n v="2026"/>
    <x v="0"/>
    <n v="15"/>
    <n v="4"/>
    <n v="19"/>
    <n v="0.5"/>
    <n v="0.36299999999999999"/>
    <x v="3"/>
  </r>
  <r>
    <d v="2026-01-15T20:00:00"/>
    <x v="3"/>
    <s v="R113"/>
    <n v="5"/>
    <n v="20"/>
    <n v="21.09536723852241"/>
    <s v="20–22°C"/>
    <n v="1.98"/>
    <n v="2026"/>
    <x v="0"/>
    <n v="15"/>
    <n v="4"/>
    <n v="20"/>
    <n v="0.25"/>
    <n v="0.39600000000000002"/>
    <x v="3"/>
  </r>
  <r>
    <d v="2026-01-15T21:00:00"/>
    <x v="2"/>
    <s v="R111"/>
    <n v="9"/>
    <n v="25"/>
    <n v="26.334448223102271"/>
    <s v="26–28°C"/>
    <n v="4.16"/>
    <n v="2026"/>
    <x v="0"/>
    <n v="15"/>
    <n v="4"/>
    <n v="21"/>
    <n v="0.36"/>
    <n v="0.46222222222222226"/>
    <x v="0"/>
  </r>
  <r>
    <d v="2026-01-15T22:00:00"/>
    <x v="3"/>
    <s v="R108"/>
    <n v="10"/>
    <n v="40"/>
    <n v="25.145773485985789"/>
    <s v="24–26°C"/>
    <n v="3.87"/>
    <n v="2026"/>
    <x v="0"/>
    <n v="15"/>
    <n v="4"/>
    <n v="22"/>
    <n v="0.25"/>
    <n v="0.38700000000000001"/>
    <x v="0"/>
  </r>
  <r>
    <d v="2026-01-15T23:00:00"/>
    <x v="0"/>
    <s v="R116"/>
    <n v="7"/>
    <n v="40"/>
    <n v="22.62876506416416"/>
    <s v="22–24°C"/>
    <n v="2.5499999999999998"/>
    <n v="2026"/>
    <x v="0"/>
    <n v="15"/>
    <n v="4"/>
    <n v="23"/>
    <n v="0.17499999999999999"/>
    <n v="0.36428571428571427"/>
    <x v="0"/>
  </r>
  <r>
    <d v="2026-01-16T00:00:00"/>
    <x v="2"/>
    <s v="R119"/>
    <n v="5"/>
    <n v="30"/>
    <n v="23.438221200068821"/>
    <s v="22–24°C"/>
    <n v="2.29"/>
    <n v="2026"/>
    <x v="0"/>
    <n v="16"/>
    <n v="5"/>
    <n v="0"/>
    <n v="0.16666666666666666"/>
    <n v="0.45800000000000002"/>
    <x v="0"/>
  </r>
  <r>
    <d v="2026-01-16T01:00:00"/>
    <x v="3"/>
    <s v="R104"/>
    <n v="6"/>
    <n v="30"/>
    <n v="19.662801482243609"/>
    <s v="18–20°C"/>
    <n v="2.97"/>
    <n v="2026"/>
    <x v="0"/>
    <n v="16"/>
    <n v="5"/>
    <n v="1"/>
    <n v="0.2"/>
    <n v="0.49500000000000005"/>
    <x v="0"/>
  </r>
  <r>
    <d v="2026-01-16T02:00:00"/>
    <x v="1"/>
    <s v="R106"/>
    <n v="13"/>
    <n v="20"/>
    <n v="21.23786332667742"/>
    <s v="20–22°C"/>
    <n v="3.95"/>
    <n v="2026"/>
    <x v="0"/>
    <n v="16"/>
    <n v="5"/>
    <n v="2"/>
    <n v="0.65"/>
    <n v="0.30384615384615388"/>
    <x v="0"/>
  </r>
  <r>
    <d v="2026-01-16T03:00:00"/>
    <x v="0"/>
    <s v="R112"/>
    <n v="8"/>
    <n v="40"/>
    <n v="21.479621102075829"/>
    <s v="20–22°C"/>
    <n v="2.96"/>
    <n v="2026"/>
    <x v="0"/>
    <n v="16"/>
    <n v="5"/>
    <n v="3"/>
    <n v="0.2"/>
    <n v="0.37"/>
    <x v="0"/>
  </r>
  <r>
    <d v="2026-01-16T04:00:00"/>
    <x v="2"/>
    <s v="R117"/>
    <n v="4"/>
    <n v="20"/>
    <n v="21.167451798872548"/>
    <s v="20–22°C"/>
    <n v="2.33"/>
    <n v="2026"/>
    <x v="0"/>
    <n v="16"/>
    <n v="5"/>
    <n v="4"/>
    <n v="0.2"/>
    <n v="0.58250000000000002"/>
    <x v="0"/>
  </r>
  <r>
    <d v="2026-01-16T05:00:00"/>
    <x v="0"/>
    <s v="R110"/>
    <n v="7"/>
    <n v="40"/>
    <n v="18.695232910781641"/>
    <s v="18–20°C"/>
    <n v="3.31"/>
    <n v="2026"/>
    <x v="0"/>
    <n v="16"/>
    <n v="5"/>
    <n v="5"/>
    <n v="0.17499999999999999"/>
    <n v="0.47285714285714286"/>
    <x v="0"/>
  </r>
  <r>
    <d v="2026-01-16T06:00:00"/>
    <x v="4"/>
    <s v="R106"/>
    <n v="5"/>
    <n v="30"/>
    <n v="25.837062690296069"/>
    <s v="24–26°C"/>
    <n v="1.88"/>
    <n v="2026"/>
    <x v="0"/>
    <n v="16"/>
    <n v="5"/>
    <n v="6"/>
    <n v="0.16666666666666666"/>
    <n v="0.376"/>
    <x v="0"/>
  </r>
  <r>
    <d v="2026-01-16T07:00:00"/>
    <x v="1"/>
    <s v="R118"/>
    <n v="10"/>
    <n v="30"/>
    <n v="21.16614490934014"/>
    <s v="20–22°C"/>
    <n v="3.52"/>
    <n v="2026"/>
    <x v="0"/>
    <n v="16"/>
    <n v="5"/>
    <n v="7"/>
    <n v="0.33333333333333331"/>
    <n v="0.35199999999999998"/>
    <x v="1"/>
  </r>
  <r>
    <d v="2026-01-16T08:00:00"/>
    <x v="1"/>
    <s v="R101"/>
    <n v="9"/>
    <n v="30"/>
    <n v="22.080902117676491"/>
    <s v="22–24°C"/>
    <n v="2.54"/>
    <n v="2026"/>
    <x v="0"/>
    <n v="16"/>
    <n v="5"/>
    <n v="8"/>
    <n v="0.3"/>
    <n v="0.28222222222222221"/>
    <x v="1"/>
  </r>
  <r>
    <d v="2026-01-16T09:00:00"/>
    <x v="2"/>
    <s v="R105"/>
    <n v="8"/>
    <n v="40"/>
    <n v="23.39226291804782"/>
    <s v="22–24°C"/>
    <n v="2.74"/>
    <n v="2026"/>
    <x v="0"/>
    <n v="16"/>
    <n v="5"/>
    <n v="9"/>
    <n v="0.2"/>
    <n v="0.34250000000000003"/>
    <x v="1"/>
  </r>
  <r>
    <d v="2026-01-16T10:00:00"/>
    <x v="1"/>
    <s v="R111"/>
    <n v="7"/>
    <n v="30"/>
    <n v="24.827543242771171"/>
    <s v="24–26°C"/>
    <n v="2.5099999999999998"/>
    <n v="2026"/>
    <x v="0"/>
    <n v="16"/>
    <n v="5"/>
    <n v="10"/>
    <n v="0.23333333333333334"/>
    <n v="0.35857142857142854"/>
    <x v="1"/>
  </r>
  <r>
    <d v="2026-01-16T11:00:00"/>
    <x v="2"/>
    <s v="R112"/>
    <n v="12"/>
    <n v="25"/>
    <n v="22.251639448019631"/>
    <s v="22–24°C"/>
    <n v="3.79"/>
    <n v="2026"/>
    <x v="0"/>
    <n v="16"/>
    <n v="5"/>
    <n v="11"/>
    <n v="0.48"/>
    <n v="0.31583333333333335"/>
    <x v="1"/>
  </r>
  <r>
    <d v="2026-01-16T12:00:00"/>
    <x v="1"/>
    <s v="R101"/>
    <n v="10"/>
    <n v="25"/>
    <n v="23.85663338475047"/>
    <s v="22–24°C"/>
    <n v="3.6"/>
    <n v="2026"/>
    <x v="0"/>
    <n v="16"/>
    <n v="5"/>
    <n v="12"/>
    <n v="0.4"/>
    <n v="0.36"/>
    <x v="2"/>
  </r>
  <r>
    <d v="2026-01-16T13:00:00"/>
    <x v="4"/>
    <s v="R111"/>
    <n v="7"/>
    <n v="25"/>
    <n v="20.69333519358851"/>
    <s v="20–22°C"/>
    <n v="2.2400000000000002"/>
    <n v="2026"/>
    <x v="0"/>
    <n v="16"/>
    <n v="5"/>
    <n v="13"/>
    <n v="0.28000000000000003"/>
    <n v="0.32"/>
    <x v="2"/>
  </r>
  <r>
    <d v="2026-01-16T14:00:00"/>
    <x v="0"/>
    <s v="R112"/>
    <n v="7"/>
    <n v="20"/>
    <n v="23.80096277301266"/>
    <s v="22–24°C"/>
    <n v="2.86"/>
    <n v="2026"/>
    <x v="0"/>
    <n v="16"/>
    <n v="5"/>
    <n v="14"/>
    <n v="0.35"/>
    <n v="0.40857142857142853"/>
    <x v="2"/>
  </r>
  <r>
    <d v="2026-01-16T15:00:00"/>
    <x v="3"/>
    <s v="R101"/>
    <n v="7"/>
    <n v="30"/>
    <n v="24.011931106911732"/>
    <s v="24–26°C"/>
    <n v="2.63"/>
    <n v="2026"/>
    <x v="0"/>
    <n v="16"/>
    <n v="5"/>
    <n v="15"/>
    <n v="0.23333333333333334"/>
    <n v="0.37571428571428572"/>
    <x v="2"/>
  </r>
  <r>
    <d v="2026-01-16T16:00:00"/>
    <x v="2"/>
    <s v="R112"/>
    <n v="8"/>
    <n v="25"/>
    <n v="23.24783485268529"/>
    <s v="22–24°C"/>
    <n v="2.75"/>
    <n v="2026"/>
    <x v="0"/>
    <n v="16"/>
    <n v="5"/>
    <n v="16"/>
    <n v="0.32"/>
    <n v="0.34375"/>
    <x v="2"/>
  </r>
  <r>
    <d v="2026-01-16T17:00:00"/>
    <x v="1"/>
    <s v="R101"/>
    <n v="7"/>
    <n v="20"/>
    <n v="25.404955495306019"/>
    <s v="24–26°C"/>
    <n v="3.16"/>
    <n v="2026"/>
    <x v="0"/>
    <n v="16"/>
    <n v="5"/>
    <n v="17"/>
    <n v="0.35"/>
    <n v="0.45142857142857146"/>
    <x v="3"/>
  </r>
  <r>
    <d v="2026-01-16T18:00:00"/>
    <x v="3"/>
    <s v="R112"/>
    <n v="10"/>
    <n v="30"/>
    <n v="23.871950779000091"/>
    <s v="22–24°C"/>
    <n v="2.82"/>
    <n v="2026"/>
    <x v="0"/>
    <n v="16"/>
    <n v="5"/>
    <n v="18"/>
    <n v="0.33333333333333331"/>
    <n v="0.28199999999999997"/>
    <x v="3"/>
  </r>
  <r>
    <d v="2026-01-16T19:00:00"/>
    <x v="1"/>
    <s v="R113"/>
    <n v="8"/>
    <n v="25"/>
    <n v="21.820181404268489"/>
    <s v="20–22°C"/>
    <n v="3.08"/>
    <n v="2026"/>
    <x v="0"/>
    <n v="16"/>
    <n v="5"/>
    <n v="19"/>
    <n v="0.32"/>
    <n v="0.38500000000000001"/>
    <x v="3"/>
  </r>
  <r>
    <d v="2026-01-16T20:00:00"/>
    <x v="2"/>
    <s v="R104"/>
    <n v="7"/>
    <n v="20"/>
    <n v="22.413188968315911"/>
    <s v="22–24°C"/>
    <n v="2.1800000000000002"/>
    <n v="2026"/>
    <x v="0"/>
    <n v="16"/>
    <n v="5"/>
    <n v="20"/>
    <n v="0.35"/>
    <n v="0.31142857142857144"/>
    <x v="3"/>
  </r>
  <r>
    <d v="2026-01-16T21:00:00"/>
    <x v="0"/>
    <s v="R103"/>
    <n v="11"/>
    <n v="25"/>
    <n v="23.10356770239791"/>
    <s v="22–24°C"/>
    <n v="3.89"/>
    <n v="2026"/>
    <x v="0"/>
    <n v="16"/>
    <n v="5"/>
    <n v="21"/>
    <n v="0.44"/>
    <n v="0.35363636363636364"/>
    <x v="0"/>
  </r>
  <r>
    <d v="2026-01-16T22:00:00"/>
    <x v="4"/>
    <s v="R102"/>
    <n v="6"/>
    <n v="30"/>
    <n v="23.28196539922412"/>
    <s v="22–24°C"/>
    <n v="2.97"/>
    <n v="2026"/>
    <x v="0"/>
    <n v="16"/>
    <n v="5"/>
    <n v="22"/>
    <n v="0.2"/>
    <n v="0.49500000000000005"/>
    <x v="0"/>
  </r>
  <r>
    <d v="2026-01-16T23:00:00"/>
    <x v="1"/>
    <s v="R104"/>
    <n v="5"/>
    <n v="30"/>
    <n v="22.04470883479199"/>
    <s v="22–24°C"/>
    <n v="1.68"/>
    <n v="2026"/>
    <x v="0"/>
    <n v="16"/>
    <n v="5"/>
    <n v="23"/>
    <n v="0.16666666666666666"/>
    <n v="0.33599999999999997"/>
    <x v="0"/>
  </r>
  <r>
    <d v="2026-01-17T00:00:00"/>
    <x v="3"/>
    <s v="R117"/>
    <n v="6"/>
    <n v="20"/>
    <n v="21.544655290287551"/>
    <s v="20–22°C"/>
    <n v="2.37"/>
    <n v="2026"/>
    <x v="0"/>
    <n v="17"/>
    <n v="6"/>
    <n v="0"/>
    <n v="0.3"/>
    <n v="0.39500000000000002"/>
    <x v="0"/>
  </r>
  <r>
    <d v="2026-01-17T01:00:00"/>
    <x v="4"/>
    <s v="R119"/>
    <n v="7"/>
    <n v="30"/>
    <n v="27.207346206123439"/>
    <s v="26–28°C"/>
    <n v="3.51"/>
    <n v="2026"/>
    <x v="0"/>
    <n v="17"/>
    <n v="6"/>
    <n v="1"/>
    <n v="0.23333333333333334"/>
    <n v="0.50142857142857145"/>
    <x v="0"/>
  </r>
  <r>
    <d v="2026-01-17T02:00:00"/>
    <x v="1"/>
    <s v="R118"/>
    <n v="5"/>
    <n v="40"/>
    <n v="19.724790165086659"/>
    <s v="18–20°C"/>
    <n v="2.4300000000000002"/>
    <n v="2026"/>
    <x v="0"/>
    <n v="17"/>
    <n v="6"/>
    <n v="2"/>
    <n v="0.125"/>
    <n v="0.48600000000000004"/>
    <x v="0"/>
  </r>
  <r>
    <d v="2026-01-17T03:00:00"/>
    <x v="3"/>
    <s v="R107"/>
    <n v="8"/>
    <n v="30"/>
    <n v="25.307180686633849"/>
    <s v="24–26°C"/>
    <n v="3.71"/>
    <n v="2026"/>
    <x v="0"/>
    <n v="17"/>
    <n v="6"/>
    <n v="3"/>
    <n v="0.26666666666666666"/>
    <n v="0.46375"/>
    <x v="0"/>
  </r>
  <r>
    <d v="2026-01-17T04:00:00"/>
    <x v="0"/>
    <s v="R103"/>
    <n v="5"/>
    <n v="40"/>
    <n v="26.0603903977267"/>
    <s v="26–28°C"/>
    <n v="2.86"/>
    <n v="2026"/>
    <x v="0"/>
    <n v="17"/>
    <n v="6"/>
    <n v="4"/>
    <n v="0.125"/>
    <n v="0.57199999999999995"/>
    <x v="0"/>
  </r>
  <r>
    <d v="2026-01-17T05:00:00"/>
    <x v="0"/>
    <s v="R120"/>
    <n v="6"/>
    <n v="20"/>
    <n v="20.1919974072378"/>
    <s v="20–22°C"/>
    <n v="3.36"/>
    <n v="2026"/>
    <x v="0"/>
    <n v="17"/>
    <n v="6"/>
    <n v="5"/>
    <n v="0.3"/>
    <n v="0.55999999999999994"/>
    <x v="0"/>
  </r>
  <r>
    <d v="2026-01-17T06:00:00"/>
    <x v="4"/>
    <s v="R108"/>
    <n v="9"/>
    <n v="30"/>
    <n v="19.945408619144381"/>
    <s v="18–20°C"/>
    <n v="2.85"/>
    <n v="2026"/>
    <x v="0"/>
    <n v="17"/>
    <n v="6"/>
    <n v="6"/>
    <n v="0.3"/>
    <n v="0.31666666666666665"/>
    <x v="0"/>
  </r>
  <r>
    <d v="2026-01-17T07:00:00"/>
    <x v="3"/>
    <s v="R107"/>
    <n v="10"/>
    <n v="20"/>
    <n v="21.40888586411824"/>
    <s v="20–22°C"/>
    <n v="3.52"/>
    <n v="2026"/>
    <x v="0"/>
    <n v="17"/>
    <n v="6"/>
    <n v="7"/>
    <n v="0.5"/>
    <n v="0.35199999999999998"/>
    <x v="1"/>
  </r>
  <r>
    <d v="2026-01-17T08:00:00"/>
    <x v="2"/>
    <s v="R119"/>
    <n v="8"/>
    <n v="30"/>
    <n v="25.736196963527629"/>
    <s v="24–26°C"/>
    <n v="3.01"/>
    <n v="2026"/>
    <x v="0"/>
    <n v="17"/>
    <n v="6"/>
    <n v="8"/>
    <n v="0.26666666666666666"/>
    <n v="0.37624999999999997"/>
    <x v="1"/>
  </r>
  <r>
    <d v="2026-01-17T09:00:00"/>
    <x v="1"/>
    <s v="R107"/>
    <n v="9"/>
    <n v="40"/>
    <n v="25.409348879987409"/>
    <s v="24–26°C"/>
    <n v="3.37"/>
    <n v="2026"/>
    <x v="0"/>
    <n v="17"/>
    <n v="6"/>
    <n v="9"/>
    <n v="0.22500000000000001"/>
    <n v="0.37444444444444447"/>
    <x v="1"/>
  </r>
  <r>
    <d v="2026-01-17T10:00:00"/>
    <x v="2"/>
    <s v="R115"/>
    <n v="10"/>
    <n v="40"/>
    <n v="23.693419955209841"/>
    <s v="22–24°C"/>
    <n v="4.3099999999999996"/>
    <n v="2026"/>
    <x v="0"/>
    <n v="17"/>
    <n v="6"/>
    <n v="10"/>
    <n v="0.25"/>
    <n v="0.43099999999999994"/>
    <x v="1"/>
  </r>
  <r>
    <d v="2026-01-17T11:00:00"/>
    <x v="3"/>
    <s v="R118"/>
    <n v="3"/>
    <n v="30"/>
    <n v="24.28108587014955"/>
    <s v="24–26°C"/>
    <n v="1.93"/>
    <n v="2026"/>
    <x v="0"/>
    <n v="17"/>
    <n v="6"/>
    <n v="11"/>
    <n v="0.1"/>
    <n v="0.64333333333333331"/>
    <x v="1"/>
  </r>
  <r>
    <d v="2026-01-17T12:00:00"/>
    <x v="0"/>
    <s v="R109"/>
    <n v="8"/>
    <n v="20"/>
    <n v="24.872418019159898"/>
    <s v="24–26°C"/>
    <n v="3.29"/>
    <n v="2026"/>
    <x v="0"/>
    <n v="17"/>
    <n v="6"/>
    <n v="12"/>
    <n v="0.4"/>
    <n v="0.41125"/>
    <x v="2"/>
  </r>
  <r>
    <d v="2026-01-17T13:00:00"/>
    <x v="1"/>
    <s v="R107"/>
    <n v="9"/>
    <n v="25"/>
    <n v="24.045123841750659"/>
    <s v="24–26°C"/>
    <n v="2.81"/>
    <n v="2026"/>
    <x v="0"/>
    <n v="17"/>
    <n v="6"/>
    <n v="13"/>
    <n v="0.36"/>
    <n v="0.31222222222222223"/>
    <x v="2"/>
  </r>
  <r>
    <d v="2026-01-17T14:00:00"/>
    <x v="3"/>
    <s v="R105"/>
    <n v="5"/>
    <n v="40"/>
    <n v="20.021707164201739"/>
    <s v="20–22°C"/>
    <n v="2.37"/>
    <n v="2026"/>
    <x v="0"/>
    <n v="17"/>
    <n v="6"/>
    <n v="14"/>
    <n v="0.125"/>
    <n v="0.47400000000000003"/>
    <x v="2"/>
  </r>
  <r>
    <d v="2026-01-17T15:00:00"/>
    <x v="2"/>
    <s v="R116"/>
    <n v="8"/>
    <n v="40"/>
    <n v="27.607277504209581"/>
    <s v="26–28°C"/>
    <n v="3.2"/>
    <n v="2026"/>
    <x v="0"/>
    <n v="17"/>
    <n v="6"/>
    <n v="15"/>
    <n v="0.2"/>
    <n v="0.4"/>
    <x v="2"/>
  </r>
  <r>
    <d v="2026-01-17T16:00:00"/>
    <x v="4"/>
    <s v="R120"/>
    <n v="10"/>
    <n v="30"/>
    <n v="22.052270259680942"/>
    <s v="22–24°C"/>
    <n v="3.2"/>
    <n v="2026"/>
    <x v="0"/>
    <n v="17"/>
    <n v="6"/>
    <n v="16"/>
    <n v="0.33333333333333331"/>
    <n v="0.32"/>
    <x v="2"/>
  </r>
  <r>
    <d v="2026-01-17T17:00:00"/>
    <x v="0"/>
    <s v="R112"/>
    <n v="12"/>
    <n v="20"/>
    <n v="24.38571151163562"/>
    <s v="24–26°C"/>
    <n v="4.38"/>
    <n v="2026"/>
    <x v="0"/>
    <n v="17"/>
    <n v="6"/>
    <n v="17"/>
    <n v="0.6"/>
    <n v="0.36499999999999999"/>
    <x v="3"/>
  </r>
  <r>
    <d v="2026-01-17T18:00:00"/>
    <x v="2"/>
    <s v="R107"/>
    <n v="9"/>
    <n v="20"/>
    <n v="26.795534033491951"/>
    <s v="26–28°C"/>
    <n v="3.48"/>
    <n v="2026"/>
    <x v="0"/>
    <n v="17"/>
    <n v="6"/>
    <n v="18"/>
    <n v="0.45"/>
    <n v="0.38666666666666666"/>
    <x v="3"/>
  </r>
  <r>
    <d v="2026-01-17T19:00:00"/>
    <x v="1"/>
    <s v="R111"/>
    <n v="11"/>
    <n v="30"/>
    <n v="22.752534639800491"/>
    <s v="22–24°C"/>
    <n v="3.8"/>
    <n v="2026"/>
    <x v="0"/>
    <n v="17"/>
    <n v="6"/>
    <n v="19"/>
    <n v="0.36666666666666664"/>
    <n v="0.34545454545454546"/>
    <x v="3"/>
  </r>
  <r>
    <d v="2026-01-17T20:00:00"/>
    <x v="2"/>
    <s v="R106"/>
    <n v="4"/>
    <n v="25"/>
    <n v="24.98047690741037"/>
    <s v="24–26°C"/>
    <n v="2.0699999999999998"/>
    <n v="2026"/>
    <x v="0"/>
    <n v="17"/>
    <n v="6"/>
    <n v="20"/>
    <n v="0.16"/>
    <n v="0.51749999999999996"/>
    <x v="3"/>
  </r>
  <r>
    <d v="2026-01-17T21:00:00"/>
    <x v="3"/>
    <s v="R104"/>
    <n v="13"/>
    <n v="30"/>
    <n v="24.979720281172"/>
    <s v="24–26°C"/>
    <n v="4.3099999999999996"/>
    <n v="2026"/>
    <x v="0"/>
    <n v="17"/>
    <n v="6"/>
    <n v="21"/>
    <n v="0.43333333333333335"/>
    <n v="0.3315384615384615"/>
    <x v="0"/>
  </r>
  <r>
    <d v="2026-01-17T22:00:00"/>
    <x v="1"/>
    <s v="R113"/>
    <n v="12"/>
    <n v="30"/>
    <n v="20.713961375852541"/>
    <s v="20–22°C"/>
    <n v="4.24"/>
    <n v="2026"/>
    <x v="0"/>
    <n v="17"/>
    <n v="6"/>
    <n v="22"/>
    <n v="0.4"/>
    <n v="0.35333333333333333"/>
    <x v="0"/>
  </r>
  <r>
    <d v="2026-01-17T23:00:00"/>
    <x v="2"/>
    <s v="R108"/>
    <n v="7"/>
    <n v="25"/>
    <n v="23.357389433620948"/>
    <s v="22–24°C"/>
    <n v="3.12"/>
    <n v="2026"/>
    <x v="0"/>
    <n v="17"/>
    <n v="6"/>
    <n v="23"/>
    <n v="0.28000000000000003"/>
    <n v="0.44571428571428573"/>
    <x v="0"/>
  </r>
  <r>
    <d v="2026-01-18T00:00:00"/>
    <x v="1"/>
    <s v="R114"/>
    <n v="12"/>
    <n v="30"/>
    <n v="23.722831047543959"/>
    <s v="22–24°C"/>
    <n v="4.24"/>
    <n v="2026"/>
    <x v="0"/>
    <n v="18"/>
    <n v="0"/>
    <n v="0"/>
    <n v="0.4"/>
    <n v="0.35333333333333333"/>
    <x v="0"/>
  </r>
  <r>
    <d v="2026-01-18T01:00:00"/>
    <x v="4"/>
    <s v="R116"/>
    <n v="7"/>
    <n v="25"/>
    <n v="24.993049267793161"/>
    <s v="24–26°C"/>
    <n v="2.78"/>
    <n v="2026"/>
    <x v="0"/>
    <n v="18"/>
    <n v="0"/>
    <n v="1"/>
    <n v="0.28000000000000003"/>
    <n v="0.39714285714285713"/>
    <x v="0"/>
  </r>
  <r>
    <d v="2026-01-18T02:00:00"/>
    <x v="0"/>
    <s v="R118"/>
    <n v="3"/>
    <n v="25"/>
    <n v="22.878164334458429"/>
    <s v="22–24°C"/>
    <n v="1.75"/>
    <n v="2026"/>
    <x v="0"/>
    <n v="18"/>
    <n v="0"/>
    <n v="2"/>
    <n v="0.12"/>
    <n v="0.58333333333333337"/>
    <x v="0"/>
  </r>
  <r>
    <d v="2026-01-18T03:00:00"/>
    <x v="3"/>
    <s v="R111"/>
    <n v="9"/>
    <n v="20"/>
    <n v="23.429653012233199"/>
    <s v="22–24°C"/>
    <n v="3.1"/>
    <n v="2026"/>
    <x v="0"/>
    <n v="18"/>
    <n v="0"/>
    <n v="3"/>
    <n v="0.45"/>
    <n v="0.34444444444444444"/>
    <x v="0"/>
  </r>
  <r>
    <d v="2026-01-18T04:00:00"/>
    <x v="3"/>
    <s v="R102"/>
    <n v="10"/>
    <n v="20"/>
    <n v="18.963024271222729"/>
    <s v="18–20°C"/>
    <n v="3.8"/>
    <n v="2026"/>
    <x v="0"/>
    <n v="18"/>
    <n v="0"/>
    <n v="4"/>
    <n v="0.5"/>
    <n v="0.38"/>
    <x v="0"/>
  </r>
  <r>
    <d v="2026-01-18T05:00:00"/>
    <x v="2"/>
    <s v="R112"/>
    <n v="8"/>
    <n v="30"/>
    <n v="23.957637496426148"/>
    <s v="22–24°C"/>
    <n v="3.3"/>
    <n v="2026"/>
    <x v="0"/>
    <n v="18"/>
    <n v="0"/>
    <n v="5"/>
    <n v="0.26666666666666666"/>
    <n v="0.41249999999999998"/>
    <x v="0"/>
  </r>
  <r>
    <d v="2026-01-18T06:00:00"/>
    <x v="1"/>
    <s v="R108"/>
    <n v="6"/>
    <n v="25"/>
    <n v="18.645869907114289"/>
    <s v="18–20°C"/>
    <n v="2.86"/>
    <n v="2026"/>
    <x v="0"/>
    <n v="18"/>
    <n v="0"/>
    <n v="6"/>
    <n v="0.24"/>
    <n v="0.47666666666666663"/>
    <x v="0"/>
  </r>
  <r>
    <d v="2026-01-18T07:00:00"/>
    <x v="1"/>
    <s v="R116"/>
    <n v="6"/>
    <n v="25"/>
    <n v="22.78702423363891"/>
    <s v="22–24°C"/>
    <n v="2.2799999999999998"/>
    <n v="2026"/>
    <x v="0"/>
    <n v="18"/>
    <n v="0"/>
    <n v="7"/>
    <n v="0.24"/>
    <n v="0.37999999999999995"/>
    <x v="1"/>
  </r>
  <r>
    <d v="2026-01-18T08:00:00"/>
    <x v="0"/>
    <s v="R102"/>
    <n v="7"/>
    <n v="20"/>
    <n v="22.575142140179072"/>
    <s v="22–24°C"/>
    <n v="3.09"/>
    <n v="2026"/>
    <x v="0"/>
    <n v="18"/>
    <n v="0"/>
    <n v="8"/>
    <n v="0.35"/>
    <n v="0.44142857142857139"/>
    <x v="1"/>
  </r>
  <r>
    <d v="2026-01-18T09:00:00"/>
    <x v="1"/>
    <s v="R106"/>
    <n v="11"/>
    <n v="25"/>
    <n v="20.15769371970876"/>
    <s v="20–22°C"/>
    <n v="3.67"/>
    <n v="2026"/>
    <x v="0"/>
    <n v="18"/>
    <n v="0"/>
    <n v="9"/>
    <n v="0.44"/>
    <n v="0.33363636363636362"/>
    <x v="1"/>
  </r>
  <r>
    <d v="2026-01-18T10:00:00"/>
    <x v="1"/>
    <s v="R115"/>
    <n v="3"/>
    <n v="40"/>
    <n v="20.872420767795941"/>
    <s v="20–22°C"/>
    <n v="1.48"/>
    <n v="2026"/>
    <x v="0"/>
    <n v="18"/>
    <n v="0"/>
    <n v="10"/>
    <n v="7.4999999999999997E-2"/>
    <n v="0.49333333333333335"/>
    <x v="1"/>
  </r>
  <r>
    <d v="2026-01-18T11:00:00"/>
    <x v="2"/>
    <s v="R103"/>
    <n v="5"/>
    <n v="30"/>
    <n v="24.840022920010789"/>
    <s v="24–26°C"/>
    <n v="2.39"/>
    <n v="2026"/>
    <x v="0"/>
    <n v="18"/>
    <n v="0"/>
    <n v="11"/>
    <n v="0.16666666666666666"/>
    <n v="0.47800000000000004"/>
    <x v="1"/>
  </r>
  <r>
    <d v="2026-01-18T12:00:00"/>
    <x v="4"/>
    <s v="R106"/>
    <n v="6"/>
    <n v="30"/>
    <n v="20.91484461065885"/>
    <s v="20–22°C"/>
    <n v="2.11"/>
    <n v="2026"/>
    <x v="0"/>
    <n v="18"/>
    <n v="0"/>
    <n v="12"/>
    <n v="0.2"/>
    <n v="0.35166666666666663"/>
    <x v="2"/>
  </r>
  <r>
    <d v="2026-01-18T13:00:00"/>
    <x v="2"/>
    <s v="R103"/>
    <n v="5"/>
    <n v="20"/>
    <n v="23.362125485542169"/>
    <s v="22–24°C"/>
    <n v="2.65"/>
    <n v="2026"/>
    <x v="0"/>
    <n v="18"/>
    <n v="0"/>
    <n v="13"/>
    <n v="0.25"/>
    <n v="0.53"/>
    <x v="2"/>
  </r>
  <r>
    <d v="2026-01-18T14:00:00"/>
    <x v="0"/>
    <s v="R120"/>
    <n v="6"/>
    <n v="30"/>
    <n v="26.139732872519939"/>
    <s v="26–28°C"/>
    <n v="2.94"/>
    <n v="2026"/>
    <x v="0"/>
    <n v="18"/>
    <n v="0"/>
    <n v="14"/>
    <n v="0.2"/>
    <n v="0.49"/>
    <x v="2"/>
  </r>
  <r>
    <d v="2026-01-18T15:00:00"/>
    <x v="1"/>
    <s v="R113"/>
    <n v="10"/>
    <n v="20"/>
    <n v="21.214424969016228"/>
    <s v="20–22°C"/>
    <n v="3.57"/>
    <n v="2026"/>
    <x v="0"/>
    <n v="18"/>
    <n v="0"/>
    <n v="15"/>
    <n v="0.5"/>
    <n v="0.35699999999999998"/>
    <x v="2"/>
  </r>
  <r>
    <d v="2026-01-18T16:00:00"/>
    <x v="2"/>
    <s v="R116"/>
    <n v="8"/>
    <n v="25"/>
    <n v="21.992991676225401"/>
    <s v="20–22°C"/>
    <n v="2.77"/>
    <n v="2026"/>
    <x v="0"/>
    <n v="18"/>
    <n v="0"/>
    <n v="16"/>
    <n v="0.32"/>
    <n v="0.34625"/>
    <x v="2"/>
  </r>
  <r>
    <d v="2026-01-18T17:00:00"/>
    <x v="2"/>
    <s v="R112"/>
    <n v="6"/>
    <n v="25"/>
    <n v="22.200201875737729"/>
    <s v="22–24°C"/>
    <n v="2.41"/>
    <n v="2026"/>
    <x v="0"/>
    <n v="18"/>
    <n v="0"/>
    <n v="17"/>
    <n v="0.24"/>
    <n v="0.40166666666666667"/>
    <x v="3"/>
  </r>
  <r>
    <d v="2026-01-18T18:00:00"/>
    <x v="2"/>
    <s v="R120"/>
    <n v="12"/>
    <n v="40"/>
    <n v="20.50120959388094"/>
    <s v="20–22°C"/>
    <n v="3.69"/>
    <n v="2026"/>
    <x v="0"/>
    <n v="18"/>
    <n v="0"/>
    <n v="18"/>
    <n v="0.3"/>
    <n v="0.3075"/>
    <x v="3"/>
  </r>
  <r>
    <d v="2026-01-18T19:00:00"/>
    <x v="1"/>
    <s v="R101"/>
    <n v="7"/>
    <n v="25"/>
    <n v="21.43740658635388"/>
    <s v="20–22°C"/>
    <n v="2.33"/>
    <n v="2026"/>
    <x v="0"/>
    <n v="18"/>
    <n v="0"/>
    <n v="19"/>
    <n v="0.28000000000000003"/>
    <n v="0.33285714285714285"/>
    <x v="3"/>
  </r>
  <r>
    <d v="2026-01-18T20:00:00"/>
    <x v="4"/>
    <s v="R120"/>
    <n v="9"/>
    <n v="40"/>
    <n v="22.34411615946528"/>
    <s v="22–24°C"/>
    <n v="3.34"/>
    <n v="2026"/>
    <x v="0"/>
    <n v="18"/>
    <n v="0"/>
    <n v="20"/>
    <n v="0.22500000000000001"/>
    <n v="0.37111111111111111"/>
    <x v="3"/>
  </r>
  <r>
    <d v="2026-01-18T21:00:00"/>
    <x v="3"/>
    <s v="R104"/>
    <n v="4"/>
    <n v="20"/>
    <n v="20.208421595615029"/>
    <s v="20–22°C"/>
    <n v="2.25"/>
    <n v="2026"/>
    <x v="0"/>
    <n v="18"/>
    <n v="0"/>
    <n v="21"/>
    <n v="0.2"/>
    <n v="0.5625"/>
    <x v="0"/>
  </r>
  <r>
    <d v="2026-01-18T22:00:00"/>
    <x v="0"/>
    <s v="R109"/>
    <n v="4"/>
    <n v="25"/>
    <n v="20.877412936577041"/>
    <s v="20–22°C"/>
    <n v="1.95"/>
    <n v="2026"/>
    <x v="0"/>
    <n v="18"/>
    <n v="0"/>
    <n v="22"/>
    <n v="0.16"/>
    <n v="0.48749999999999999"/>
    <x v="0"/>
  </r>
  <r>
    <d v="2026-01-18T23:00:00"/>
    <x v="1"/>
    <s v="R117"/>
    <n v="10"/>
    <n v="25"/>
    <n v="20.805263362057872"/>
    <s v="20–22°C"/>
    <n v="3.04"/>
    <n v="2026"/>
    <x v="0"/>
    <n v="18"/>
    <n v="0"/>
    <n v="23"/>
    <n v="0.4"/>
    <n v="0.30399999999999999"/>
    <x v="0"/>
  </r>
  <r>
    <d v="2026-01-19T00:00:00"/>
    <x v="2"/>
    <s v="R107"/>
    <n v="9"/>
    <n v="40"/>
    <n v="23.60340001780347"/>
    <s v="22–24°C"/>
    <n v="3.34"/>
    <n v="2026"/>
    <x v="0"/>
    <n v="19"/>
    <n v="1"/>
    <n v="0"/>
    <n v="0.22500000000000001"/>
    <n v="0.37111111111111111"/>
    <x v="0"/>
  </r>
  <r>
    <d v="2026-01-19T01:00:00"/>
    <x v="4"/>
    <s v="R112"/>
    <n v="13"/>
    <n v="25"/>
    <n v="25.786909055048859"/>
    <s v="24–26°C"/>
    <n v="4.83"/>
    <n v="2026"/>
    <x v="0"/>
    <n v="19"/>
    <n v="1"/>
    <n v="1"/>
    <n v="0.52"/>
    <n v="0.37153846153846154"/>
    <x v="0"/>
  </r>
  <r>
    <d v="2026-01-19T02:00:00"/>
    <x v="0"/>
    <s v="R106"/>
    <n v="9"/>
    <n v="25"/>
    <n v="24.171808402329301"/>
    <s v="24–26°C"/>
    <n v="3.15"/>
    <n v="2026"/>
    <x v="0"/>
    <n v="19"/>
    <n v="1"/>
    <n v="2"/>
    <n v="0.36"/>
    <n v="0.35"/>
    <x v="0"/>
  </r>
  <r>
    <d v="2026-01-19T03:00:00"/>
    <x v="2"/>
    <s v="R105"/>
    <n v="11"/>
    <n v="20"/>
    <n v="26.711006629588521"/>
    <s v="26–28°C"/>
    <n v="4.32"/>
    <n v="2026"/>
    <x v="0"/>
    <n v="19"/>
    <n v="1"/>
    <n v="3"/>
    <n v="0.55000000000000004"/>
    <n v="0.39272727272727276"/>
    <x v="0"/>
  </r>
  <r>
    <d v="2026-01-19T04:00:00"/>
    <x v="4"/>
    <s v="R102"/>
    <n v="4"/>
    <n v="20"/>
    <n v="24.50536463057211"/>
    <s v="24–26°C"/>
    <n v="1.82"/>
    <n v="2026"/>
    <x v="0"/>
    <n v="19"/>
    <n v="1"/>
    <n v="4"/>
    <n v="0.2"/>
    <n v="0.45500000000000002"/>
    <x v="0"/>
  </r>
  <r>
    <d v="2026-01-19T05:00:00"/>
    <x v="4"/>
    <s v="R105"/>
    <n v="11"/>
    <n v="20"/>
    <n v="25.016008008586521"/>
    <s v="24–26°C"/>
    <n v="3.84"/>
    <n v="2026"/>
    <x v="0"/>
    <n v="19"/>
    <n v="1"/>
    <n v="5"/>
    <n v="0.55000000000000004"/>
    <n v="0.34909090909090906"/>
    <x v="0"/>
  </r>
  <r>
    <d v="2026-01-19T06:00:00"/>
    <x v="1"/>
    <s v="R117"/>
    <n v="9"/>
    <n v="40"/>
    <n v="20.583642352708829"/>
    <s v="20–22°C"/>
    <n v="3.19"/>
    <n v="2026"/>
    <x v="0"/>
    <n v="19"/>
    <n v="1"/>
    <n v="6"/>
    <n v="0.22500000000000001"/>
    <n v="0.35444444444444445"/>
    <x v="0"/>
  </r>
  <r>
    <d v="2026-01-19T07:00:00"/>
    <x v="0"/>
    <s v="R116"/>
    <n v="6"/>
    <n v="20"/>
    <n v="25.233667551059909"/>
    <s v="24–26°C"/>
    <n v="2.84"/>
    <n v="2026"/>
    <x v="0"/>
    <n v="19"/>
    <n v="1"/>
    <n v="7"/>
    <n v="0.3"/>
    <n v="0.47333333333333333"/>
    <x v="1"/>
  </r>
  <r>
    <d v="2026-01-19T08:00:00"/>
    <x v="0"/>
    <s v="R107"/>
    <n v="9"/>
    <n v="20"/>
    <n v="23.622219982286389"/>
    <s v="22–24°C"/>
    <n v="2.73"/>
    <n v="2026"/>
    <x v="0"/>
    <n v="19"/>
    <n v="1"/>
    <n v="8"/>
    <n v="0.45"/>
    <n v="0.30333333333333334"/>
    <x v="1"/>
  </r>
  <r>
    <d v="2026-01-19T09:00:00"/>
    <x v="4"/>
    <s v="R116"/>
    <n v="12"/>
    <n v="20"/>
    <n v="22.50127179674811"/>
    <s v="22–24°C"/>
    <n v="4.63"/>
    <n v="2026"/>
    <x v="0"/>
    <n v="19"/>
    <n v="1"/>
    <n v="9"/>
    <n v="0.6"/>
    <n v="0.38583333333333331"/>
    <x v="1"/>
  </r>
  <r>
    <d v="2026-01-19T10:00:00"/>
    <x v="1"/>
    <s v="R116"/>
    <n v="6"/>
    <n v="40"/>
    <n v="26.846891589649911"/>
    <s v="26–28°C"/>
    <n v="2.79"/>
    <n v="2026"/>
    <x v="0"/>
    <n v="19"/>
    <n v="1"/>
    <n v="10"/>
    <n v="0.15"/>
    <n v="0.46500000000000002"/>
    <x v="1"/>
  </r>
  <r>
    <d v="2026-01-19T11:00:00"/>
    <x v="2"/>
    <s v="R111"/>
    <n v="9"/>
    <n v="20"/>
    <n v="18.844376360287601"/>
    <s v="18–20°C"/>
    <n v="3.43"/>
    <n v="2026"/>
    <x v="0"/>
    <n v="19"/>
    <n v="1"/>
    <n v="11"/>
    <n v="0.45"/>
    <n v="0.38111111111111112"/>
    <x v="1"/>
  </r>
  <r>
    <d v="2026-01-19T12:00:00"/>
    <x v="2"/>
    <s v="R110"/>
    <n v="5"/>
    <n v="25"/>
    <n v="23.03603374408889"/>
    <s v="22–24°C"/>
    <n v="2.35"/>
    <n v="2026"/>
    <x v="0"/>
    <n v="19"/>
    <n v="1"/>
    <n v="12"/>
    <n v="0.2"/>
    <n v="0.47000000000000003"/>
    <x v="2"/>
  </r>
  <r>
    <d v="2026-01-19T13:00:00"/>
    <x v="2"/>
    <s v="R111"/>
    <n v="5"/>
    <n v="25"/>
    <n v="22.023452315096911"/>
    <s v="22–24°C"/>
    <n v="2.2400000000000002"/>
    <n v="2026"/>
    <x v="0"/>
    <n v="19"/>
    <n v="1"/>
    <n v="13"/>
    <n v="0.2"/>
    <n v="0.44800000000000006"/>
    <x v="2"/>
  </r>
  <r>
    <d v="2026-01-19T14:00:00"/>
    <x v="3"/>
    <s v="R110"/>
    <n v="5"/>
    <n v="20"/>
    <n v="22.841865316270891"/>
    <s v="22–24°C"/>
    <n v="2"/>
    <n v="2026"/>
    <x v="0"/>
    <n v="19"/>
    <n v="1"/>
    <n v="14"/>
    <n v="0.25"/>
    <n v="0.4"/>
    <x v="2"/>
  </r>
  <r>
    <d v="2026-01-19T15:00:00"/>
    <x v="3"/>
    <s v="R116"/>
    <n v="7"/>
    <n v="30"/>
    <n v="21.64271387741179"/>
    <s v="20–22°C"/>
    <n v="2.5099999999999998"/>
    <n v="2026"/>
    <x v="0"/>
    <n v="19"/>
    <n v="1"/>
    <n v="15"/>
    <n v="0.23333333333333334"/>
    <n v="0.35857142857142854"/>
    <x v="2"/>
  </r>
  <r>
    <d v="2026-01-19T16:00:00"/>
    <x v="0"/>
    <s v="R116"/>
    <n v="12"/>
    <n v="30"/>
    <n v="21.072833110939921"/>
    <s v="20–22°C"/>
    <n v="3.59"/>
    <n v="2026"/>
    <x v="0"/>
    <n v="19"/>
    <n v="1"/>
    <n v="16"/>
    <n v="0.4"/>
    <n v="0.29916666666666664"/>
    <x v="2"/>
  </r>
  <r>
    <d v="2026-01-19T17:00:00"/>
    <x v="0"/>
    <s v="R118"/>
    <n v="9"/>
    <n v="20"/>
    <n v="21.119079420428481"/>
    <s v="20–22°C"/>
    <n v="3.19"/>
    <n v="2026"/>
    <x v="0"/>
    <n v="19"/>
    <n v="1"/>
    <n v="17"/>
    <n v="0.45"/>
    <n v="0.35444444444444445"/>
    <x v="3"/>
  </r>
  <r>
    <d v="2026-01-19T18:00:00"/>
    <x v="3"/>
    <s v="R108"/>
    <n v="4"/>
    <n v="40"/>
    <n v="23.920543249964609"/>
    <s v="22–24°C"/>
    <n v="2.15"/>
    <n v="2026"/>
    <x v="0"/>
    <n v="19"/>
    <n v="1"/>
    <n v="18"/>
    <n v="0.1"/>
    <n v="0.53749999999999998"/>
    <x v="3"/>
  </r>
  <r>
    <d v="2026-01-19T19:00:00"/>
    <x v="2"/>
    <s v="R113"/>
    <n v="10"/>
    <n v="20"/>
    <n v="24.527395431696089"/>
    <s v="24–26°C"/>
    <n v="4.0199999999999996"/>
    <n v="2026"/>
    <x v="0"/>
    <n v="19"/>
    <n v="1"/>
    <n v="19"/>
    <n v="0.5"/>
    <n v="0.40199999999999997"/>
    <x v="3"/>
  </r>
  <r>
    <d v="2026-01-19T20:00:00"/>
    <x v="0"/>
    <s v="R103"/>
    <n v="6"/>
    <n v="40"/>
    <n v="22.273766677688869"/>
    <s v="22–24°C"/>
    <n v="1.74"/>
    <n v="2026"/>
    <x v="0"/>
    <n v="19"/>
    <n v="1"/>
    <n v="20"/>
    <n v="0.15"/>
    <n v="0.28999999999999998"/>
    <x v="3"/>
  </r>
  <r>
    <d v="2026-01-19T21:00:00"/>
    <x v="4"/>
    <s v="R103"/>
    <n v="6"/>
    <n v="25"/>
    <n v="22.27259376779897"/>
    <s v="22–24°C"/>
    <n v="2.36"/>
    <n v="2026"/>
    <x v="0"/>
    <n v="19"/>
    <n v="1"/>
    <n v="21"/>
    <n v="0.24"/>
    <n v="0.39333333333333331"/>
    <x v="0"/>
  </r>
  <r>
    <d v="2026-01-19T22:00:00"/>
    <x v="0"/>
    <s v="R106"/>
    <n v="7"/>
    <n v="20"/>
    <n v="22.640366737239919"/>
    <s v="22–24°C"/>
    <n v="2.69"/>
    <n v="2026"/>
    <x v="0"/>
    <n v="19"/>
    <n v="1"/>
    <n v="22"/>
    <n v="0.35"/>
    <n v="0.38428571428571429"/>
    <x v="0"/>
  </r>
  <r>
    <d v="2026-01-19T23:00:00"/>
    <x v="1"/>
    <s v="R107"/>
    <n v="14"/>
    <n v="40"/>
    <n v="19.99955627710613"/>
    <s v="18–20°C"/>
    <n v="4.37"/>
    <n v="2026"/>
    <x v="0"/>
    <n v="19"/>
    <n v="1"/>
    <n v="23"/>
    <n v="0.35"/>
    <n v="0.31214285714285717"/>
    <x v="0"/>
  </r>
  <r>
    <d v="2026-01-20T00:00:00"/>
    <x v="3"/>
    <s v="R118"/>
    <n v="12"/>
    <n v="25"/>
    <n v="21.823691286024498"/>
    <s v="20–22°C"/>
    <n v="4.25"/>
    <n v="2026"/>
    <x v="0"/>
    <n v="20"/>
    <n v="2"/>
    <n v="0"/>
    <n v="0.48"/>
    <n v="0.35416666666666669"/>
    <x v="0"/>
  </r>
  <r>
    <d v="2026-01-20T01:00:00"/>
    <x v="1"/>
    <s v="R106"/>
    <n v="7"/>
    <n v="30"/>
    <n v="20.683428007267992"/>
    <s v="20–22°C"/>
    <n v="2.2400000000000002"/>
    <n v="2026"/>
    <x v="0"/>
    <n v="20"/>
    <n v="2"/>
    <n v="1"/>
    <n v="0.23333333333333334"/>
    <n v="0.32"/>
    <x v="0"/>
  </r>
  <r>
    <d v="2026-01-20T02:00:00"/>
    <x v="2"/>
    <s v="R102"/>
    <n v="8"/>
    <n v="20"/>
    <n v="22.513877602238271"/>
    <s v="22–24°C"/>
    <n v="2.88"/>
    <n v="2026"/>
    <x v="0"/>
    <n v="20"/>
    <n v="2"/>
    <n v="2"/>
    <n v="0.4"/>
    <n v="0.36"/>
    <x v="0"/>
  </r>
  <r>
    <d v="2026-01-20T03:00:00"/>
    <x v="0"/>
    <s v="R114"/>
    <n v="12"/>
    <n v="20"/>
    <n v="18.28533155080104"/>
    <s v="18–20°C"/>
    <n v="4.2"/>
    <n v="2026"/>
    <x v="0"/>
    <n v="20"/>
    <n v="2"/>
    <n v="3"/>
    <n v="0.6"/>
    <n v="0.35000000000000003"/>
    <x v="0"/>
  </r>
  <r>
    <d v="2026-01-20T04:00:00"/>
    <x v="0"/>
    <s v="R105"/>
    <n v="8"/>
    <n v="20"/>
    <n v="24.053073367344609"/>
    <s v="24–26°C"/>
    <n v="2.96"/>
    <n v="2026"/>
    <x v="0"/>
    <n v="20"/>
    <n v="2"/>
    <n v="4"/>
    <n v="0.4"/>
    <n v="0.37"/>
    <x v="0"/>
  </r>
  <r>
    <d v="2026-01-20T05:00:00"/>
    <x v="2"/>
    <s v="R115"/>
    <n v="8"/>
    <n v="40"/>
    <n v="22.214115996387189"/>
    <s v="22–24°C"/>
    <n v="2.62"/>
    <n v="2026"/>
    <x v="0"/>
    <n v="20"/>
    <n v="2"/>
    <n v="5"/>
    <n v="0.2"/>
    <n v="0.32750000000000001"/>
    <x v="0"/>
  </r>
  <r>
    <d v="2026-01-20T06:00:00"/>
    <x v="4"/>
    <s v="R107"/>
    <n v="9"/>
    <n v="30"/>
    <n v="22.802217135206149"/>
    <s v="22–24°C"/>
    <n v="3.46"/>
    <n v="2026"/>
    <x v="0"/>
    <n v="20"/>
    <n v="2"/>
    <n v="6"/>
    <n v="0.3"/>
    <n v="0.38444444444444442"/>
    <x v="0"/>
  </r>
  <r>
    <d v="2026-01-20T07:00:00"/>
    <x v="4"/>
    <s v="R119"/>
    <n v="6"/>
    <n v="25"/>
    <n v="22.042482856956621"/>
    <s v="22–24°C"/>
    <n v="2.41"/>
    <n v="2026"/>
    <x v="0"/>
    <n v="20"/>
    <n v="2"/>
    <n v="7"/>
    <n v="0.24"/>
    <n v="0.40166666666666667"/>
    <x v="1"/>
  </r>
  <r>
    <d v="2026-01-20T08:00:00"/>
    <x v="2"/>
    <s v="R111"/>
    <n v="5"/>
    <n v="40"/>
    <n v="23.79159769741949"/>
    <s v="22–24°C"/>
    <n v="2.4"/>
    <n v="2026"/>
    <x v="0"/>
    <n v="20"/>
    <n v="2"/>
    <n v="8"/>
    <n v="0.125"/>
    <n v="0.48"/>
    <x v="1"/>
  </r>
  <r>
    <d v="2026-01-20T09:00:00"/>
    <x v="4"/>
    <s v="R105"/>
    <n v="14"/>
    <n v="30"/>
    <n v="19.706272283414311"/>
    <s v="18–20°C"/>
    <n v="4.83"/>
    <n v="2026"/>
    <x v="0"/>
    <n v="20"/>
    <n v="2"/>
    <n v="9"/>
    <n v="0.46666666666666667"/>
    <n v="0.34500000000000003"/>
    <x v="1"/>
  </r>
  <r>
    <d v="2026-01-20T10:00:00"/>
    <x v="2"/>
    <s v="R102"/>
    <n v="5"/>
    <n v="30"/>
    <n v="22.589543234888382"/>
    <s v="22–24°C"/>
    <n v="1.79"/>
    <n v="2026"/>
    <x v="0"/>
    <n v="20"/>
    <n v="2"/>
    <n v="10"/>
    <n v="0.16666666666666666"/>
    <n v="0.35799999999999998"/>
    <x v="1"/>
  </r>
  <r>
    <d v="2026-01-20T11:00:00"/>
    <x v="2"/>
    <s v="R119"/>
    <n v="8"/>
    <n v="40"/>
    <n v="23.090982952661509"/>
    <s v="22–24°C"/>
    <n v="3.13"/>
    <n v="2026"/>
    <x v="0"/>
    <n v="20"/>
    <n v="2"/>
    <n v="11"/>
    <n v="0.2"/>
    <n v="0.39124999999999999"/>
    <x v="1"/>
  </r>
  <r>
    <d v="2026-01-20T12:00:00"/>
    <x v="0"/>
    <s v="R107"/>
    <n v="6"/>
    <n v="20"/>
    <n v="26.976667987161189"/>
    <s v="26–28°C"/>
    <n v="3.73"/>
    <n v="2026"/>
    <x v="0"/>
    <n v="20"/>
    <n v="2"/>
    <n v="12"/>
    <n v="0.3"/>
    <n v="0.6216666666666667"/>
    <x v="2"/>
  </r>
  <r>
    <d v="2026-01-20T13:00:00"/>
    <x v="1"/>
    <s v="R114"/>
    <n v="12"/>
    <n v="40"/>
    <n v="21.77828472038987"/>
    <s v="20–22°C"/>
    <n v="3.98"/>
    <n v="2026"/>
    <x v="0"/>
    <n v="20"/>
    <n v="2"/>
    <n v="13"/>
    <n v="0.3"/>
    <n v="0.33166666666666667"/>
    <x v="2"/>
  </r>
  <r>
    <d v="2026-01-20T14:00:00"/>
    <x v="4"/>
    <s v="R113"/>
    <n v="10"/>
    <n v="30"/>
    <n v="19.565876103115901"/>
    <s v="18–20°C"/>
    <n v="3.67"/>
    <n v="2026"/>
    <x v="0"/>
    <n v="20"/>
    <n v="2"/>
    <n v="14"/>
    <n v="0.33333333333333331"/>
    <n v="0.36699999999999999"/>
    <x v="2"/>
  </r>
  <r>
    <d v="2026-01-20T15:00:00"/>
    <x v="4"/>
    <s v="R106"/>
    <n v="7"/>
    <n v="20"/>
    <n v="25.11403256589627"/>
    <s v="24–26°C"/>
    <n v="3.08"/>
    <n v="2026"/>
    <x v="0"/>
    <n v="20"/>
    <n v="2"/>
    <n v="15"/>
    <n v="0.35"/>
    <n v="0.44"/>
    <x v="2"/>
  </r>
  <r>
    <d v="2026-01-20T16:00:00"/>
    <x v="4"/>
    <s v="R104"/>
    <n v="10"/>
    <n v="25"/>
    <n v="24.519029774972211"/>
    <s v="24–26°C"/>
    <n v="3.59"/>
    <n v="2026"/>
    <x v="0"/>
    <n v="20"/>
    <n v="2"/>
    <n v="16"/>
    <n v="0.4"/>
    <n v="0.35899999999999999"/>
    <x v="2"/>
  </r>
  <r>
    <d v="2026-01-20T17:00:00"/>
    <x v="3"/>
    <s v="R110"/>
    <n v="8"/>
    <n v="40"/>
    <n v="19.853100479795561"/>
    <s v="18–20°C"/>
    <n v="2.76"/>
    <n v="2026"/>
    <x v="0"/>
    <n v="20"/>
    <n v="2"/>
    <n v="17"/>
    <n v="0.2"/>
    <n v="0.34499999999999997"/>
    <x v="3"/>
  </r>
  <r>
    <d v="2026-01-20T18:00:00"/>
    <x v="1"/>
    <s v="R115"/>
    <n v="8"/>
    <n v="30"/>
    <n v="25.318762086601041"/>
    <s v="24–26°C"/>
    <n v="3.59"/>
    <n v="2026"/>
    <x v="0"/>
    <n v="20"/>
    <n v="2"/>
    <n v="18"/>
    <n v="0.26666666666666666"/>
    <n v="0.44874999999999998"/>
    <x v="3"/>
  </r>
  <r>
    <d v="2026-01-20T19:00:00"/>
    <x v="0"/>
    <s v="R102"/>
    <n v="6"/>
    <n v="25"/>
    <n v="22.721899360425599"/>
    <s v="22–24°C"/>
    <n v="2.77"/>
    <n v="2026"/>
    <x v="0"/>
    <n v="20"/>
    <n v="2"/>
    <n v="19"/>
    <n v="0.24"/>
    <n v="0.46166666666666667"/>
    <x v="3"/>
  </r>
  <r>
    <d v="2026-01-20T20:00:00"/>
    <x v="0"/>
    <s v="R119"/>
    <n v="5"/>
    <n v="25"/>
    <n v="24.62884979723318"/>
    <s v="24–26°C"/>
    <n v="3.1"/>
    <n v="2026"/>
    <x v="0"/>
    <n v="20"/>
    <n v="2"/>
    <n v="20"/>
    <n v="0.2"/>
    <n v="0.62"/>
    <x v="3"/>
  </r>
  <r>
    <d v="2026-01-20T21:00:00"/>
    <x v="1"/>
    <s v="R120"/>
    <n v="6"/>
    <n v="30"/>
    <n v="20.385260435538068"/>
    <s v="20–22°C"/>
    <n v="2.06"/>
    <n v="2026"/>
    <x v="0"/>
    <n v="20"/>
    <n v="2"/>
    <n v="21"/>
    <n v="0.2"/>
    <n v="0.34333333333333332"/>
    <x v="0"/>
  </r>
  <r>
    <d v="2026-01-20T22:00:00"/>
    <x v="2"/>
    <s v="R115"/>
    <n v="10"/>
    <n v="20"/>
    <n v="25.78925077642235"/>
    <s v="24–26°C"/>
    <n v="3.55"/>
    <n v="2026"/>
    <x v="0"/>
    <n v="20"/>
    <n v="2"/>
    <n v="22"/>
    <n v="0.5"/>
    <n v="0.35499999999999998"/>
    <x v="0"/>
  </r>
  <r>
    <d v="2026-01-20T23:00:00"/>
    <x v="2"/>
    <s v="R106"/>
    <n v="3"/>
    <n v="20"/>
    <n v="19.55764834942055"/>
    <s v="18–20°C"/>
    <n v="1.64"/>
    <n v="2026"/>
    <x v="0"/>
    <n v="20"/>
    <n v="2"/>
    <n v="23"/>
    <n v="0.15"/>
    <n v="0.54666666666666663"/>
    <x v="0"/>
  </r>
  <r>
    <d v="2026-01-21T00:00:00"/>
    <x v="4"/>
    <s v="R113"/>
    <n v="13"/>
    <n v="25"/>
    <n v="23.844217186979812"/>
    <s v="22–24°C"/>
    <n v="4.79"/>
    <n v="2026"/>
    <x v="0"/>
    <n v="21"/>
    <n v="3"/>
    <n v="0"/>
    <n v="0.52"/>
    <n v="0.36846153846153845"/>
    <x v="0"/>
  </r>
  <r>
    <d v="2026-01-21T01:00:00"/>
    <x v="3"/>
    <s v="R115"/>
    <n v="8"/>
    <n v="25"/>
    <n v="22.905258594911128"/>
    <s v="22–24°C"/>
    <n v="2.46"/>
    <n v="2026"/>
    <x v="0"/>
    <n v="21"/>
    <n v="3"/>
    <n v="1"/>
    <n v="0.32"/>
    <n v="0.3075"/>
    <x v="0"/>
  </r>
  <r>
    <d v="2026-01-21T02:00:00"/>
    <x v="0"/>
    <s v="R110"/>
    <n v="6"/>
    <n v="30"/>
    <n v="21.794070199695678"/>
    <s v="20–22°C"/>
    <n v="2.4300000000000002"/>
    <n v="2026"/>
    <x v="0"/>
    <n v="21"/>
    <n v="3"/>
    <n v="2"/>
    <n v="0.2"/>
    <n v="0.40500000000000003"/>
    <x v="0"/>
  </r>
  <r>
    <d v="2026-01-21T03:00:00"/>
    <x v="4"/>
    <s v="R107"/>
    <n v="10"/>
    <n v="20"/>
    <n v="21.655028807987328"/>
    <s v="20–22°C"/>
    <n v="3.42"/>
    <n v="2026"/>
    <x v="0"/>
    <n v="21"/>
    <n v="3"/>
    <n v="3"/>
    <n v="0.5"/>
    <n v="0.34199999999999997"/>
    <x v="0"/>
  </r>
  <r>
    <d v="2026-01-21T04:00:00"/>
    <x v="0"/>
    <s v="R102"/>
    <n v="7"/>
    <n v="40"/>
    <n v="18.256681278282219"/>
    <s v="18–20°C"/>
    <n v="3.72"/>
    <n v="2026"/>
    <x v="0"/>
    <n v="21"/>
    <n v="3"/>
    <n v="4"/>
    <n v="0.17499999999999999"/>
    <n v="0.53142857142857147"/>
    <x v="0"/>
  </r>
  <r>
    <d v="2026-01-21T05:00:00"/>
    <x v="3"/>
    <s v="R106"/>
    <n v="6"/>
    <n v="30"/>
    <n v="22.187515102260949"/>
    <s v="22–24°C"/>
    <n v="2.14"/>
    <n v="2026"/>
    <x v="0"/>
    <n v="21"/>
    <n v="3"/>
    <n v="5"/>
    <n v="0.2"/>
    <n v="0.35666666666666669"/>
    <x v="0"/>
  </r>
  <r>
    <d v="2026-01-21T06:00:00"/>
    <x v="4"/>
    <s v="R101"/>
    <n v="11"/>
    <n v="30"/>
    <n v="23.641753022369151"/>
    <s v="22–24°C"/>
    <n v="3.75"/>
    <n v="2026"/>
    <x v="0"/>
    <n v="21"/>
    <n v="3"/>
    <n v="6"/>
    <n v="0.36666666666666664"/>
    <n v="0.34090909090909088"/>
    <x v="0"/>
  </r>
  <r>
    <d v="2026-01-21T07:00:00"/>
    <x v="4"/>
    <s v="R108"/>
    <n v="9"/>
    <n v="30"/>
    <n v="23.704580888332568"/>
    <s v="22–24°C"/>
    <n v="3.04"/>
    <n v="2026"/>
    <x v="0"/>
    <n v="21"/>
    <n v="3"/>
    <n v="7"/>
    <n v="0.3"/>
    <n v="0.33777777777777779"/>
    <x v="1"/>
  </r>
  <r>
    <d v="2026-01-21T08:00:00"/>
    <x v="1"/>
    <s v="R116"/>
    <n v="8"/>
    <n v="20"/>
    <n v="20.883118732716699"/>
    <s v="20–22°C"/>
    <n v="2.2200000000000002"/>
    <n v="2026"/>
    <x v="0"/>
    <n v="21"/>
    <n v="3"/>
    <n v="8"/>
    <n v="0.4"/>
    <n v="0.27750000000000002"/>
    <x v="1"/>
  </r>
  <r>
    <d v="2026-01-21T09:00:00"/>
    <x v="1"/>
    <s v="R108"/>
    <n v="9"/>
    <n v="40"/>
    <n v="25.510807218919791"/>
    <s v="24–26°C"/>
    <n v="3.86"/>
    <n v="2026"/>
    <x v="0"/>
    <n v="21"/>
    <n v="3"/>
    <n v="9"/>
    <n v="0.22500000000000001"/>
    <n v="0.42888888888888888"/>
    <x v="1"/>
  </r>
  <r>
    <d v="2026-01-21T10:00:00"/>
    <x v="0"/>
    <s v="R114"/>
    <n v="4"/>
    <n v="20"/>
    <n v="25.00273291258172"/>
    <s v="24–26°C"/>
    <n v="2.33"/>
    <n v="2026"/>
    <x v="0"/>
    <n v="21"/>
    <n v="3"/>
    <n v="10"/>
    <n v="0.2"/>
    <n v="0.58250000000000002"/>
    <x v="1"/>
  </r>
  <r>
    <d v="2026-01-21T11:00:00"/>
    <x v="1"/>
    <s v="R106"/>
    <n v="10"/>
    <n v="40"/>
    <n v="20.286128860600851"/>
    <s v="20–22°C"/>
    <n v="3.62"/>
    <n v="2026"/>
    <x v="0"/>
    <n v="21"/>
    <n v="3"/>
    <n v="11"/>
    <n v="0.25"/>
    <n v="0.36199999999999999"/>
    <x v="1"/>
  </r>
  <r>
    <d v="2026-01-21T12:00:00"/>
    <x v="4"/>
    <s v="R117"/>
    <n v="8"/>
    <n v="40"/>
    <n v="23.400903008680629"/>
    <s v="22–24°C"/>
    <n v="2.91"/>
    <n v="2026"/>
    <x v="0"/>
    <n v="21"/>
    <n v="3"/>
    <n v="12"/>
    <n v="0.2"/>
    <n v="0.36375000000000002"/>
    <x v="2"/>
  </r>
  <r>
    <d v="2026-01-21T13:00:00"/>
    <x v="4"/>
    <s v="R101"/>
    <n v="4"/>
    <n v="25"/>
    <n v="25.299344037757489"/>
    <s v="24–26°C"/>
    <n v="2.38"/>
    <n v="2026"/>
    <x v="0"/>
    <n v="21"/>
    <n v="3"/>
    <n v="13"/>
    <n v="0.16"/>
    <n v="0.59499999999999997"/>
    <x v="2"/>
  </r>
  <r>
    <d v="2026-01-21T14:00:00"/>
    <x v="4"/>
    <s v="R108"/>
    <n v="4"/>
    <n v="40"/>
    <n v="25.189343272760549"/>
    <s v="24–26°C"/>
    <n v="1.77"/>
    <n v="2026"/>
    <x v="0"/>
    <n v="21"/>
    <n v="3"/>
    <n v="14"/>
    <n v="0.1"/>
    <n v="0.4425"/>
    <x v="2"/>
  </r>
  <r>
    <d v="2026-01-21T15:00:00"/>
    <x v="3"/>
    <s v="R107"/>
    <n v="7"/>
    <n v="20"/>
    <n v="21.26149528956817"/>
    <s v="20–22°C"/>
    <n v="2.56"/>
    <n v="2026"/>
    <x v="0"/>
    <n v="21"/>
    <n v="3"/>
    <n v="15"/>
    <n v="0.35"/>
    <n v="0.36571428571428571"/>
    <x v="2"/>
  </r>
  <r>
    <d v="2026-01-21T16:00:00"/>
    <x v="0"/>
    <s v="R107"/>
    <n v="9"/>
    <n v="30"/>
    <n v="24.414372370100189"/>
    <s v="24–26°C"/>
    <n v="3.71"/>
    <n v="2026"/>
    <x v="0"/>
    <n v="21"/>
    <n v="3"/>
    <n v="16"/>
    <n v="0.3"/>
    <n v="0.41222222222222221"/>
    <x v="2"/>
  </r>
  <r>
    <d v="2026-01-21T17:00:00"/>
    <x v="0"/>
    <s v="R116"/>
    <n v="8"/>
    <n v="20"/>
    <n v="20.61095412046793"/>
    <s v="20–22°C"/>
    <n v="3.09"/>
    <n v="2026"/>
    <x v="0"/>
    <n v="21"/>
    <n v="3"/>
    <n v="17"/>
    <n v="0.4"/>
    <n v="0.38624999999999998"/>
    <x v="3"/>
  </r>
  <r>
    <d v="2026-01-21T18:00:00"/>
    <x v="1"/>
    <s v="R102"/>
    <n v="7"/>
    <n v="40"/>
    <n v="24.762293441626738"/>
    <s v="24–26°C"/>
    <n v="2.96"/>
    <n v="2026"/>
    <x v="0"/>
    <n v="21"/>
    <n v="3"/>
    <n v="18"/>
    <n v="0.17499999999999999"/>
    <n v="0.42285714285714288"/>
    <x v="3"/>
  </r>
  <r>
    <d v="2026-01-21T19:00:00"/>
    <x v="2"/>
    <s v="R109"/>
    <n v="7"/>
    <n v="20"/>
    <n v="18.660645164548601"/>
    <s v="18–20°C"/>
    <n v="2.69"/>
    <n v="2026"/>
    <x v="0"/>
    <n v="21"/>
    <n v="3"/>
    <n v="19"/>
    <n v="0.35"/>
    <n v="0.38428571428571429"/>
    <x v="3"/>
  </r>
  <r>
    <d v="2026-01-21T20:00:00"/>
    <x v="4"/>
    <s v="R106"/>
    <n v="9"/>
    <n v="40"/>
    <n v="24.38094537224303"/>
    <s v="24–26°C"/>
    <n v="3.49"/>
    <n v="2026"/>
    <x v="0"/>
    <n v="21"/>
    <n v="3"/>
    <n v="20"/>
    <n v="0.22500000000000001"/>
    <n v="0.38777777777777778"/>
    <x v="3"/>
  </r>
  <r>
    <d v="2026-01-21T21:00:00"/>
    <x v="4"/>
    <s v="R120"/>
    <n v="8"/>
    <n v="25"/>
    <n v="25.717165739235661"/>
    <s v="24–26°C"/>
    <n v="3.25"/>
    <n v="2026"/>
    <x v="0"/>
    <n v="21"/>
    <n v="3"/>
    <n v="21"/>
    <n v="0.32"/>
    <n v="0.40625"/>
    <x v="0"/>
  </r>
  <r>
    <d v="2026-01-21T22:00:00"/>
    <x v="3"/>
    <s v="R103"/>
    <n v="4"/>
    <n v="25"/>
    <n v="22.024589254102509"/>
    <s v="22–24°C"/>
    <n v="2.13"/>
    <n v="2026"/>
    <x v="0"/>
    <n v="21"/>
    <n v="3"/>
    <n v="22"/>
    <n v="0.16"/>
    <n v="0.53249999999999997"/>
    <x v="0"/>
  </r>
  <r>
    <d v="2026-01-21T23:00:00"/>
    <x v="3"/>
    <s v="R115"/>
    <n v="9"/>
    <n v="30"/>
    <n v="24.001663182008421"/>
    <s v="24–26°C"/>
    <n v="3.09"/>
    <n v="2026"/>
    <x v="0"/>
    <n v="21"/>
    <n v="3"/>
    <n v="23"/>
    <n v="0.3"/>
    <n v="0.34333333333333332"/>
    <x v="0"/>
  </r>
  <r>
    <d v="2026-01-22T00:00:00"/>
    <x v="4"/>
    <s v="R112"/>
    <n v="12"/>
    <n v="40"/>
    <n v="25.138288527871829"/>
    <s v="24–26°C"/>
    <n v="4.04"/>
    <n v="2026"/>
    <x v="0"/>
    <n v="22"/>
    <n v="4"/>
    <n v="0"/>
    <n v="0.3"/>
    <n v="0.33666666666666667"/>
    <x v="0"/>
  </r>
  <r>
    <d v="2026-01-22T01:00:00"/>
    <x v="0"/>
    <s v="R104"/>
    <n v="9"/>
    <n v="30"/>
    <n v="21.082047512931101"/>
    <s v="20–22°C"/>
    <n v="3.45"/>
    <n v="2026"/>
    <x v="0"/>
    <n v="22"/>
    <n v="4"/>
    <n v="1"/>
    <n v="0.3"/>
    <n v="0.38333333333333336"/>
    <x v="0"/>
  </r>
  <r>
    <d v="2026-01-22T02:00:00"/>
    <x v="4"/>
    <s v="R104"/>
    <n v="6"/>
    <n v="25"/>
    <n v="20.859616874211341"/>
    <s v="20–22°C"/>
    <n v="2.99"/>
    <n v="2026"/>
    <x v="0"/>
    <n v="22"/>
    <n v="4"/>
    <n v="2"/>
    <n v="0.24"/>
    <n v="0.49833333333333335"/>
    <x v="0"/>
  </r>
  <r>
    <d v="2026-01-22T03:00:00"/>
    <x v="4"/>
    <s v="R102"/>
    <n v="4"/>
    <n v="20"/>
    <n v="21.62732630613035"/>
    <s v="20–22°C"/>
    <n v="1.6"/>
    <n v="2026"/>
    <x v="0"/>
    <n v="22"/>
    <n v="4"/>
    <n v="3"/>
    <n v="0.2"/>
    <n v="0.4"/>
    <x v="0"/>
  </r>
  <r>
    <d v="2026-01-22T04:00:00"/>
    <x v="2"/>
    <s v="R118"/>
    <n v="10"/>
    <n v="40"/>
    <n v="24.617838538785438"/>
    <s v="24–26°C"/>
    <n v="3.52"/>
    <n v="2026"/>
    <x v="0"/>
    <n v="22"/>
    <n v="4"/>
    <n v="4"/>
    <n v="0.25"/>
    <n v="0.35199999999999998"/>
    <x v="0"/>
  </r>
  <r>
    <d v="2026-01-22T05:00:00"/>
    <x v="2"/>
    <s v="R118"/>
    <n v="9"/>
    <n v="25"/>
    <n v="23.418940167295549"/>
    <s v="22–24°C"/>
    <n v="2.97"/>
    <n v="2026"/>
    <x v="0"/>
    <n v="22"/>
    <n v="4"/>
    <n v="5"/>
    <n v="0.36"/>
    <n v="0.33"/>
    <x v="0"/>
  </r>
  <r>
    <d v="2026-01-22T06:00:00"/>
    <x v="2"/>
    <s v="R110"/>
    <n v="9"/>
    <n v="40"/>
    <n v="24.091573427064709"/>
    <s v="24–26°C"/>
    <n v="2.71"/>
    <n v="2026"/>
    <x v="0"/>
    <n v="22"/>
    <n v="4"/>
    <n v="6"/>
    <n v="0.22500000000000001"/>
    <n v="0.30111111111111111"/>
    <x v="0"/>
  </r>
  <r>
    <d v="2026-01-22T07:00:00"/>
    <x v="4"/>
    <s v="R115"/>
    <n v="12"/>
    <n v="25"/>
    <n v="21.533469813027288"/>
    <s v="20–22°C"/>
    <n v="3.67"/>
    <n v="2026"/>
    <x v="0"/>
    <n v="22"/>
    <n v="4"/>
    <n v="7"/>
    <n v="0.48"/>
    <n v="0.30583333333333335"/>
    <x v="1"/>
  </r>
  <r>
    <d v="2026-01-22T08:00:00"/>
    <x v="1"/>
    <s v="R113"/>
    <n v="10"/>
    <n v="40"/>
    <n v="23.111727879688999"/>
    <s v="22–24°C"/>
    <n v="3.37"/>
    <n v="2026"/>
    <x v="0"/>
    <n v="22"/>
    <n v="4"/>
    <n v="8"/>
    <n v="0.25"/>
    <n v="0.33700000000000002"/>
    <x v="1"/>
  </r>
  <r>
    <d v="2026-01-22T09:00:00"/>
    <x v="3"/>
    <s v="R115"/>
    <n v="5"/>
    <n v="40"/>
    <n v="21.225341082288459"/>
    <s v="20–22°C"/>
    <n v="2.4"/>
    <n v="2026"/>
    <x v="0"/>
    <n v="22"/>
    <n v="4"/>
    <n v="9"/>
    <n v="0.125"/>
    <n v="0.48"/>
    <x v="1"/>
  </r>
  <r>
    <d v="2026-01-22T10:00:00"/>
    <x v="0"/>
    <s v="R120"/>
    <n v="11"/>
    <n v="20"/>
    <n v="24.046446371474069"/>
    <s v="24–26°C"/>
    <n v="3.49"/>
    <n v="2026"/>
    <x v="0"/>
    <n v="22"/>
    <n v="4"/>
    <n v="10"/>
    <n v="0.55000000000000004"/>
    <n v="0.31727272727272732"/>
    <x v="1"/>
  </r>
  <r>
    <d v="2026-01-22T11:00:00"/>
    <x v="3"/>
    <s v="R113"/>
    <n v="12"/>
    <n v="30"/>
    <n v="23.56383757625262"/>
    <s v="22–24°C"/>
    <n v="3.98"/>
    <n v="2026"/>
    <x v="0"/>
    <n v="22"/>
    <n v="4"/>
    <n v="11"/>
    <n v="0.4"/>
    <n v="0.33166666666666667"/>
    <x v="1"/>
  </r>
  <r>
    <d v="2026-01-22T12:00:00"/>
    <x v="4"/>
    <s v="R101"/>
    <n v="7"/>
    <n v="20"/>
    <n v="21.179118578866351"/>
    <s v="20–22°C"/>
    <n v="3.31"/>
    <n v="2026"/>
    <x v="0"/>
    <n v="22"/>
    <n v="4"/>
    <n v="12"/>
    <n v="0.35"/>
    <n v="0.47285714285714286"/>
    <x v="2"/>
  </r>
  <r>
    <d v="2026-01-22T13:00:00"/>
    <x v="2"/>
    <s v="R105"/>
    <n v="8"/>
    <n v="20"/>
    <n v="24.304612303220459"/>
    <s v="24–26°C"/>
    <n v="2.66"/>
    <n v="2026"/>
    <x v="0"/>
    <n v="22"/>
    <n v="4"/>
    <n v="13"/>
    <n v="0.4"/>
    <n v="0.33250000000000002"/>
    <x v="2"/>
  </r>
  <r>
    <d v="2026-01-22T14:00:00"/>
    <x v="2"/>
    <s v="R104"/>
    <n v="10"/>
    <n v="20"/>
    <n v="20.651851736782049"/>
    <s v="20–22°C"/>
    <n v="3.27"/>
    <n v="2026"/>
    <x v="0"/>
    <n v="22"/>
    <n v="4"/>
    <n v="14"/>
    <n v="0.5"/>
    <n v="0.32700000000000001"/>
    <x v="2"/>
  </r>
  <r>
    <d v="2026-01-22T15:00:00"/>
    <x v="4"/>
    <s v="R113"/>
    <n v="8"/>
    <n v="20"/>
    <n v="22.834569952207008"/>
    <s v="22–24°C"/>
    <n v="3"/>
    <n v="2026"/>
    <x v="0"/>
    <n v="22"/>
    <n v="4"/>
    <n v="15"/>
    <n v="0.4"/>
    <n v="0.375"/>
    <x v="2"/>
  </r>
  <r>
    <d v="2026-01-22T16:00:00"/>
    <x v="1"/>
    <s v="R103"/>
    <n v="4"/>
    <n v="30"/>
    <n v="23.866945663284749"/>
    <s v="22–24°C"/>
    <n v="1.93"/>
    <n v="2026"/>
    <x v="0"/>
    <n v="22"/>
    <n v="4"/>
    <n v="16"/>
    <n v="0.13333333333333333"/>
    <n v="0.48249999999999998"/>
    <x v="2"/>
  </r>
  <r>
    <d v="2026-01-22T17:00:00"/>
    <x v="4"/>
    <s v="R110"/>
    <n v="9"/>
    <n v="20"/>
    <n v="22.815389212398451"/>
    <s v="22–24°C"/>
    <n v="3.64"/>
    <n v="2026"/>
    <x v="0"/>
    <n v="22"/>
    <n v="4"/>
    <n v="17"/>
    <n v="0.45"/>
    <n v="0.40444444444444444"/>
    <x v="3"/>
  </r>
  <r>
    <d v="2026-01-22T18:00:00"/>
    <x v="0"/>
    <s v="R113"/>
    <n v="11"/>
    <n v="20"/>
    <n v="23.252825658867231"/>
    <s v="22–24°C"/>
    <n v="3.38"/>
    <n v="2026"/>
    <x v="0"/>
    <n v="22"/>
    <n v="4"/>
    <n v="18"/>
    <n v="0.55000000000000004"/>
    <n v="0.30727272727272725"/>
    <x v="3"/>
  </r>
  <r>
    <d v="2026-01-22T19:00:00"/>
    <x v="1"/>
    <s v="R120"/>
    <n v="4"/>
    <n v="20"/>
    <n v="24.445653789971029"/>
    <s v="24–26°C"/>
    <n v="2.2000000000000002"/>
    <n v="2026"/>
    <x v="0"/>
    <n v="22"/>
    <n v="4"/>
    <n v="19"/>
    <n v="0.2"/>
    <n v="0.55000000000000004"/>
    <x v="3"/>
  </r>
  <r>
    <d v="2026-01-22T20:00:00"/>
    <x v="0"/>
    <s v="R101"/>
    <n v="6"/>
    <n v="40"/>
    <n v="23.06973376555829"/>
    <s v="22–24°C"/>
    <n v="3.06"/>
    <n v="2026"/>
    <x v="0"/>
    <n v="22"/>
    <n v="4"/>
    <n v="20"/>
    <n v="0.15"/>
    <n v="0.51"/>
    <x v="3"/>
  </r>
  <r>
    <d v="2026-01-22T21:00:00"/>
    <x v="1"/>
    <s v="R104"/>
    <n v="9"/>
    <n v="25"/>
    <n v="23.386705559196631"/>
    <s v="22–24°C"/>
    <n v="3.06"/>
    <n v="2026"/>
    <x v="0"/>
    <n v="22"/>
    <n v="4"/>
    <n v="21"/>
    <n v="0.36"/>
    <n v="0.34"/>
    <x v="0"/>
  </r>
  <r>
    <d v="2026-01-22T22:00:00"/>
    <x v="3"/>
    <s v="R105"/>
    <n v="10"/>
    <n v="25"/>
    <n v="25.207867093403809"/>
    <s v="24–26°C"/>
    <n v="3.7"/>
    <n v="2026"/>
    <x v="0"/>
    <n v="22"/>
    <n v="4"/>
    <n v="22"/>
    <n v="0.4"/>
    <n v="0.37"/>
    <x v="0"/>
  </r>
  <r>
    <d v="2026-01-22T23:00:00"/>
    <x v="3"/>
    <s v="R119"/>
    <n v="5"/>
    <n v="30"/>
    <n v="21.930486658311349"/>
    <s v="20–22°C"/>
    <n v="2.15"/>
    <n v="2026"/>
    <x v="0"/>
    <n v="22"/>
    <n v="4"/>
    <n v="23"/>
    <n v="0.16666666666666666"/>
    <n v="0.43"/>
    <x v="0"/>
  </r>
  <r>
    <d v="2026-01-23T00:00:00"/>
    <x v="0"/>
    <s v="R116"/>
    <n v="10"/>
    <n v="40"/>
    <n v="22.600034202886441"/>
    <s v="22–24°C"/>
    <n v="3.08"/>
    <n v="2026"/>
    <x v="0"/>
    <n v="23"/>
    <n v="5"/>
    <n v="0"/>
    <n v="0.25"/>
    <n v="0.308"/>
    <x v="0"/>
  </r>
  <r>
    <d v="2026-01-23T01:00:00"/>
    <x v="0"/>
    <s v="R119"/>
    <n v="11"/>
    <n v="25"/>
    <n v="16.44997873217309"/>
    <s v="16–18°C"/>
    <n v="4.1399999999999997"/>
    <n v="2026"/>
    <x v="0"/>
    <n v="23"/>
    <n v="5"/>
    <n v="1"/>
    <n v="0.44"/>
    <n v="0.37636363636363634"/>
    <x v="0"/>
  </r>
  <r>
    <d v="2026-01-23T02:00:00"/>
    <x v="2"/>
    <s v="R113"/>
    <n v="11"/>
    <n v="30"/>
    <n v="21.230993853879959"/>
    <s v="20–22°C"/>
    <n v="3.51"/>
    <n v="2026"/>
    <x v="0"/>
    <n v="23"/>
    <n v="5"/>
    <n v="2"/>
    <n v="0.36666666666666664"/>
    <n v="0.31909090909090909"/>
    <x v="0"/>
  </r>
  <r>
    <d v="2026-01-23T03:00:00"/>
    <x v="1"/>
    <s v="R104"/>
    <n v="6"/>
    <n v="40"/>
    <n v="24.01404054427071"/>
    <s v="24–26°C"/>
    <n v="2.58"/>
    <n v="2026"/>
    <x v="0"/>
    <n v="23"/>
    <n v="5"/>
    <n v="3"/>
    <n v="0.15"/>
    <n v="0.43"/>
    <x v="0"/>
  </r>
  <r>
    <d v="2026-01-23T04:00:00"/>
    <x v="0"/>
    <s v="R104"/>
    <n v="7"/>
    <n v="20"/>
    <n v="25.854610728578429"/>
    <s v="24–26°C"/>
    <n v="3"/>
    <n v="2026"/>
    <x v="0"/>
    <n v="23"/>
    <n v="5"/>
    <n v="4"/>
    <n v="0.35"/>
    <n v="0.42857142857142855"/>
    <x v="0"/>
  </r>
  <r>
    <d v="2026-01-23T05:00:00"/>
    <x v="2"/>
    <s v="R105"/>
    <n v="6"/>
    <n v="30"/>
    <n v="22.316846735563281"/>
    <s v="22–24°C"/>
    <n v="2.61"/>
    <n v="2026"/>
    <x v="0"/>
    <n v="23"/>
    <n v="5"/>
    <n v="5"/>
    <n v="0.2"/>
    <n v="0.435"/>
    <x v="0"/>
  </r>
  <r>
    <d v="2026-01-23T06:00:00"/>
    <x v="1"/>
    <s v="R107"/>
    <n v="6"/>
    <n v="20"/>
    <n v="22.874703555756358"/>
    <s v="22–24°C"/>
    <n v="2.5"/>
    <n v="2026"/>
    <x v="0"/>
    <n v="23"/>
    <n v="5"/>
    <n v="6"/>
    <n v="0.3"/>
    <n v="0.41666666666666669"/>
    <x v="0"/>
  </r>
  <r>
    <d v="2026-01-23T07:00:00"/>
    <x v="4"/>
    <s v="R111"/>
    <n v="9"/>
    <n v="20"/>
    <n v="24.17571177627547"/>
    <s v="24–26°C"/>
    <n v="3.56"/>
    <n v="2026"/>
    <x v="0"/>
    <n v="23"/>
    <n v="5"/>
    <n v="7"/>
    <n v="0.45"/>
    <n v="0.39555555555555555"/>
    <x v="1"/>
  </r>
  <r>
    <d v="2026-01-23T08:00:00"/>
    <x v="1"/>
    <s v="R102"/>
    <n v="7"/>
    <n v="30"/>
    <n v="24.371179492596831"/>
    <s v="24–26°C"/>
    <n v="2.86"/>
    <n v="2026"/>
    <x v="0"/>
    <n v="23"/>
    <n v="5"/>
    <n v="8"/>
    <n v="0.23333333333333334"/>
    <n v="0.40857142857142853"/>
    <x v="1"/>
  </r>
  <r>
    <d v="2026-01-23T09:00:00"/>
    <x v="1"/>
    <s v="R118"/>
    <n v="9"/>
    <n v="20"/>
    <n v="24.062052189788421"/>
    <s v="24–26°C"/>
    <n v="3.4"/>
    <n v="2026"/>
    <x v="0"/>
    <n v="23"/>
    <n v="5"/>
    <n v="9"/>
    <n v="0.45"/>
    <n v="0.37777777777777777"/>
    <x v="1"/>
  </r>
  <r>
    <d v="2026-01-23T10:00:00"/>
    <x v="1"/>
    <s v="R119"/>
    <n v="4"/>
    <n v="25"/>
    <n v="21.645619524693409"/>
    <s v="20–22°C"/>
    <n v="1.98"/>
    <n v="2026"/>
    <x v="0"/>
    <n v="23"/>
    <n v="5"/>
    <n v="10"/>
    <n v="0.16"/>
    <n v="0.495"/>
    <x v="1"/>
  </r>
  <r>
    <d v="2026-01-23T11:00:00"/>
    <x v="1"/>
    <s v="R115"/>
    <n v="7"/>
    <n v="25"/>
    <n v="21.931519456074149"/>
    <s v="20–22°C"/>
    <n v="2.61"/>
    <n v="2026"/>
    <x v="0"/>
    <n v="23"/>
    <n v="5"/>
    <n v="11"/>
    <n v="0.28000000000000003"/>
    <n v="0.37285714285714283"/>
    <x v="1"/>
  </r>
  <r>
    <d v="2026-01-23T12:00:00"/>
    <x v="3"/>
    <s v="R117"/>
    <n v="8"/>
    <n v="40"/>
    <n v="21.63723952986085"/>
    <s v="20–22°C"/>
    <n v="3.14"/>
    <n v="2026"/>
    <x v="0"/>
    <n v="23"/>
    <n v="5"/>
    <n v="12"/>
    <n v="0.2"/>
    <n v="0.39250000000000002"/>
    <x v="2"/>
  </r>
  <r>
    <d v="2026-01-23T13:00:00"/>
    <x v="0"/>
    <s v="R120"/>
    <n v="8"/>
    <n v="20"/>
    <n v="22.150555567722559"/>
    <s v="22–24°C"/>
    <n v="2.97"/>
    <n v="2026"/>
    <x v="0"/>
    <n v="23"/>
    <n v="5"/>
    <n v="13"/>
    <n v="0.4"/>
    <n v="0.37125000000000002"/>
    <x v="2"/>
  </r>
  <r>
    <d v="2026-01-23T14:00:00"/>
    <x v="4"/>
    <s v="R105"/>
    <n v="7"/>
    <n v="25"/>
    <n v="20.973940976754321"/>
    <s v="20–22°C"/>
    <n v="2.2000000000000002"/>
    <n v="2026"/>
    <x v="0"/>
    <n v="23"/>
    <n v="5"/>
    <n v="14"/>
    <n v="0.28000000000000003"/>
    <n v="0.31428571428571433"/>
    <x v="2"/>
  </r>
  <r>
    <d v="2026-01-23T15:00:00"/>
    <x v="1"/>
    <s v="R116"/>
    <n v="6"/>
    <n v="20"/>
    <n v="22.21624646922627"/>
    <s v="22–24°C"/>
    <n v="2.0299999999999998"/>
    <n v="2026"/>
    <x v="0"/>
    <n v="23"/>
    <n v="5"/>
    <n v="15"/>
    <n v="0.3"/>
    <n v="0.33833333333333332"/>
    <x v="2"/>
  </r>
  <r>
    <d v="2026-01-23T16:00:00"/>
    <x v="1"/>
    <s v="R111"/>
    <n v="6"/>
    <n v="25"/>
    <n v="21.207739064054969"/>
    <s v="20–22°C"/>
    <n v="2.5099999999999998"/>
    <n v="2026"/>
    <x v="0"/>
    <n v="23"/>
    <n v="5"/>
    <n v="16"/>
    <n v="0.24"/>
    <n v="0.41833333333333328"/>
    <x v="2"/>
  </r>
  <r>
    <d v="2026-01-23T17:00:00"/>
    <x v="1"/>
    <s v="R112"/>
    <n v="14"/>
    <n v="20"/>
    <n v="26.327465664286951"/>
    <s v="26–28°C"/>
    <n v="5.04"/>
    <n v="2026"/>
    <x v="0"/>
    <n v="23"/>
    <n v="5"/>
    <n v="17"/>
    <n v="0.7"/>
    <n v="0.36"/>
    <x v="3"/>
  </r>
  <r>
    <d v="2026-01-23T18:00:00"/>
    <x v="2"/>
    <s v="R101"/>
    <n v="7"/>
    <n v="30"/>
    <n v="25.19309423646051"/>
    <s v="24–26°C"/>
    <n v="2.37"/>
    <n v="2026"/>
    <x v="0"/>
    <n v="23"/>
    <n v="5"/>
    <n v="18"/>
    <n v="0.23333333333333334"/>
    <n v="0.33857142857142858"/>
    <x v="3"/>
  </r>
  <r>
    <d v="2026-01-23T19:00:00"/>
    <x v="2"/>
    <s v="R108"/>
    <n v="11"/>
    <n v="40"/>
    <n v="24.965366285539879"/>
    <s v="24–26°C"/>
    <n v="3.57"/>
    <n v="2026"/>
    <x v="0"/>
    <n v="23"/>
    <n v="5"/>
    <n v="19"/>
    <n v="0.27500000000000002"/>
    <n v="0.32454545454545453"/>
    <x v="3"/>
  </r>
  <r>
    <d v="2026-01-23T20:00:00"/>
    <x v="4"/>
    <s v="R107"/>
    <n v="9"/>
    <n v="25"/>
    <n v="23.480411687892449"/>
    <s v="22–24°C"/>
    <n v="3.65"/>
    <n v="2026"/>
    <x v="0"/>
    <n v="23"/>
    <n v="5"/>
    <n v="20"/>
    <n v="0.36"/>
    <n v="0.40555555555555556"/>
    <x v="3"/>
  </r>
  <r>
    <d v="2026-01-23T21:00:00"/>
    <x v="2"/>
    <s v="R119"/>
    <n v="11"/>
    <n v="20"/>
    <n v="21.688624561077109"/>
    <s v="20–22°C"/>
    <n v="3.53"/>
    <n v="2026"/>
    <x v="0"/>
    <n v="23"/>
    <n v="5"/>
    <n v="21"/>
    <n v="0.55000000000000004"/>
    <n v="0.32090909090909087"/>
    <x v="0"/>
  </r>
  <r>
    <d v="2026-01-23T22:00:00"/>
    <x v="1"/>
    <s v="R120"/>
    <n v="11"/>
    <n v="20"/>
    <n v="23.779209048183979"/>
    <s v="22–24°C"/>
    <n v="3.15"/>
    <n v="2026"/>
    <x v="0"/>
    <n v="23"/>
    <n v="5"/>
    <n v="22"/>
    <n v="0.55000000000000004"/>
    <n v="0.28636363636363638"/>
    <x v="0"/>
  </r>
  <r>
    <d v="2026-01-23T23:00:00"/>
    <x v="1"/>
    <s v="R119"/>
    <n v="8"/>
    <n v="25"/>
    <n v="29.02942341860442"/>
    <s v="28–30°C"/>
    <n v="4.04"/>
    <n v="2026"/>
    <x v="0"/>
    <n v="23"/>
    <n v="5"/>
    <n v="23"/>
    <n v="0.32"/>
    <n v="0.505"/>
    <x v="0"/>
  </r>
  <r>
    <d v="2026-01-24T00:00:00"/>
    <x v="2"/>
    <s v="R117"/>
    <n v="6"/>
    <n v="25"/>
    <n v="24.42282115893099"/>
    <s v="24–26°C"/>
    <n v="3.6"/>
    <n v="2026"/>
    <x v="0"/>
    <n v="24"/>
    <n v="6"/>
    <n v="0"/>
    <n v="0.24"/>
    <n v="0.6"/>
    <x v="0"/>
  </r>
  <r>
    <d v="2026-01-24T01:00:00"/>
    <x v="3"/>
    <s v="R119"/>
    <n v="6"/>
    <n v="25"/>
    <n v="25.688636415974411"/>
    <s v="24–26°C"/>
    <n v="3.24"/>
    <n v="2026"/>
    <x v="0"/>
    <n v="24"/>
    <n v="6"/>
    <n v="1"/>
    <n v="0.24"/>
    <n v="0.54"/>
    <x v="0"/>
  </r>
  <r>
    <d v="2026-01-24T02:00:00"/>
    <x v="0"/>
    <s v="R114"/>
    <n v="7"/>
    <n v="25"/>
    <n v="21.88911041427"/>
    <s v="20–22°C"/>
    <n v="2.57"/>
    <n v="2026"/>
    <x v="0"/>
    <n v="24"/>
    <n v="6"/>
    <n v="2"/>
    <n v="0.28000000000000003"/>
    <n v="0.3671428571428571"/>
    <x v="0"/>
  </r>
  <r>
    <d v="2026-01-24T03:00:00"/>
    <x v="2"/>
    <s v="R113"/>
    <n v="10"/>
    <n v="25"/>
    <n v="27.554172996106612"/>
    <s v="26–28°C"/>
    <n v="3.76"/>
    <n v="2026"/>
    <x v="0"/>
    <n v="24"/>
    <n v="6"/>
    <n v="3"/>
    <n v="0.4"/>
    <n v="0.376"/>
    <x v="0"/>
  </r>
  <r>
    <d v="2026-01-24T04:00:00"/>
    <x v="3"/>
    <s v="R111"/>
    <n v="9"/>
    <n v="40"/>
    <n v="24.462001253570961"/>
    <s v="24–26°C"/>
    <n v="3.58"/>
    <n v="2026"/>
    <x v="0"/>
    <n v="24"/>
    <n v="6"/>
    <n v="4"/>
    <n v="0.22500000000000001"/>
    <n v="0.39777777777777779"/>
    <x v="0"/>
  </r>
  <r>
    <d v="2026-01-24T05:00:00"/>
    <x v="3"/>
    <s v="R116"/>
    <n v="8"/>
    <n v="25"/>
    <n v="21.25241075751762"/>
    <s v="20–22°C"/>
    <n v="3.2"/>
    <n v="2026"/>
    <x v="0"/>
    <n v="24"/>
    <n v="6"/>
    <n v="5"/>
    <n v="0.32"/>
    <n v="0.4"/>
    <x v="0"/>
  </r>
  <r>
    <d v="2026-01-24T06:00:00"/>
    <x v="2"/>
    <s v="R118"/>
    <n v="9"/>
    <n v="20"/>
    <n v="23.858356239750002"/>
    <s v="22–24°C"/>
    <n v="3.58"/>
    <n v="2026"/>
    <x v="0"/>
    <n v="24"/>
    <n v="6"/>
    <n v="6"/>
    <n v="0.45"/>
    <n v="0.39777777777777779"/>
    <x v="0"/>
  </r>
  <r>
    <d v="2026-01-24T07:00:00"/>
    <x v="4"/>
    <s v="R110"/>
    <n v="9"/>
    <n v="20"/>
    <n v="24.879961636185641"/>
    <s v="24–26°C"/>
    <n v="3.37"/>
    <n v="2026"/>
    <x v="0"/>
    <n v="24"/>
    <n v="6"/>
    <n v="7"/>
    <n v="0.45"/>
    <n v="0.37444444444444447"/>
    <x v="1"/>
  </r>
  <r>
    <d v="2026-01-24T08:00:00"/>
    <x v="2"/>
    <s v="R115"/>
    <n v="9"/>
    <n v="30"/>
    <n v="22.125585106104229"/>
    <s v="22–24°C"/>
    <n v="2.58"/>
    <n v="2026"/>
    <x v="0"/>
    <n v="24"/>
    <n v="6"/>
    <n v="8"/>
    <n v="0.3"/>
    <n v="0.28666666666666668"/>
    <x v="1"/>
  </r>
  <r>
    <d v="2026-01-24T09:00:00"/>
    <x v="2"/>
    <s v="R104"/>
    <n v="12"/>
    <n v="40"/>
    <n v="23.168933572779899"/>
    <s v="22–24°C"/>
    <n v="3.65"/>
    <n v="2026"/>
    <x v="0"/>
    <n v="24"/>
    <n v="6"/>
    <n v="9"/>
    <n v="0.3"/>
    <n v="0.30416666666666664"/>
    <x v="1"/>
  </r>
  <r>
    <d v="2026-01-24T10:00:00"/>
    <x v="1"/>
    <s v="R108"/>
    <n v="3"/>
    <n v="30"/>
    <n v="24.91259000418269"/>
    <s v="24–26°C"/>
    <n v="2.68"/>
    <n v="2026"/>
    <x v="0"/>
    <n v="24"/>
    <n v="6"/>
    <n v="10"/>
    <n v="0.1"/>
    <n v="0.89333333333333342"/>
    <x v="1"/>
  </r>
  <r>
    <d v="2026-01-24T11:00:00"/>
    <x v="2"/>
    <s v="R112"/>
    <n v="9"/>
    <n v="40"/>
    <n v="20.216083238096541"/>
    <s v="20–22°C"/>
    <n v="3.83"/>
    <n v="2026"/>
    <x v="0"/>
    <n v="24"/>
    <n v="6"/>
    <n v="11"/>
    <n v="0.22500000000000001"/>
    <n v="0.42555555555555558"/>
    <x v="1"/>
  </r>
  <r>
    <d v="2026-01-24T12:00:00"/>
    <x v="0"/>
    <s v="R112"/>
    <n v="7"/>
    <n v="20"/>
    <n v="21.466271923990899"/>
    <s v="20–22°C"/>
    <n v="2.65"/>
    <n v="2026"/>
    <x v="0"/>
    <n v="24"/>
    <n v="6"/>
    <n v="12"/>
    <n v="0.35"/>
    <n v="0.37857142857142856"/>
    <x v="2"/>
  </r>
  <r>
    <d v="2026-01-24T13:00:00"/>
    <x v="0"/>
    <s v="R105"/>
    <n v="13"/>
    <n v="20"/>
    <n v="22.92021123249658"/>
    <s v="22–24°C"/>
    <n v="3.77"/>
    <n v="2026"/>
    <x v="0"/>
    <n v="24"/>
    <n v="6"/>
    <n v="13"/>
    <n v="0.65"/>
    <n v="0.28999999999999998"/>
    <x v="2"/>
  </r>
  <r>
    <d v="2026-01-24T14:00:00"/>
    <x v="3"/>
    <s v="R103"/>
    <n v="9"/>
    <n v="30"/>
    <n v="22.484759028978011"/>
    <s v="22–24°C"/>
    <n v="3.1"/>
    <n v="2026"/>
    <x v="0"/>
    <n v="24"/>
    <n v="6"/>
    <n v="14"/>
    <n v="0.3"/>
    <n v="0.34444444444444444"/>
    <x v="2"/>
  </r>
  <r>
    <d v="2026-01-24T15:00:00"/>
    <x v="1"/>
    <s v="R110"/>
    <n v="5"/>
    <n v="30"/>
    <n v="23.299195915037579"/>
    <s v="22–24°C"/>
    <n v="2.27"/>
    <n v="2026"/>
    <x v="0"/>
    <n v="24"/>
    <n v="6"/>
    <n v="15"/>
    <n v="0.16666666666666666"/>
    <n v="0.45400000000000001"/>
    <x v="2"/>
  </r>
  <r>
    <d v="2026-01-24T16:00:00"/>
    <x v="1"/>
    <s v="R110"/>
    <n v="11"/>
    <n v="40"/>
    <n v="21.615298451532411"/>
    <s v="20–22°C"/>
    <n v="3.41"/>
    <n v="2026"/>
    <x v="0"/>
    <n v="24"/>
    <n v="6"/>
    <n v="16"/>
    <n v="0.27500000000000002"/>
    <n v="0.31"/>
    <x v="2"/>
  </r>
  <r>
    <d v="2026-01-24T17:00:00"/>
    <x v="2"/>
    <s v="R119"/>
    <n v="4"/>
    <n v="25"/>
    <n v="22.15020182159439"/>
    <s v="22–24°C"/>
    <n v="2.14"/>
    <n v="2026"/>
    <x v="0"/>
    <n v="24"/>
    <n v="6"/>
    <n v="17"/>
    <n v="0.16"/>
    <n v="0.53500000000000003"/>
    <x v="3"/>
  </r>
  <r>
    <d v="2026-01-24T18:00:00"/>
    <x v="2"/>
    <s v="R118"/>
    <n v="5"/>
    <n v="25"/>
    <n v="24.59611974670468"/>
    <s v="24–26°C"/>
    <n v="2.09"/>
    <n v="2026"/>
    <x v="0"/>
    <n v="24"/>
    <n v="6"/>
    <n v="18"/>
    <n v="0.2"/>
    <n v="0.41799999999999998"/>
    <x v="3"/>
  </r>
  <r>
    <d v="2026-01-24T19:00:00"/>
    <x v="2"/>
    <s v="R108"/>
    <n v="9"/>
    <n v="25"/>
    <n v="20.664696435767151"/>
    <s v="20–22°C"/>
    <n v="3.25"/>
    <n v="2026"/>
    <x v="0"/>
    <n v="24"/>
    <n v="6"/>
    <n v="19"/>
    <n v="0.36"/>
    <n v="0.3611111111111111"/>
    <x v="3"/>
  </r>
  <r>
    <d v="2026-01-24T20:00:00"/>
    <x v="2"/>
    <s v="R107"/>
    <n v="5"/>
    <n v="20"/>
    <n v="21.237150187665289"/>
    <s v="20–22°C"/>
    <n v="2.59"/>
    <n v="2026"/>
    <x v="0"/>
    <n v="24"/>
    <n v="6"/>
    <n v="20"/>
    <n v="0.25"/>
    <n v="0.51800000000000002"/>
    <x v="3"/>
  </r>
  <r>
    <d v="2026-01-24T21:00:00"/>
    <x v="3"/>
    <s v="R109"/>
    <n v="6"/>
    <n v="30"/>
    <n v="22.170746198856271"/>
    <s v="22–24°C"/>
    <n v="2.0299999999999998"/>
    <n v="2026"/>
    <x v="0"/>
    <n v="24"/>
    <n v="6"/>
    <n v="21"/>
    <n v="0.2"/>
    <n v="0.33833333333333332"/>
    <x v="0"/>
  </r>
  <r>
    <d v="2026-01-24T22:00:00"/>
    <x v="2"/>
    <s v="R110"/>
    <n v="5"/>
    <n v="20"/>
    <n v="23.437318613514599"/>
    <s v="22–24°C"/>
    <n v="2.13"/>
    <n v="2026"/>
    <x v="0"/>
    <n v="24"/>
    <n v="6"/>
    <n v="22"/>
    <n v="0.25"/>
    <n v="0.42599999999999999"/>
    <x v="0"/>
  </r>
  <r>
    <d v="2026-01-24T23:00:00"/>
    <x v="2"/>
    <s v="R104"/>
    <n v="11"/>
    <n v="30"/>
    <n v="24.112044193684579"/>
    <s v="24–26°C"/>
    <n v="3.69"/>
    <n v="2026"/>
    <x v="0"/>
    <n v="24"/>
    <n v="6"/>
    <n v="23"/>
    <n v="0.36666666666666664"/>
    <n v="0.33545454545454545"/>
    <x v="0"/>
  </r>
  <r>
    <d v="2026-01-25T00:00:00"/>
    <x v="3"/>
    <s v="R101"/>
    <n v="7"/>
    <n v="25"/>
    <n v="23.298912179326621"/>
    <s v="22–24°C"/>
    <n v="2.98"/>
    <n v="2026"/>
    <x v="0"/>
    <n v="25"/>
    <n v="0"/>
    <n v="0"/>
    <n v="0.28000000000000003"/>
    <n v="0.42571428571428571"/>
    <x v="0"/>
  </r>
  <r>
    <d v="2026-01-25T01:00:00"/>
    <x v="3"/>
    <s v="R104"/>
    <n v="9"/>
    <n v="40"/>
    <n v="23.720786790036161"/>
    <s v="22–24°C"/>
    <n v="3.46"/>
    <n v="2026"/>
    <x v="0"/>
    <n v="25"/>
    <n v="0"/>
    <n v="1"/>
    <n v="0.22500000000000001"/>
    <n v="0.38444444444444442"/>
    <x v="0"/>
  </r>
  <r>
    <d v="2026-01-25T02:00:00"/>
    <x v="2"/>
    <s v="R105"/>
    <n v="4"/>
    <n v="25"/>
    <n v="23.061495166175"/>
    <s v="22–24°C"/>
    <n v="1.26"/>
    <n v="2026"/>
    <x v="0"/>
    <n v="25"/>
    <n v="0"/>
    <n v="2"/>
    <n v="0.16"/>
    <n v="0.315"/>
    <x v="0"/>
  </r>
  <r>
    <d v="2026-01-25T03:00:00"/>
    <x v="3"/>
    <s v="R119"/>
    <n v="10"/>
    <n v="20"/>
    <n v="20.88793840006667"/>
    <s v="20–22°C"/>
    <n v="3.39"/>
    <n v="2026"/>
    <x v="0"/>
    <n v="25"/>
    <n v="0"/>
    <n v="3"/>
    <n v="0.5"/>
    <n v="0.33900000000000002"/>
    <x v="0"/>
  </r>
  <r>
    <d v="2026-01-25T04:00:00"/>
    <x v="2"/>
    <s v="R120"/>
    <n v="12"/>
    <n v="20"/>
    <n v="24.754701013479391"/>
    <s v="24–26°C"/>
    <n v="4.1500000000000004"/>
    <n v="2026"/>
    <x v="0"/>
    <n v="25"/>
    <n v="0"/>
    <n v="4"/>
    <n v="0.6"/>
    <n v="0.34583333333333338"/>
    <x v="0"/>
  </r>
  <r>
    <d v="2026-01-25T05:00:00"/>
    <x v="3"/>
    <s v="R104"/>
    <n v="8"/>
    <n v="30"/>
    <n v="21.364635206789728"/>
    <s v="20–22°C"/>
    <n v="2.56"/>
    <n v="2026"/>
    <x v="0"/>
    <n v="25"/>
    <n v="0"/>
    <n v="5"/>
    <n v="0.26666666666666666"/>
    <n v="0.32"/>
    <x v="0"/>
  </r>
  <r>
    <d v="2026-01-25T06:00:00"/>
    <x v="4"/>
    <s v="R120"/>
    <n v="10"/>
    <n v="25"/>
    <n v="22.274427344931659"/>
    <s v="22–24°C"/>
    <n v="3.08"/>
    <n v="2026"/>
    <x v="0"/>
    <n v="25"/>
    <n v="0"/>
    <n v="6"/>
    <n v="0.4"/>
    <n v="0.308"/>
    <x v="0"/>
  </r>
  <r>
    <d v="2026-01-25T07:00:00"/>
    <x v="1"/>
    <s v="R101"/>
    <n v="6"/>
    <n v="20"/>
    <n v="25.58151684824486"/>
    <s v="24–26°C"/>
    <n v="3.61"/>
    <n v="2026"/>
    <x v="0"/>
    <n v="25"/>
    <n v="0"/>
    <n v="7"/>
    <n v="0.3"/>
    <n v="0.60166666666666668"/>
    <x v="1"/>
  </r>
  <r>
    <d v="2026-01-25T08:00:00"/>
    <x v="1"/>
    <s v="R110"/>
    <n v="6"/>
    <n v="20"/>
    <n v="24.219658155326989"/>
    <s v="24–26°C"/>
    <n v="2.0099999999999998"/>
    <n v="2026"/>
    <x v="0"/>
    <n v="25"/>
    <n v="0"/>
    <n v="8"/>
    <n v="0.3"/>
    <n v="0.33499999999999996"/>
    <x v="1"/>
  </r>
  <r>
    <d v="2026-01-25T09:00:00"/>
    <x v="0"/>
    <s v="R117"/>
    <n v="10"/>
    <n v="40"/>
    <n v="26.147468433110209"/>
    <s v="26–28°C"/>
    <n v="4.0599999999999996"/>
    <n v="2026"/>
    <x v="0"/>
    <n v="25"/>
    <n v="0"/>
    <n v="9"/>
    <n v="0.25"/>
    <n v="0.40599999999999997"/>
    <x v="1"/>
  </r>
  <r>
    <d v="2026-01-25T10:00:00"/>
    <x v="3"/>
    <s v="R119"/>
    <n v="9"/>
    <n v="30"/>
    <n v="24.71579765058269"/>
    <s v="24–26°C"/>
    <n v="3.62"/>
    <n v="2026"/>
    <x v="0"/>
    <n v="25"/>
    <n v="0"/>
    <n v="10"/>
    <n v="0.3"/>
    <n v="0.40222222222222226"/>
    <x v="1"/>
  </r>
  <r>
    <d v="2026-01-25T11:00:00"/>
    <x v="2"/>
    <s v="R104"/>
    <n v="7"/>
    <n v="25"/>
    <n v="22.45517996679262"/>
    <s v="22–24°C"/>
    <n v="2.99"/>
    <n v="2026"/>
    <x v="0"/>
    <n v="25"/>
    <n v="0"/>
    <n v="11"/>
    <n v="0.28000000000000003"/>
    <n v="0.42714285714285716"/>
    <x v="1"/>
  </r>
  <r>
    <d v="2026-01-25T12:00:00"/>
    <x v="2"/>
    <s v="R106"/>
    <n v="7"/>
    <n v="20"/>
    <n v="22.612589240390079"/>
    <s v="22–24°C"/>
    <n v="2.8"/>
    <n v="2026"/>
    <x v="0"/>
    <n v="25"/>
    <n v="0"/>
    <n v="12"/>
    <n v="0.35"/>
    <n v="0.39999999999999997"/>
    <x v="2"/>
  </r>
  <r>
    <d v="2026-01-25T13:00:00"/>
    <x v="2"/>
    <s v="R113"/>
    <n v="3"/>
    <n v="30"/>
    <n v="25.16839648808709"/>
    <s v="24–26°C"/>
    <n v="2.09"/>
    <n v="2026"/>
    <x v="0"/>
    <n v="25"/>
    <n v="0"/>
    <n v="13"/>
    <n v="0.1"/>
    <n v="0.69666666666666666"/>
    <x v="2"/>
  </r>
  <r>
    <d v="2026-01-25T14:00:00"/>
    <x v="3"/>
    <s v="R108"/>
    <n v="9"/>
    <n v="40"/>
    <n v="23.512341211388559"/>
    <s v="22–24°C"/>
    <n v="3.63"/>
    <n v="2026"/>
    <x v="0"/>
    <n v="25"/>
    <n v="0"/>
    <n v="14"/>
    <n v="0.22500000000000001"/>
    <n v="0.40333333333333332"/>
    <x v="2"/>
  </r>
  <r>
    <d v="2026-01-25T15:00:00"/>
    <x v="3"/>
    <s v="R118"/>
    <n v="9"/>
    <n v="30"/>
    <n v="22.305627009775471"/>
    <s v="22–24°C"/>
    <n v="3.33"/>
    <n v="2026"/>
    <x v="0"/>
    <n v="25"/>
    <n v="0"/>
    <n v="15"/>
    <n v="0.3"/>
    <n v="0.37"/>
    <x v="2"/>
  </r>
  <r>
    <d v="2026-01-25T16:00:00"/>
    <x v="1"/>
    <s v="R103"/>
    <n v="9"/>
    <n v="30"/>
    <n v="22.45039539049462"/>
    <s v="22–24°C"/>
    <n v="2.46"/>
    <n v="2026"/>
    <x v="0"/>
    <n v="25"/>
    <n v="0"/>
    <n v="16"/>
    <n v="0.3"/>
    <n v="0.27333333333333332"/>
    <x v="2"/>
  </r>
  <r>
    <d v="2026-01-25T17:00:00"/>
    <x v="0"/>
    <s v="R110"/>
    <n v="13"/>
    <n v="25"/>
    <n v="22.90747756546731"/>
    <s v="22–24°C"/>
    <n v="4.22"/>
    <n v="2026"/>
    <x v="0"/>
    <n v="25"/>
    <n v="0"/>
    <n v="17"/>
    <n v="0.52"/>
    <n v="0.32461538461538458"/>
    <x v="3"/>
  </r>
  <r>
    <d v="2026-01-25T18:00:00"/>
    <x v="4"/>
    <s v="R102"/>
    <n v="3"/>
    <n v="25"/>
    <n v="22.619518311173572"/>
    <s v="22–24°C"/>
    <n v="1.19"/>
    <n v="2026"/>
    <x v="0"/>
    <n v="25"/>
    <n v="0"/>
    <n v="18"/>
    <n v="0.12"/>
    <n v="0.39666666666666667"/>
    <x v="3"/>
  </r>
  <r>
    <d v="2026-01-25T19:00:00"/>
    <x v="3"/>
    <s v="R116"/>
    <n v="8"/>
    <n v="40"/>
    <n v="22.77701842574978"/>
    <s v="22–24°C"/>
    <n v="3.35"/>
    <n v="2026"/>
    <x v="0"/>
    <n v="25"/>
    <n v="0"/>
    <n v="19"/>
    <n v="0.2"/>
    <n v="0.41875000000000001"/>
    <x v="3"/>
  </r>
  <r>
    <d v="2026-01-25T20:00:00"/>
    <x v="2"/>
    <s v="R103"/>
    <n v="11"/>
    <n v="25"/>
    <n v="24.3193995398616"/>
    <s v="24–26°C"/>
    <n v="3.58"/>
    <n v="2026"/>
    <x v="0"/>
    <n v="25"/>
    <n v="0"/>
    <n v="20"/>
    <n v="0.44"/>
    <n v="0.32545454545454544"/>
    <x v="3"/>
  </r>
  <r>
    <d v="2026-01-25T21:00:00"/>
    <x v="2"/>
    <s v="R104"/>
    <n v="9"/>
    <n v="30"/>
    <n v="22.28976686911378"/>
    <s v="22–24°C"/>
    <n v="2.7"/>
    <n v="2026"/>
    <x v="0"/>
    <n v="25"/>
    <n v="0"/>
    <n v="21"/>
    <n v="0.3"/>
    <n v="0.30000000000000004"/>
    <x v="0"/>
  </r>
  <r>
    <d v="2026-01-25T22:00:00"/>
    <x v="1"/>
    <s v="R109"/>
    <n v="7"/>
    <n v="20"/>
    <n v="25.184205922038672"/>
    <s v="24–26°C"/>
    <n v="2.58"/>
    <n v="2026"/>
    <x v="0"/>
    <n v="25"/>
    <n v="0"/>
    <n v="22"/>
    <n v="0.35"/>
    <n v="0.36857142857142861"/>
    <x v="0"/>
  </r>
  <r>
    <d v="2026-01-25T23:00:00"/>
    <x v="2"/>
    <s v="R106"/>
    <n v="8"/>
    <n v="30"/>
    <n v="20.624469520164951"/>
    <s v="20–22°C"/>
    <n v="2.89"/>
    <n v="2026"/>
    <x v="0"/>
    <n v="25"/>
    <n v="0"/>
    <n v="23"/>
    <n v="0.26666666666666666"/>
    <n v="0.36125000000000002"/>
    <x v="0"/>
  </r>
  <r>
    <d v="2026-01-26T00:00:00"/>
    <x v="3"/>
    <s v="R108"/>
    <n v="9"/>
    <n v="40"/>
    <n v="21.47162642672431"/>
    <s v="20–22°C"/>
    <n v="3.39"/>
    <n v="2026"/>
    <x v="0"/>
    <n v="26"/>
    <n v="1"/>
    <n v="0"/>
    <n v="0.22500000000000001"/>
    <n v="0.37666666666666671"/>
    <x v="0"/>
  </r>
  <r>
    <d v="2026-01-26T01:00:00"/>
    <x v="1"/>
    <s v="R117"/>
    <n v="8"/>
    <n v="25"/>
    <n v="16.857698024201941"/>
    <s v="16–18°C"/>
    <n v="3.8"/>
    <n v="2026"/>
    <x v="0"/>
    <n v="26"/>
    <n v="1"/>
    <n v="1"/>
    <n v="0.32"/>
    <n v="0.47499999999999998"/>
    <x v="0"/>
  </r>
  <r>
    <d v="2026-01-26T02:00:00"/>
    <x v="3"/>
    <s v="R103"/>
    <n v="7"/>
    <n v="20"/>
    <n v="20.086637117351831"/>
    <s v="20–22°C"/>
    <n v="2.71"/>
    <n v="2026"/>
    <x v="0"/>
    <n v="26"/>
    <n v="1"/>
    <n v="2"/>
    <n v="0.35"/>
    <n v="0.38714285714285712"/>
    <x v="0"/>
  </r>
  <r>
    <d v="2026-01-26T03:00:00"/>
    <x v="0"/>
    <s v="R101"/>
    <n v="4"/>
    <n v="25"/>
    <n v="24.375865944102859"/>
    <s v="24–26°C"/>
    <n v="1.97"/>
    <n v="2026"/>
    <x v="0"/>
    <n v="26"/>
    <n v="1"/>
    <n v="3"/>
    <n v="0.16"/>
    <n v="0.49249999999999999"/>
    <x v="0"/>
  </r>
  <r>
    <d v="2026-01-26T04:00:00"/>
    <x v="2"/>
    <s v="R109"/>
    <n v="8"/>
    <n v="30"/>
    <n v="23.43044146590044"/>
    <s v="22–24°C"/>
    <n v="3.24"/>
    <n v="2026"/>
    <x v="0"/>
    <n v="26"/>
    <n v="1"/>
    <n v="4"/>
    <n v="0.26666666666666666"/>
    <n v="0.40500000000000003"/>
    <x v="0"/>
  </r>
  <r>
    <d v="2026-01-26T05:00:00"/>
    <x v="1"/>
    <s v="R107"/>
    <n v="6"/>
    <n v="30"/>
    <n v="26.40918418659475"/>
    <s v="26–28°C"/>
    <n v="2.63"/>
    <n v="2026"/>
    <x v="0"/>
    <n v="26"/>
    <n v="1"/>
    <n v="5"/>
    <n v="0.2"/>
    <n v="0.4383333333333333"/>
    <x v="0"/>
  </r>
  <r>
    <d v="2026-01-26T06:00:00"/>
    <x v="3"/>
    <s v="R116"/>
    <n v="7"/>
    <n v="25"/>
    <n v="25.180366942040891"/>
    <s v="24–26°C"/>
    <n v="2.8"/>
    <n v="2026"/>
    <x v="0"/>
    <n v="26"/>
    <n v="1"/>
    <n v="6"/>
    <n v="0.28000000000000003"/>
    <n v="0.39999999999999997"/>
    <x v="0"/>
  </r>
  <r>
    <d v="2026-01-26T07:00:00"/>
    <x v="2"/>
    <s v="R112"/>
    <n v="8"/>
    <n v="25"/>
    <n v="23.825961131050089"/>
    <s v="22–24°C"/>
    <n v="2.99"/>
    <n v="2026"/>
    <x v="0"/>
    <n v="26"/>
    <n v="1"/>
    <n v="7"/>
    <n v="0.32"/>
    <n v="0.37375000000000003"/>
    <x v="1"/>
  </r>
  <r>
    <d v="2026-01-26T08:00:00"/>
    <x v="3"/>
    <s v="R107"/>
    <n v="4"/>
    <n v="40"/>
    <n v="22.035372858127399"/>
    <s v="22–24°C"/>
    <n v="2.14"/>
    <n v="2026"/>
    <x v="0"/>
    <n v="26"/>
    <n v="1"/>
    <n v="8"/>
    <n v="0.1"/>
    <n v="0.53500000000000003"/>
    <x v="1"/>
  </r>
  <r>
    <d v="2026-01-26T09:00:00"/>
    <x v="0"/>
    <s v="R108"/>
    <n v="12"/>
    <n v="25"/>
    <n v="20.1774899896606"/>
    <s v="20–22°C"/>
    <n v="4.03"/>
    <n v="2026"/>
    <x v="0"/>
    <n v="26"/>
    <n v="1"/>
    <n v="9"/>
    <n v="0.48"/>
    <n v="0.33583333333333337"/>
    <x v="1"/>
  </r>
  <r>
    <d v="2026-01-26T10:00:00"/>
    <x v="4"/>
    <s v="R117"/>
    <n v="8"/>
    <n v="30"/>
    <n v="23.330807320599408"/>
    <s v="22–24°C"/>
    <n v="2.59"/>
    <n v="2026"/>
    <x v="0"/>
    <n v="26"/>
    <n v="1"/>
    <n v="10"/>
    <n v="0.26666666666666666"/>
    <n v="0.32374999999999998"/>
    <x v="1"/>
  </r>
  <r>
    <d v="2026-01-26T11:00:00"/>
    <x v="4"/>
    <s v="R109"/>
    <n v="7"/>
    <n v="40"/>
    <n v="22.545787984438149"/>
    <s v="22–24°C"/>
    <n v="2.59"/>
    <n v="2026"/>
    <x v="0"/>
    <n v="26"/>
    <n v="1"/>
    <n v="11"/>
    <n v="0.17499999999999999"/>
    <n v="0.37"/>
    <x v="1"/>
  </r>
  <r>
    <d v="2026-01-26T12:00:00"/>
    <x v="2"/>
    <s v="R115"/>
    <n v="9"/>
    <n v="30"/>
    <n v="20.52087542783952"/>
    <s v="20–22°C"/>
    <n v="2.82"/>
    <n v="2026"/>
    <x v="0"/>
    <n v="26"/>
    <n v="1"/>
    <n v="12"/>
    <n v="0.3"/>
    <n v="0.3133333333333333"/>
    <x v="2"/>
  </r>
  <r>
    <d v="2026-01-26T13:00:00"/>
    <x v="1"/>
    <s v="R106"/>
    <n v="1"/>
    <n v="20"/>
    <n v="21.508115747048802"/>
    <s v="20–22°C"/>
    <n v="0.93"/>
    <n v="2026"/>
    <x v="0"/>
    <n v="26"/>
    <n v="1"/>
    <n v="13"/>
    <n v="0.05"/>
    <n v="0.93"/>
    <x v="2"/>
  </r>
  <r>
    <d v="2026-01-26T14:00:00"/>
    <x v="0"/>
    <s v="R112"/>
    <n v="7"/>
    <n v="25"/>
    <n v="25.58412066865305"/>
    <s v="24–26°C"/>
    <n v="2.86"/>
    <n v="2026"/>
    <x v="0"/>
    <n v="26"/>
    <n v="1"/>
    <n v="14"/>
    <n v="0.28000000000000003"/>
    <n v="0.40857142857142853"/>
    <x v="2"/>
  </r>
  <r>
    <d v="2026-01-26T15:00:00"/>
    <x v="0"/>
    <s v="R109"/>
    <n v="9"/>
    <n v="40"/>
    <n v="20.535137521671999"/>
    <s v="20–22°C"/>
    <n v="3.56"/>
    <n v="2026"/>
    <x v="0"/>
    <n v="26"/>
    <n v="1"/>
    <n v="15"/>
    <n v="0.22500000000000001"/>
    <n v="0.39555555555555555"/>
    <x v="2"/>
  </r>
  <r>
    <d v="2026-01-26T16:00:00"/>
    <x v="2"/>
    <s v="R120"/>
    <n v="11"/>
    <n v="30"/>
    <n v="22.65474173141833"/>
    <s v="22–24°C"/>
    <n v="3.84"/>
    <n v="2026"/>
    <x v="0"/>
    <n v="26"/>
    <n v="1"/>
    <n v="16"/>
    <n v="0.36666666666666664"/>
    <n v="0.34909090909090906"/>
    <x v="2"/>
  </r>
  <r>
    <d v="2026-01-26T17:00:00"/>
    <x v="3"/>
    <s v="R108"/>
    <n v="7"/>
    <n v="20"/>
    <n v="20.908941028651899"/>
    <s v="20–22°C"/>
    <n v="2.71"/>
    <n v="2026"/>
    <x v="0"/>
    <n v="26"/>
    <n v="1"/>
    <n v="17"/>
    <n v="0.35"/>
    <n v="0.38714285714285712"/>
    <x v="3"/>
  </r>
  <r>
    <d v="2026-01-26T18:00:00"/>
    <x v="1"/>
    <s v="R119"/>
    <n v="10"/>
    <n v="25"/>
    <n v="20.565039625528328"/>
    <s v="20–22°C"/>
    <n v="3.51"/>
    <n v="2026"/>
    <x v="0"/>
    <n v="26"/>
    <n v="1"/>
    <n v="18"/>
    <n v="0.4"/>
    <n v="0.35099999999999998"/>
    <x v="3"/>
  </r>
  <r>
    <d v="2026-01-26T19:00:00"/>
    <x v="0"/>
    <s v="R108"/>
    <n v="6"/>
    <n v="20"/>
    <n v="26.800536848621931"/>
    <s v="26–28°C"/>
    <n v="3.33"/>
    <n v="2026"/>
    <x v="0"/>
    <n v="26"/>
    <n v="1"/>
    <n v="19"/>
    <n v="0.3"/>
    <n v="0.55500000000000005"/>
    <x v="3"/>
  </r>
  <r>
    <d v="2026-01-26T20:00:00"/>
    <x v="1"/>
    <s v="R103"/>
    <n v="7"/>
    <n v="30"/>
    <n v="25.372290948084601"/>
    <s v="24–26°C"/>
    <n v="3.52"/>
    <n v="2026"/>
    <x v="0"/>
    <n v="26"/>
    <n v="1"/>
    <n v="20"/>
    <n v="0.23333333333333334"/>
    <n v="0.50285714285714289"/>
    <x v="3"/>
  </r>
  <r>
    <d v="2026-01-26T21:00:00"/>
    <x v="1"/>
    <s v="R110"/>
    <n v="5"/>
    <n v="20"/>
    <n v="25.24986509060648"/>
    <s v="24–26°C"/>
    <n v="2.0099999999999998"/>
    <n v="2026"/>
    <x v="0"/>
    <n v="26"/>
    <n v="1"/>
    <n v="21"/>
    <n v="0.25"/>
    <n v="0.40199999999999997"/>
    <x v="0"/>
  </r>
  <r>
    <d v="2026-01-26T22:00:00"/>
    <x v="0"/>
    <s v="R119"/>
    <n v="4"/>
    <n v="20"/>
    <n v="20.112885931632551"/>
    <s v="20–22°C"/>
    <n v="2.29"/>
    <n v="2026"/>
    <x v="0"/>
    <n v="26"/>
    <n v="1"/>
    <n v="22"/>
    <n v="0.2"/>
    <n v="0.57250000000000001"/>
    <x v="0"/>
  </r>
  <r>
    <d v="2026-01-26T23:00:00"/>
    <x v="2"/>
    <s v="R114"/>
    <n v="4"/>
    <n v="40"/>
    <n v="23.837519920254991"/>
    <s v="22–24°C"/>
    <n v="2.14"/>
    <n v="2026"/>
    <x v="0"/>
    <n v="26"/>
    <n v="1"/>
    <n v="23"/>
    <n v="0.1"/>
    <n v="0.53500000000000003"/>
    <x v="0"/>
  </r>
  <r>
    <d v="2026-01-27T00:00:00"/>
    <x v="1"/>
    <s v="R118"/>
    <n v="9"/>
    <n v="25"/>
    <n v="25.077212138417629"/>
    <s v="24–26°C"/>
    <n v="3.54"/>
    <n v="2026"/>
    <x v="0"/>
    <n v="27"/>
    <n v="2"/>
    <n v="0"/>
    <n v="0.36"/>
    <n v="0.39333333333333331"/>
    <x v="0"/>
  </r>
  <r>
    <d v="2026-01-27T01:00:00"/>
    <x v="1"/>
    <s v="R107"/>
    <n v="7"/>
    <n v="25"/>
    <n v="21.120064341699869"/>
    <s v="20–22°C"/>
    <n v="2.82"/>
    <n v="2026"/>
    <x v="0"/>
    <n v="27"/>
    <n v="2"/>
    <n v="1"/>
    <n v="0.28000000000000003"/>
    <n v="0.40285714285714286"/>
    <x v="0"/>
  </r>
  <r>
    <d v="2026-01-27T02:00:00"/>
    <x v="2"/>
    <s v="R120"/>
    <n v="11"/>
    <n v="40"/>
    <n v="21.434802805162821"/>
    <s v="20–22°C"/>
    <n v="3.85"/>
    <n v="2026"/>
    <x v="0"/>
    <n v="27"/>
    <n v="2"/>
    <n v="2"/>
    <n v="0.27500000000000002"/>
    <n v="0.35000000000000003"/>
    <x v="0"/>
  </r>
  <r>
    <d v="2026-01-27T03:00:00"/>
    <x v="1"/>
    <s v="R111"/>
    <n v="10"/>
    <n v="25"/>
    <n v="26.198109030957379"/>
    <s v="26–28°C"/>
    <n v="4.0999999999999996"/>
    <n v="2026"/>
    <x v="0"/>
    <n v="27"/>
    <n v="2"/>
    <n v="3"/>
    <n v="0.4"/>
    <n v="0.41"/>
    <x v="0"/>
  </r>
  <r>
    <d v="2026-01-27T04:00:00"/>
    <x v="1"/>
    <s v="R105"/>
    <n v="8"/>
    <n v="25"/>
    <n v="25.02054917367203"/>
    <s v="24–26°C"/>
    <n v="3.24"/>
    <n v="2026"/>
    <x v="0"/>
    <n v="27"/>
    <n v="2"/>
    <n v="4"/>
    <n v="0.32"/>
    <n v="0.40500000000000003"/>
    <x v="0"/>
  </r>
  <r>
    <d v="2026-01-27T05:00:00"/>
    <x v="2"/>
    <s v="R114"/>
    <n v="8"/>
    <n v="30"/>
    <n v="25.770972681036181"/>
    <s v="24–26°C"/>
    <n v="3.23"/>
    <n v="2026"/>
    <x v="0"/>
    <n v="27"/>
    <n v="2"/>
    <n v="5"/>
    <n v="0.26666666666666666"/>
    <n v="0.40375"/>
    <x v="0"/>
  </r>
  <r>
    <d v="2026-01-27T06:00:00"/>
    <x v="1"/>
    <s v="R114"/>
    <n v="10"/>
    <n v="20"/>
    <n v="23.359244545263849"/>
    <s v="22–24°C"/>
    <n v="3.91"/>
    <n v="2026"/>
    <x v="0"/>
    <n v="27"/>
    <n v="2"/>
    <n v="6"/>
    <n v="0.5"/>
    <n v="0.39100000000000001"/>
    <x v="0"/>
  </r>
  <r>
    <d v="2026-01-27T07:00:00"/>
    <x v="0"/>
    <s v="R109"/>
    <n v="7"/>
    <n v="40"/>
    <n v="21.871607640279031"/>
    <s v="20–22°C"/>
    <n v="2.12"/>
    <n v="2026"/>
    <x v="0"/>
    <n v="27"/>
    <n v="2"/>
    <n v="7"/>
    <n v="0.17499999999999999"/>
    <n v="0.30285714285714288"/>
    <x v="1"/>
  </r>
  <r>
    <d v="2026-01-27T08:00:00"/>
    <x v="4"/>
    <s v="R118"/>
    <n v="7"/>
    <n v="30"/>
    <n v="26.422057618381579"/>
    <s v="26–28°C"/>
    <n v="3.37"/>
    <n v="2026"/>
    <x v="0"/>
    <n v="27"/>
    <n v="2"/>
    <n v="8"/>
    <n v="0.23333333333333334"/>
    <n v="0.48142857142857143"/>
    <x v="1"/>
  </r>
  <r>
    <d v="2026-01-27T09:00:00"/>
    <x v="2"/>
    <s v="R106"/>
    <n v="11"/>
    <n v="30"/>
    <n v="22.949011742829601"/>
    <s v="22–24°C"/>
    <n v="3.63"/>
    <n v="2026"/>
    <x v="0"/>
    <n v="27"/>
    <n v="2"/>
    <n v="9"/>
    <n v="0.36666666666666664"/>
    <n v="0.33"/>
    <x v="1"/>
  </r>
  <r>
    <d v="2026-01-27T10:00:00"/>
    <x v="3"/>
    <s v="R106"/>
    <n v="10"/>
    <n v="30"/>
    <n v="19.393365492622561"/>
    <s v="18–20°C"/>
    <n v="3.77"/>
    <n v="2026"/>
    <x v="0"/>
    <n v="27"/>
    <n v="2"/>
    <n v="10"/>
    <n v="0.33333333333333331"/>
    <n v="0.377"/>
    <x v="1"/>
  </r>
  <r>
    <d v="2026-01-27T11:00:00"/>
    <x v="1"/>
    <s v="R108"/>
    <n v="9"/>
    <n v="40"/>
    <n v="21.745114329046999"/>
    <s v="20–22°C"/>
    <n v="3.11"/>
    <n v="2026"/>
    <x v="0"/>
    <n v="27"/>
    <n v="2"/>
    <n v="11"/>
    <n v="0.22500000000000001"/>
    <n v="0.34555555555555556"/>
    <x v="1"/>
  </r>
  <r>
    <d v="2026-01-27T12:00:00"/>
    <x v="3"/>
    <s v="R112"/>
    <n v="6"/>
    <n v="30"/>
    <n v="22.10407732310005"/>
    <s v="22–24°C"/>
    <n v="1.95"/>
    <n v="2026"/>
    <x v="0"/>
    <n v="27"/>
    <n v="2"/>
    <n v="12"/>
    <n v="0.2"/>
    <n v="0.32500000000000001"/>
    <x v="2"/>
  </r>
  <r>
    <d v="2026-01-27T13:00:00"/>
    <x v="0"/>
    <s v="R108"/>
    <n v="7"/>
    <n v="40"/>
    <n v="21.851834845825461"/>
    <s v="20–22°C"/>
    <n v="2.4900000000000002"/>
    <n v="2026"/>
    <x v="0"/>
    <n v="27"/>
    <n v="2"/>
    <n v="13"/>
    <n v="0.17499999999999999"/>
    <n v="0.35571428571428576"/>
    <x v="2"/>
  </r>
  <r>
    <d v="2026-01-27T14:00:00"/>
    <x v="1"/>
    <s v="R118"/>
    <n v="6"/>
    <n v="25"/>
    <n v="29.179779215372768"/>
    <s v="28–30°C"/>
    <n v="3.46"/>
    <n v="2026"/>
    <x v="0"/>
    <n v="27"/>
    <n v="2"/>
    <n v="14"/>
    <n v="0.24"/>
    <n v="0.57666666666666666"/>
    <x v="2"/>
  </r>
  <r>
    <d v="2026-01-27T15:00:00"/>
    <x v="3"/>
    <s v="R113"/>
    <n v="7"/>
    <n v="20"/>
    <n v="18.46100427100518"/>
    <s v="18–20°C"/>
    <n v="3.02"/>
    <n v="2026"/>
    <x v="0"/>
    <n v="27"/>
    <n v="2"/>
    <n v="15"/>
    <n v="0.35"/>
    <n v="0.43142857142857144"/>
    <x v="2"/>
  </r>
  <r>
    <d v="2026-01-27T16:00:00"/>
    <x v="3"/>
    <s v="R102"/>
    <n v="6"/>
    <n v="20"/>
    <n v="21.96266656075758"/>
    <s v="20–22°C"/>
    <n v="2.56"/>
    <n v="2026"/>
    <x v="0"/>
    <n v="27"/>
    <n v="2"/>
    <n v="16"/>
    <n v="0.3"/>
    <n v="0.42666666666666669"/>
    <x v="2"/>
  </r>
  <r>
    <d v="2026-01-27T17:00:00"/>
    <x v="4"/>
    <s v="R110"/>
    <n v="6"/>
    <n v="40"/>
    <n v="21.54026082707481"/>
    <s v="20–22°C"/>
    <n v="2.96"/>
    <n v="2026"/>
    <x v="0"/>
    <n v="27"/>
    <n v="2"/>
    <n v="17"/>
    <n v="0.15"/>
    <n v="0.49333333333333335"/>
    <x v="3"/>
  </r>
  <r>
    <d v="2026-01-27T18:00:00"/>
    <x v="3"/>
    <s v="R118"/>
    <n v="7"/>
    <n v="25"/>
    <n v="21.430340193134729"/>
    <s v="20–22°C"/>
    <n v="2.82"/>
    <n v="2026"/>
    <x v="0"/>
    <n v="27"/>
    <n v="2"/>
    <n v="18"/>
    <n v="0.28000000000000003"/>
    <n v="0.40285714285714286"/>
    <x v="3"/>
  </r>
  <r>
    <d v="2026-01-27T19:00:00"/>
    <x v="2"/>
    <s v="R114"/>
    <n v="7"/>
    <n v="20"/>
    <n v="24.698285211864381"/>
    <s v="24–26°C"/>
    <n v="2.57"/>
    <n v="2026"/>
    <x v="0"/>
    <n v="27"/>
    <n v="2"/>
    <n v="19"/>
    <n v="0.35"/>
    <n v="0.3671428571428571"/>
    <x v="3"/>
  </r>
  <r>
    <d v="2026-01-27T20:00:00"/>
    <x v="2"/>
    <s v="R101"/>
    <n v="12"/>
    <n v="40"/>
    <n v="29.196598868142519"/>
    <s v="28–30°C"/>
    <n v="4.8"/>
    <n v="2026"/>
    <x v="0"/>
    <n v="27"/>
    <n v="2"/>
    <n v="20"/>
    <n v="0.3"/>
    <n v="0.39999999999999997"/>
    <x v="3"/>
  </r>
  <r>
    <d v="2026-01-27T21:00:00"/>
    <x v="0"/>
    <s v="R107"/>
    <n v="12"/>
    <n v="20"/>
    <n v="20.41792085030016"/>
    <s v="20–22°C"/>
    <n v="4.1399999999999997"/>
    <n v="2026"/>
    <x v="0"/>
    <n v="27"/>
    <n v="2"/>
    <n v="21"/>
    <n v="0.6"/>
    <n v="0.34499999999999997"/>
    <x v="0"/>
  </r>
  <r>
    <d v="2026-01-27T22:00:00"/>
    <x v="2"/>
    <s v="R104"/>
    <n v="6"/>
    <n v="30"/>
    <n v="18.129375336434219"/>
    <s v="18–20°C"/>
    <n v="3.09"/>
    <n v="2026"/>
    <x v="0"/>
    <n v="27"/>
    <n v="2"/>
    <n v="22"/>
    <n v="0.2"/>
    <n v="0.51500000000000001"/>
    <x v="0"/>
  </r>
  <r>
    <d v="2026-01-27T23:00:00"/>
    <x v="3"/>
    <s v="R120"/>
    <n v="8"/>
    <n v="20"/>
    <n v="26.722514747961061"/>
    <s v="26–28°C"/>
    <n v="3.22"/>
    <n v="2026"/>
    <x v="0"/>
    <n v="27"/>
    <n v="2"/>
    <n v="23"/>
    <n v="0.4"/>
    <n v="0.40250000000000002"/>
    <x v="0"/>
  </r>
  <r>
    <d v="2026-01-28T00:00:00"/>
    <x v="0"/>
    <s v="R106"/>
    <n v="4"/>
    <n v="25"/>
    <n v="20.793631237533809"/>
    <s v="20–22°C"/>
    <n v="2.23"/>
    <n v="2026"/>
    <x v="0"/>
    <n v="28"/>
    <n v="3"/>
    <n v="0"/>
    <n v="0.16"/>
    <n v="0.5575"/>
    <x v="0"/>
  </r>
  <r>
    <d v="2026-01-28T01:00:00"/>
    <x v="2"/>
    <s v="R116"/>
    <n v="8"/>
    <n v="20"/>
    <n v="20.086824053481269"/>
    <s v="20–22°C"/>
    <n v="3.65"/>
    <n v="2026"/>
    <x v="0"/>
    <n v="28"/>
    <n v="3"/>
    <n v="1"/>
    <n v="0.4"/>
    <n v="0.45624999999999999"/>
    <x v="0"/>
  </r>
  <r>
    <d v="2026-01-28T02:00:00"/>
    <x v="0"/>
    <s v="R112"/>
    <n v="7"/>
    <n v="40"/>
    <n v="21.219245883479839"/>
    <s v="20–22°C"/>
    <n v="2.86"/>
    <n v="2026"/>
    <x v="0"/>
    <n v="28"/>
    <n v="3"/>
    <n v="2"/>
    <n v="0.17499999999999999"/>
    <n v="0.40857142857142853"/>
    <x v="0"/>
  </r>
  <r>
    <d v="2026-01-28T03:00:00"/>
    <x v="4"/>
    <s v="R109"/>
    <n v="8"/>
    <n v="25"/>
    <n v="22.330394025111001"/>
    <s v="22–24°C"/>
    <n v="2.31"/>
    <n v="2026"/>
    <x v="0"/>
    <n v="28"/>
    <n v="3"/>
    <n v="3"/>
    <n v="0.32"/>
    <n v="0.28875000000000001"/>
    <x v="0"/>
  </r>
  <r>
    <d v="2026-01-28T04:00:00"/>
    <x v="2"/>
    <s v="R110"/>
    <n v="4"/>
    <n v="30"/>
    <n v="21.500303579234799"/>
    <s v="20–22°C"/>
    <n v="1.6"/>
    <n v="2026"/>
    <x v="0"/>
    <n v="28"/>
    <n v="3"/>
    <n v="4"/>
    <n v="0.13333333333333333"/>
    <n v="0.4"/>
    <x v="0"/>
  </r>
  <r>
    <d v="2026-01-28T05:00:00"/>
    <x v="0"/>
    <s v="R102"/>
    <n v="5"/>
    <n v="25"/>
    <n v="23.97619076275836"/>
    <s v="22–24°C"/>
    <n v="2.88"/>
    <n v="2026"/>
    <x v="0"/>
    <n v="28"/>
    <n v="3"/>
    <n v="5"/>
    <n v="0.2"/>
    <n v="0.57599999999999996"/>
    <x v="0"/>
  </r>
  <r>
    <d v="2026-01-28T06:00:00"/>
    <x v="3"/>
    <s v="R111"/>
    <n v="10"/>
    <n v="40"/>
    <n v="21.52524019300408"/>
    <s v="20–22°C"/>
    <n v="3.12"/>
    <n v="2026"/>
    <x v="0"/>
    <n v="28"/>
    <n v="3"/>
    <n v="6"/>
    <n v="0.25"/>
    <n v="0.312"/>
    <x v="0"/>
  </r>
  <r>
    <d v="2026-01-28T07:00:00"/>
    <x v="3"/>
    <s v="R114"/>
    <n v="11"/>
    <n v="40"/>
    <n v="23.075083682973641"/>
    <s v="22–24°C"/>
    <n v="4.04"/>
    <n v="2026"/>
    <x v="0"/>
    <n v="28"/>
    <n v="3"/>
    <n v="7"/>
    <n v="0.27500000000000002"/>
    <n v="0.36727272727272725"/>
    <x v="1"/>
  </r>
  <r>
    <d v="2026-01-28T08:00:00"/>
    <x v="1"/>
    <s v="R111"/>
    <n v="6"/>
    <n v="25"/>
    <n v="22.63253345046639"/>
    <s v="22–24°C"/>
    <n v="2.0699999999999998"/>
    <n v="2026"/>
    <x v="0"/>
    <n v="28"/>
    <n v="3"/>
    <n v="8"/>
    <n v="0.24"/>
    <n v="0.34499999999999997"/>
    <x v="1"/>
  </r>
  <r>
    <d v="2026-01-28T09:00:00"/>
    <x v="4"/>
    <s v="R114"/>
    <n v="10"/>
    <n v="25"/>
    <n v="24.29178084055178"/>
    <s v="24–26°C"/>
    <n v="3.31"/>
    <n v="2026"/>
    <x v="0"/>
    <n v="28"/>
    <n v="3"/>
    <n v="9"/>
    <n v="0.4"/>
    <n v="0.33100000000000002"/>
    <x v="1"/>
  </r>
  <r>
    <d v="2026-01-28T10:00:00"/>
    <x v="2"/>
    <s v="R107"/>
    <n v="8"/>
    <n v="30"/>
    <n v="23.50741343898363"/>
    <s v="22–24°C"/>
    <n v="2.76"/>
    <n v="2026"/>
    <x v="0"/>
    <n v="28"/>
    <n v="3"/>
    <n v="10"/>
    <n v="0.26666666666666666"/>
    <n v="0.34499999999999997"/>
    <x v="1"/>
  </r>
  <r>
    <d v="2026-01-28T11:00:00"/>
    <x v="3"/>
    <s v="R112"/>
    <n v="7"/>
    <n v="30"/>
    <n v="21.32103681745442"/>
    <s v="20–22°C"/>
    <n v="3.05"/>
    <n v="2026"/>
    <x v="0"/>
    <n v="28"/>
    <n v="3"/>
    <n v="11"/>
    <n v="0.23333333333333334"/>
    <n v="0.43571428571428567"/>
    <x v="1"/>
  </r>
  <r>
    <d v="2026-01-28T12:00:00"/>
    <x v="0"/>
    <s v="R105"/>
    <n v="6"/>
    <n v="40"/>
    <n v="23.00221988937459"/>
    <s v="22–24°C"/>
    <n v="1.99"/>
    <n v="2026"/>
    <x v="0"/>
    <n v="28"/>
    <n v="3"/>
    <n v="12"/>
    <n v="0.15"/>
    <n v="0.33166666666666667"/>
    <x v="2"/>
  </r>
  <r>
    <d v="2026-01-28T13:00:00"/>
    <x v="4"/>
    <s v="R108"/>
    <n v="7"/>
    <n v="25"/>
    <n v="23.273194791177509"/>
    <s v="22–24°C"/>
    <n v="2.75"/>
    <n v="2026"/>
    <x v="0"/>
    <n v="28"/>
    <n v="3"/>
    <n v="13"/>
    <n v="0.28000000000000003"/>
    <n v="0.39285714285714285"/>
    <x v="2"/>
  </r>
  <r>
    <d v="2026-01-28T14:00:00"/>
    <x v="1"/>
    <s v="R107"/>
    <n v="8"/>
    <n v="20"/>
    <n v="27.416838182309409"/>
    <s v="26–28°C"/>
    <n v="3.43"/>
    <n v="2026"/>
    <x v="0"/>
    <n v="28"/>
    <n v="3"/>
    <n v="14"/>
    <n v="0.4"/>
    <n v="0.42875000000000002"/>
    <x v="2"/>
  </r>
  <r>
    <d v="2026-01-28T15:00:00"/>
    <x v="2"/>
    <s v="R113"/>
    <n v="10"/>
    <n v="25"/>
    <n v="24.371715637216841"/>
    <s v="24–26°C"/>
    <n v="3.01"/>
    <n v="2026"/>
    <x v="0"/>
    <n v="28"/>
    <n v="3"/>
    <n v="15"/>
    <n v="0.4"/>
    <n v="0.30099999999999999"/>
    <x v="2"/>
  </r>
  <r>
    <d v="2026-01-28T16:00:00"/>
    <x v="1"/>
    <s v="R110"/>
    <n v="3"/>
    <n v="20"/>
    <n v="26.306619274357061"/>
    <s v="26–28°C"/>
    <n v="2.38"/>
    <n v="2026"/>
    <x v="0"/>
    <n v="28"/>
    <n v="3"/>
    <n v="16"/>
    <n v="0.15"/>
    <n v="0.79333333333333333"/>
    <x v="2"/>
  </r>
  <r>
    <d v="2026-01-28T17:00:00"/>
    <x v="3"/>
    <s v="R115"/>
    <n v="4"/>
    <n v="25"/>
    <n v="23.18855858722856"/>
    <s v="22–24°C"/>
    <n v="1.67"/>
    <n v="2026"/>
    <x v="0"/>
    <n v="28"/>
    <n v="3"/>
    <n v="17"/>
    <n v="0.16"/>
    <n v="0.41749999999999998"/>
    <x v="3"/>
  </r>
  <r>
    <d v="2026-01-28T18:00:00"/>
    <x v="2"/>
    <s v="R104"/>
    <n v="9"/>
    <n v="30"/>
    <n v="24.877447232476321"/>
    <s v="24–26°C"/>
    <n v="3.11"/>
    <n v="2026"/>
    <x v="0"/>
    <n v="28"/>
    <n v="3"/>
    <n v="18"/>
    <n v="0.3"/>
    <n v="0.34555555555555556"/>
    <x v="3"/>
  </r>
  <r>
    <d v="2026-01-28T19:00:00"/>
    <x v="0"/>
    <s v="R120"/>
    <n v="8"/>
    <n v="25"/>
    <n v="21.115879632851509"/>
    <s v="20–22°C"/>
    <n v="2.77"/>
    <n v="2026"/>
    <x v="0"/>
    <n v="28"/>
    <n v="3"/>
    <n v="19"/>
    <n v="0.32"/>
    <n v="0.34625"/>
    <x v="3"/>
  </r>
  <r>
    <d v="2026-01-28T20:00:00"/>
    <x v="1"/>
    <s v="R115"/>
    <n v="10"/>
    <n v="30"/>
    <n v="23.275791551749808"/>
    <s v="22–24°C"/>
    <n v="4.08"/>
    <n v="2026"/>
    <x v="0"/>
    <n v="28"/>
    <n v="3"/>
    <n v="20"/>
    <n v="0.33333333333333331"/>
    <n v="0.40800000000000003"/>
    <x v="3"/>
  </r>
  <r>
    <d v="2026-01-28T21:00:00"/>
    <x v="2"/>
    <s v="R116"/>
    <n v="11"/>
    <n v="30"/>
    <n v="21.894208132612579"/>
    <s v="20–22°C"/>
    <n v="3.61"/>
    <n v="2026"/>
    <x v="0"/>
    <n v="28"/>
    <n v="3"/>
    <n v="21"/>
    <n v="0.36666666666666664"/>
    <n v="0.32818181818181819"/>
    <x v="0"/>
  </r>
  <r>
    <d v="2026-01-28T22:00:00"/>
    <x v="1"/>
    <s v="R120"/>
    <n v="5"/>
    <n v="25"/>
    <n v="23.302462144333681"/>
    <s v="22–24°C"/>
    <n v="2.83"/>
    <n v="2026"/>
    <x v="0"/>
    <n v="28"/>
    <n v="3"/>
    <n v="22"/>
    <n v="0.2"/>
    <n v="0.56600000000000006"/>
    <x v="0"/>
  </r>
  <r>
    <d v="2026-01-28T23:00:00"/>
    <x v="3"/>
    <s v="R105"/>
    <n v="5"/>
    <n v="25"/>
    <n v="24.177270919592541"/>
    <s v="24–26°C"/>
    <n v="2.6"/>
    <n v="2026"/>
    <x v="0"/>
    <n v="28"/>
    <n v="3"/>
    <n v="23"/>
    <n v="0.2"/>
    <n v="0.52"/>
    <x v="0"/>
  </r>
  <r>
    <d v="2026-01-29T00:00:00"/>
    <x v="4"/>
    <s v="R120"/>
    <n v="10"/>
    <n v="20"/>
    <n v="25.75436187300912"/>
    <s v="24–26°C"/>
    <n v="4.17"/>
    <n v="2026"/>
    <x v="0"/>
    <n v="29"/>
    <n v="4"/>
    <n v="0"/>
    <n v="0.5"/>
    <n v="0.41699999999999998"/>
    <x v="0"/>
  </r>
  <r>
    <d v="2026-01-29T01:00:00"/>
    <x v="1"/>
    <s v="R102"/>
    <n v="11"/>
    <n v="25"/>
    <n v="23.098656331589691"/>
    <s v="22–24°C"/>
    <n v="3.93"/>
    <n v="2026"/>
    <x v="0"/>
    <n v="29"/>
    <n v="4"/>
    <n v="1"/>
    <n v="0.44"/>
    <n v="0.3572727272727273"/>
    <x v="0"/>
  </r>
  <r>
    <d v="2026-01-29T02:00:00"/>
    <x v="0"/>
    <s v="R101"/>
    <n v="8"/>
    <n v="25"/>
    <n v="22.317380307580301"/>
    <s v="22–24°C"/>
    <n v="3.01"/>
    <n v="2026"/>
    <x v="0"/>
    <n v="29"/>
    <n v="4"/>
    <n v="2"/>
    <n v="0.32"/>
    <n v="0.37624999999999997"/>
    <x v="0"/>
  </r>
  <r>
    <d v="2026-01-29T03:00:00"/>
    <x v="0"/>
    <s v="R107"/>
    <n v="11"/>
    <n v="25"/>
    <n v="23.110085114562089"/>
    <s v="22–24°C"/>
    <n v="3.57"/>
    <n v="2026"/>
    <x v="0"/>
    <n v="29"/>
    <n v="4"/>
    <n v="3"/>
    <n v="0.44"/>
    <n v="0.32454545454545453"/>
    <x v="0"/>
  </r>
  <r>
    <d v="2026-01-29T04:00:00"/>
    <x v="3"/>
    <s v="R118"/>
    <n v="7"/>
    <n v="30"/>
    <n v="22.72894746204226"/>
    <s v="22–24°C"/>
    <n v="2.89"/>
    <n v="2026"/>
    <x v="0"/>
    <n v="29"/>
    <n v="4"/>
    <n v="4"/>
    <n v="0.23333333333333334"/>
    <n v="0.41285714285714287"/>
    <x v="0"/>
  </r>
  <r>
    <d v="2026-01-29T05:00:00"/>
    <x v="3"/>
    <s v="R114"/>
    <n v="6"/>
    <n v="20"/>
    <n v="22.674592596861821"/>
    <s v="22–24°C"/>
    <n v="2.14"/>
    <n v="2026"/>
    <x v="0"/>
    <n v="29"/>
    <n v="4"/>
    <n v="5"/>
    <n v="0.3"/>
    <n v="0.35666666666666669"/>
    <x v="0"/>
  </r>
  <r>
    <d v="2026-01-29T06:00:00"/>
    <x v="0"/>
    <s v="R115"/>
    <n v="4"/>
    <n v="40"/>
    <n v="24.412461949534141"/>
    <s v="24–26°C"/>
    <n v="2.23"/>
    <n v="2026"/>
    <x v="0"/>
    <n v="29"/>
    <n v="4"/>
    <n v="6"/>
    <n v="0.1"/>
    <n v="0.5575"/>
    <x v="0"/>
  </r>
  <r>
    <d v="2026-01-29T07:00:00"/>
    <x v="3"/>
    <s v="R102"/>
    <n v="6"/>
    <n v="20"/>
    <n v="27.675655490776599"/>
    <s v="26–28°C"/>
    <n v="2.89"/>
    <n v="2026"/>
    <x v="0"/>
    <n v="29"/>
    <n v="4"/>
    <n v="7"/>
    <n v="0.3"/>
    <n v="0.48166666666666669"/>
    <x v="1"/>
  </r>
  <r>
    <d v="2026-01-29T08:00:00"/>
    <x v="1"/>
    <s v="R120"/>
    <n v="7"/>
    <n v="30"/>
    <n v="24.644700941791509"/>
    <s v="24–26°C"/>
    <n v="2.7"/>
    <n v="2026"/>
    <x v="0"/>
    <n v="29"/>
    <n v="4"/>
    <n v="8"/>
    <n v="0.23333333333333334"/>
    <n v="0.38571428571428573"/>
    <x v="1"/>
  </r>
  <r>
    <d v="2026-01-29T09:00:00"/>
    <x v="2"/>
    <s v="R117"/>
    <n v="9"/>
    <n v="40"/>
    <n v="21.367690021943911"/>
    <s v="20–22°C"/>
    <n v="2.71"/>
    <n v="2026"/>
    <x v="0"/>
    <n v="29"/>
    <n v="4"/>
    <n v="9"/>
    <n v="0.22500000000000001"/>
    <n v="0.30111111111111111"/>
    <x v="1"/>
  </r>
  <r>
    <d v="2026-01-29T10:00:00"/>
    <x v="4"/>
    <s v="R114"/>
    <n v="7"/>
    <n v="40"/>
    <n v="25.179809918181661"/>
    <s v="24–26°C"/>
    <n v="2.86"/>
    <n v="2026"/>
    <x v="0"/>
    <n v="29"/>
    <n v="4"/>
    <n v="10"/>
    <n v="0.17499999999999999"/>
    <n v="0.40857142857142853"/>
    <x v="1"/>
  </r>
  <r>
    <d v="2026-01-29T11:00:00"/>
    <x v="0"/>
    <s v="R104"/>
    <n v="5"/>
    <n v="20"/>
    <n v="22.966863180354959"/>
    <s v="22–24°C"/>
    <n v="2.4"/>
    <n v="2026"/>
    <x v="0"/>
    <n v="29"/>
    <n v="4"/>
    <n v="11"/>
    <n v="0.25"/>
    <n v="0.48"/>
    <x v="1"/>
  </r>
  <r>
    <d v="2026-01-29T12:00:00"/>
    <x v="3"/>
    <s v="R101"/>
    <n v="6"/>
    <n v="30"/>
    <n v="25.58109645153592"/>
    <s v="24–26°C"/>
    <n v="3.1"/>
    <n v="2026"/>
    <x v="0"/>
    <n v="29"/>
    <n v="4"/>
    <n v="12"/>
    <n v="0.2"/>
    <n v="0.51666666666666672"/>
    <x v="2"/>
  </r>
  <r>
    <d v="2026-01-29T13:00:00"/>
    <x v="1"/>
    <s v="R101"/>
    <n v="2"/>
    <n v="20"/>
    <n v="21.45394058079459"/>
    <s v="20–22°C"/>
    <n v="1.1200000000000001"/>
    <n v="2026"/>
    <x v="0"/>
    <n v="29"/>
    <n v="4"/>
    <n v="13"/>
    <n v="0.1"/>
    <n v="0.56000000000000005"/>
    <x v="2"/>
  </r>
  <r>
    <d v="2026-01-29T14:00:00"/>
    <x v="2"/>
    <s v="R116"/>
    <n v="4"/>
    <n v="30"/>
    <n v="23.632136284803259"/>
    <s v="22–24°C"/>
    <n v="1.88"/>
    <n v="2026"/>
    <x v="0"/>
    <n v="29"/>
    <n v="4"/>
    <n v="14"/>
    <n v="0.13333333333333333"/>
    <n v="0.47"/>
    <x v="2"/>
  </r>
  <r>
    <d v="2026-01-29T15:00:00"/>
    <x v="0"/>
    <s v="R114"/>
    <n v="4"/>
    <n v="25"/>
    <n v="22.682924615167089"/>
    <s v="22–24°C"/>
    <n v="1.63"/>
    <n v="2026"/>
    <x v="0"/>
    <n v="29"/>
    <n v="4"/>
    <n v="15"/>
    <n v="0.16"/>
    <n v="0.40749999999999997"/>
    <x v="2"/>
  </r>
  <r>
    <d v="2026-01-29T16:00:00"/>
    <x v="1"/>
    <s v="R104"/>
    <n v="10"/>
    <n v="30"/>
    <n v="24.422384906843149"/>
    <s v="24–26°C"/>
    <n v="3.09"/>
    <n v="2026"/>
    <x v="0"/>
    <n v="29"/>
    <n v="4"/>
    <n v="16"/>
    <n v="0.33333333333333331"/>
    <n v="0.309"/>
    <x v="2"/>
  </r>
  <r>
    <d v="2026-01-29T17:00:00"/>
    <x v="2"/>
    <s v="R110"/>
    <n v="5"/>
    <n v="30"/>
    <n v="27.47670632354172"/>
    <s v="26–28°C"/>
    <n v="2.59"/>
    <n v="2026"/>
    <x v="0"/>
    <n v="29"/>
    <n v="4"/>
    <n v="17"/>
    <n v="0.16666666666666666"/>
    <n v="0.51800000000000002"/>
    <x v="3"/>
  </r>
  <r>
    <d v="2026-01-29T18:00:00"/>
    <x v="3"/>
    <s v="R103"/>
    <n v="11"/>
    <n v="25"/>
    <n v="24.962767984550069"/>
    <s v="24–26°C"/>
    <n v="4.2"/>
    <n v="2026"/>
    <x v="0"/>
    <n v="29"/>
    <n v="4"/>
    <n v="18"/>
    <n v="0.44"/>
    <n v="0.38181818181818183"/>
    <x v="3"/>
  </r>
  <r>
    <d v="2026-01-29T19:00:00"/>
    <x v="0"/>
    <s v="R110"/>
    <n v="6"/>
    <n v="20"/>
    <n v="21.895477495774781"/>
    <s v="20–22°C"/>
    <n v="1.99"/>
    <n v="2026"/>
    <x v="0"/>
    <n v="29"/>
    <n v="4"/>
    <n v="19"/>
    <n v="0.3"/>
    <n v="0.33166666666666667"/>
    <x v="3"/>
  </r>
  <r>
    <d v="2026-01-29T20:00:00"/>
    <x v="4"/>
    <s v="R108"/>
    <n v="3"/>
    <n v="30"/>
    <n v="27.58382253363737"/>
    <s v="26–28°C"/>
    <n v="2.95"/>
    <n v="2026"/>
    <x v="0"/>
    <n v="29"/>
    <n v="4"/>
    <n v="20"/>
    <n v="0.1"/>
    <n v="0.98333333333333339"/>
    <x v="3"/>
  </r>
  <r>
    <d v="2026-01-29T21:00:00"/>
    <x v="1"/>
    <s v="R107"/>
    <n v="5"/>
    <n v="20"/>
    <n v="24.96770468721229"/>
    <s v="24–26°C"/>
    <n v="2.5299999999999998"/>
    <n v="2026"/>
    <x v="0"/>
    <n v="29"/>
    <n v="4"/>
    <n v="21"/>
    <n v="0.25"/>
    <n v="0.50600000000000001"/>
    <x v="0"/>
  </r>
  <r>
    <d v="2026-01-29T22:00:00"/>
    <x v="1"/>
    <s v="R102"/>
    <n v="6"/>
    <n v="25"/>
    <n v="25.84316571334535"/>
    <s v="24–26°C"/>
    <n v="2.88"/>
    <n v="2026"/>
    <x v="0"/>
    <n v="29"/>
    <n v="4"/>
    <n v="22"/>
    <n v="0.24"/>
    <n v="0.48"/>
    <x v="0"/>
  </r>
  <r>
    <d v="2026-01-29T23:00:00"/>
    <x v="2"/>
    <s v="R109"/>
    <n v="11"/>
    <n v="40"/>
    <n v="22.08700540306328"/>
    <s v="22–24°C"/>
    <n v="3.95"/>
    <n v="2026"/>
    <x v="0"/>
    <n v="29"/>
    <n v="4"/>
    <n v="23"/>
    <n v="0.27500000000000002"/>
    <n v="0.35909090909090913"/>
    <x v="0"/>
  </r>
  <r>
    <d v="2026-01-30T00:00:00"/>
    <x v="3"/>
    <s v="R119"/>
    <n v="5"/>
    <n v="30"/>
    <n v="24.583308412187051"/>
    <s v="24–26°C"/>
    <n v="2.1"/>
    <n v="2026"/>
    <x v="0"/>
    <n v="30"/>
    <n v="5"/>
    <n v="0"/>
    <n v="0.16666666666666666"/>
    <n v="0.42000000000000004"/>
    <x v="0"/>
  </r>
  <r>
    <d v="2026-01-30T01:00:00"/>
    <x v="4"/>
    <s v="R111"/>
    <n v="6"/>
    <n v="30"/>
    <n v="21.790186472143649"/>
    <s v="20–22°C"/>
    <n v="2.48"/>
    <n v="2026"/>
    <x v="0"/>
    <n v="30"/>
    <n v="5"/>
    <n v="1"/>
    <n v="0.2"/>
    <n v="0.41333333333333333"/>
    <x v="0"/>
  </r>
  <r>
    <d v="2026-01-30T02:00:00"/>
    <x v="0"/>
    <s v="R119"/>
    <n v="9"/>
    <n v="25"/>
    <n v="25.779528267892712"/>
    <s v="24–26°C"/>
    <n v="3.21"/>
    <n v="2026"/>
    <x v="0"/>
    <n v="30"/>
    <n v="5"/>
    <n v="2"/>
    <n v="0.36"/>
    <n v="0.35666666666666669"/>
    <x v="0"/>
  </r>
  <r>
    <d v="2026-01-30T03:00:00"/>
    <x v="3"/>
    <s v="R116"/>
    <n v="9"/>
    <n v="30"/>
    <n v="21.799228614257789"/>
    <s v="20–22°C"/>
    <n v="3.12"/>
    <n v="2026"/>
    <x v="0"/>
    <n v="30"/>
    <n v="5"/>
    <n v="3"/>
    <n v="0.3"/>
    <n v="0.34666666666666668"/>
    <x v="0"/>
  </r>
  <r>
    <d v="2026-01-30T04:00:00"/>
    <x v="2"/>
    <s v="R112"/>
    <n v="8"/>
    <n v="25"/>
    <n v="27.783839864239031"/>
    <s v="26–28°C"/>
    <n v="3.44"/>
    <n v="2026"/>
    <x v="0"/>
    <n v="30"/>
    <n v="5"/>
    <n v="4"/>
    <n v="0.32"/>
    <n v="0.43"/>
    <x v="0"/>
  </r>
  <r>
    <d v="2026-01-30T05:00:00"/>
    <x v="0"/>
    <s v="R109"/>
    <n v="2"/>
    <n v="20"/>
    <n v="24.820431567329489"/>
    <s v="24–26°C"/>
    <n v="1.67"/>
    <n v="2026"/>
    <x v="0"/>
    <n v="30"/>
    <n v="5"/>
    <n v="5"/>
    <n v="0.1"/>
    <n v="0.83499999999999996"/>
    <x v="0"/>
  </r>
  <r>
    <d v="2026-01-30T06:00:00"/>
    <x v="2"/>
    <s v="R119"/>
    <n v="11"/>
    <n v="40"/>
    <n v="20.919602578089059"/>
    <s v="20–22°C"/>
    <n v="3.92"/>
    <n v="2026"/>
    <x v="0"/>
    <n v="30"/>
    <n v="5"/>
    <n v="6"/>
    <n v="0.27500000000000002"/>
    <n v="0.35636363636363638"/>
    <x v="0"/>
  </r>
  <r>
    <d v="2026-01-30T07:00:00"/>
    <x v="2"/>
    <s v="R114"/>
    <n v="10"/>
    <n v="20"/>
    <n v="21.258891288707691"/>
    <s v="20–22°C"/>
    <n v="3.21"/>
    <n v="2026"/>
    <x v="0"/>
    <n v="30"/>
    <n v="5"/>
    <n v="7"/>
    <n v="0.5"/>
    <n v="0.32100000000000001"/>
    <x v="1"/>
  </r>
  <r>
    <d v="2026-01-30T08:00:00"/>
    <x v="1"/>
    <s v="R111"/>
    <n v="9"/>
    <n v="30"/>
    <n v="24.72236907552756"/>
    <s v="24–26°C"/>
    <n v="3.13"/>
    <n v="2026"/>
    <x v="0"/>
    <n v="30"/>
    <n v="5"/>
    <n v="8"/>
    <n v="0.3"/>
    <n v="0.34777777777777774"/>
    <x v="1"/>
  </r>
  <r>
    <d v="2026-01-30T09:00:00"/>
    <x v="4"/>
    <s v="R119"/>
    <n v="8"/>
    <n v="20"/>
    <n v="24.91460964518706"/>
    <s v="24–26°C"/>
    <n v="3.21"/>
    <n v="2026"/>
    <x v="0"/>
    <n v="30"/>
    <n v="5"/>
    <n v="9"/>
    <n v="0.4"/>
    <n v="0.40125"/>
    <x v="1"/>
  </r>
  <r>
    <d v="2026-01-30T10:00:00"/>
    <x v="0"/>
    <s v="R119"/>
    <n v="11"/>
    <n v="20"/>
    <n v="22.11347307036419"/>
    <s v="22–24°C"/>
    <n v="3.48"/>
    <n v="2026"/>
    <x v="0"/>
    <n v="30"/>
    <n v="5"/>
    <n v="10"/>
    <n v="0.55000000000000004"/>
    <n v="0.31636363636363635"/>
    <x v="1"/>
  </r>
  <r>
    <d v="2026-01-30T11:00:00"/>
    <x v="3"/>
    <s v="R104"/>
    <n v="8"/>
    <n v="30"/>
    <n v="22.13591237151045"/>
    <s v="22–24°C"/>
    <n v="3.36"/>
    <n v="2026"/>
    <x v="0"/>
    <n v="30"/>
    <n v="5"/>
    <n v="11"/>
    <n v="0.26666666666666666"/>
    <n v="0.42"/>
    <x v="1"/>
  </r>
  <r>
    <d v="2026-01-30T12:00:00"/>
    <x v="3"/>
    <s v="R116"/>
    <n v="4"/>
    <n v="30"/>
    <n v="22.712680940205761"/>
    <s v="22–24°C"/>
    <n v="1.86"/>
    <n v="2026"/>
    <x v="0"/>
    <n v="30"/>
    <n v="5"/>
    <n v="12"/>
    <n v="0.13333333333333333"/>
    <n v="0.46500000000000002"/>
    <x v="2"/>
  </r>
  <r>
    <d v="2026-01-30T13:00:00"/>
    <x v="1"/>
    <s v="R116"/>
    <n v="11"/>
    <n v="20"/>
    <n v="18.845760292452251"/>
    <s v="18–20°C"/>
    <n v="3.95"/>
    <n v="2026"/>
    <x v="0"/>
    <n v="30"/>
    <n v="5"/>
    <n v="13"/>
    <n v="0.55000000000000004"/>
    <n v="0.35909090909090913"/>
    <x v="2"/>
  </r>
  <r>
    <d v="2026-01-30T14:00:00"/>
    <x v="2"/>
    <s v="R105"/>
    <n v="11"/>
    <n v="30"/>
    <n v="21.35824215518063"/>
    <s v="20–22°C"/>
    <n v="3.52"/>
    <n v="2026"/>
    <x v="0"/>
    <n v="30"/>
    <n v="5"/>
    <n v="14"/>
    <n v="0.36666666666666664"/>
    <n v="0.32"/>
    <x v="2"/>
  </r>
  <r>
    <d v="2026-01-30T15:00:00"/>
    <x v="1"/>
    <s v="R112"/>
    <n v="7"/>
    <n v="20"/>
    <n v="22.656652692150431"/>
    <s v="22–24°C"/>
    <n v="2.98"/>
    <n v="2026"/>
    <x v="0"/>
    <n v="30"/>
    <n v="5"/>
    <n v="15"/>
    <n v="0.35"/>
    <n v="0.42571428571428571"/>
    <x v="2"/>
  </r>
  <r>
    <d v="2026-01-30T16:00:00"/>
    <x v="0"/>
    <s v="R103"/>
    <n v="11"/>
    <n v="25"/>
    <n v="23.878905380915981"/>
    <s v="22–24°C"/>
    <n v="4.21"/>
    <n v="2026"/>
    <x v="0"/>
    <n v="30"/>
    <n v="5"/>
    <n v="16"/>
    <n v="0.44"/>
    <n v="0.38272727272727275"/>
    <x v="2"/>
  </r>
  <r>
    <d v="2026-01-30T17:00:00"/>
    <x v="0"/>
    <s v="R104"/>
    <n v="11"/>
    <n v="30"/>
    <n v="23.233660348344369"/>
    <s v="22–24°C"/>
    <n v="3.35"/>
    <n v="2026"/>
    <x v="0"/>
    <n v="30"/>
    <n v="5"/>
    <n v="17"/>
    <n v="0.36666666666666664"/>
    <n v="0.30454545454545456"/>
    <x v="3"/>
  </r>
  <r>
    <d v="2026-01-30T18:00:00"/>
    <x v="4"/>
    <s v="R118"/>
    <n v="5"/>
    <n v="30"/>
    <n v="22.268645834938962"/>
    <s v="22–24°C"/>
    <n v="2.2400000000000002"/>
    <n v="2026"/>
    <x v="0"/>
    <n v="30"/>
    <n v="5"/>
    <n v="18"/>
    <n v="0.16666666666666666"/>
    <n v="0.44800000000000006"/>
    <x v="3"/>
  </r>
  <r>
    <d v="2026-01-30T19:00:00"/>
    <x v="4"/>
    <s v="R108"/>
    <n v="10"/>
    <n v="25"/>
    <n v="24.93208159611472"/>
    <s v="24–26°C"/>
    <n v="4.1500000000000004"/>
    <n v="2026"/>
    <x v="0"/>
    <n v="30"/>
    <n v="5"/>
    <n v="19"/>
    <n v="0.4"/>
    <n v="0.41500000000000004"/>
    <x v="3"/>
  </r>
  <r>
    <d v="2026-01-30T20:00:00"/>
    <x v="0"/>
    <s v="R109"/>
    <n v="6"/>
    <n v="40"/>
    <n v="25.605180793572458"/>
    <s v="24–26°C"/>
    <n v="2.88"/>
    <n v="2026"/>
    <x v="0"/>
    <n v="30"/>
    <n v="5"/>
    <n v="20"/>
    <n v="0.15"/>
    <n v="0.48"/>
    <x v="3"/>
  </r>
  <r>
    <d v="2026-01-30T21:00:00"/>
    <x v="1"/>
    <s v="R101"/>
    <n v="9"/>
    <n v="30"/>
    <n v="21.742659505938281"/>
    <s v="20–22°C"/>
    <n v="2.2999999999999998"/>
    <n v="2026"/>
    <x v="0"/>
    <n v="30"/>
    <n v="5"/>
    <n v="21"/>
    <n v="0.3"/>
    <n v="0.25555555555555554"/>
    <x v="0"/>
  </r>
  <r>
    <d v="2026-01-30T22:00:00"/>
    <x v="0"/>
    <s v="R112"/>
    <n v="7"/>
    <n v="40"/>
    <n v="19.200659438282241"/>
    <s v="18–20°C"/>
    <n v="2.93"/>
    <n v="2026"/>
    <x v="0"/>
    <n v="30"/>
    <n v="5"/>
    <n v="22"/>
    <n v="0.17499999999999999"/>
    <n v="0.41857142857142859"/>
    <x v="0"/>
  </r>
  <r>
    <d v="2026-01-30T23:00:00"/>
    <x v="4"/>
    <s v="R115"/>
    <n v="5"/>
    <n v="20"/>
    <n v="21.467909595199199"/>
    <s v="20–22°C"/>
    <n v="1.99"/>
    <n v="2026"/>
    <x v="0"/>
    <n v="30"/>
    <n v="5"/>
    <n v="23"/>
    <n v="0.25"/>
    <n v="0.39800000000000002"/>
    <x v="0"/>
  </r>
  <r>
    <d v="2026-01-31T00:00:00"/>
    <x v="1"/>
    <s v="R120"/>
    <n v="9"/>
    <n v="25"/>
    <n v="20.636036007863559"/>
    <s v="20–22°C"/>
    <n v="3.55"/>
    <n v="2026"/>
    <x v="0"/>
    <n v="31"/>
    <n v="6"/>
    <n v="0"/>
    <n v="0.36"/>
    <n v="0.39444444444444443"/>
    <x v="0"/>
  </r>
  <r>
    <d v="2026-01-31T01:00:00"/>
    <x v="0"/>
    <s v="R104"/>
    <n v="7"/>
    <n v="30"/>
    <n v="21.300558157044609"/>
    <s v="20–22°C"/>
    <n v="2.5099999999999998"/>
    <n v="2026"/>
    <x v="0"/>
    <n v="31"/>
    <n v="6"/>
    <n v="1"/>
    <n v="0.23333333333333334"/>
    <n v="0.35857142857142854"/>
    <x v="0"/>
  </r>
  <r>
    <d v="2026-01-31T02:00:00"/>
    <x v="1"/>
    <s v="R107"/>
    <n v="5"/>
    <n v="30"/>
    <n v="19.34063636958383"/>
    <s v="18–20°C"/>
    <n v="2.63"/>
    <n v="2026"/>
    <x v="0"/>
    <n v="31"/>
    <n v="6"/>
    <n v="2"/>
    <n v="0.16666666666666666"/>
    <n v="0.52600000000000002"/>
    <x v="0"/>
  </r>
  <r>
    <d v="2026-01-31T03:00:00"/>
    <x v="3"/>
    <s v="R113"/>
    <n v="8"/>
    <n v="20"/>
    <n v="23.47552232918979"/>
    <s v="22–24°C"/>
    <n v="2.72"/>
    <n v="2026"/>
    <x v="0"/>
    <n v="31"/>
    <n v="6"/>
    <n v="3"/>
    <n v="0.4"/>
    <n v="0.34"/>
    <x v="0"/>
  </r>
  <r>
    <d v="2026-01-31T04:00:00"/>
    <x v="0"/>
    <s v="R107"/>
    <n v="10"/>
    <n v="30"/>
    <n v="24.99453113531775"/>
    <s v="24–26°C"/>
    <n v="4.0999999999999996"/>
    <n v="2026"/>
    <x v="0"/>
    <n v="31"/>
    <n v="6"/>
    <n v="4"/>
    <n v="0.33333333333333331"/>
    <n v="0.41"/>
    <x v="0"/>
  </r>
  <r>
    <d v="2026-01-31T05:00:00"/>
    <x v="2"/>
    <s v="R111"/>
    <n v="5"/>
    <n v="40"/>
    <n v="25.130752544519201"/>
    <s v="24–26°C"/>
    <n v="2.44"/>
    <n v="2026"/>
    <x v="0"/>
    <n v="31"/>
    <n v="6"/>
    <n v="5"/>
    <n v="0.125"/>
    <n v="0.48799999999999999"/>
    <x v="0"/>
  </r>
  <r>
    <d v="2026-01-31T06:00:00"/>
    <x v="2"/>
    <s v="R113"/>
    <n v="7"/>
    <n v="20"/>
    <n v="20.55355953987614"/>
    <s v="20–22°C"/>
    <n v="3.19"/>
    <n v="2026"/>
    <x v="0"/>
    <n v="31"/>
    <n v="6"/>
    <n v="6"/>
    <n v="0.35"/>
    <n v="0.45571428571428568"/>
    <x v="0"/>
  </r>
  <r>
    <d v="2026-01-31T07:00:00"/>
    <x v="1"/>
    <s v="R105"/>
    <n v="7"/>
    <n v="40"/>
    <n v="17.59330390578528"/>
    <s v="16–18°C"/>
    <n v="3.31"/>
    <n v="2026"/>
    <x v="0"/>
    <n v="31"/>
    <n v="6"/>
    <n v="7"/>
    <n v="0.17499999999999999"/>
    <n v="0.47285714285714286"/>
    <x v="1"/>
  </r>
  <r>
    <d v="2026-01-31T08:00:00"/>
    <x v="3"/>
    <s v="R117"/>
    <n v="8"/>
    <n v="25"/>
    <n v="24.002342528977341"/>
    <s v="24–26°C"/>
    <n v="3.1"/>
    <n v="2026"/>
    <x v="0"/>
    <n v="31"/>
    <n v="6"/>
    <n v="8"/>
    <n v="0.32"/>
    <n v="0.38750000000000001"/>
    <x v="1"/>
  </r>
  <r>
    <d v="2026-01-31T09:00:00"/>
    <x v="4"/>
    <s v="R118"/>
    <n v="7"/>
    <n v="20"/>
    <n v="23.967557668005551"/>
    <s v="22–24°C"/>
    <n v="3.01"/>
    <n v="2026"/>
    <x v="0"/>
    <n v="31"/>
    <n v="6"/>
    <n v="9"/>
    <n v="0.35"/>
    <n v="0.43"/>
    <x v="1"/>
  </r>
  <r>
    <d v="2026-01-31T10:00:00"/>
    <x v="4"/>
    <s v="R101"/>
    <n v="4"/>
    <n v="20"/>
    <n v="21.966771602479781"/>
    <s v="20–22°C"/>
    <n v="1.5"/>
    <n v="2026"/>
    <x v="0"/>
    <n v="31"/>
    <n v="6"/>
    <n v="10"/>
    <n v="0.2"/>
    <n v="0.375"/>
    <x v="1"/>
  </r>
  <r>
    <d v="2026-01-31T11:00:00"/>
    <x v="4"/>
    <s v="R105"/>
    <n v="6"/>
    <n v="40"/>
    <n v="24.47881897723293"/>
    <s v="24–26°C"/>
    <n v="2.5499999999999998"/>
    <n v="2026"/>
    <x v="0"/>
    <n v="31"/>
    <n v="6"/>
    <n v="11"/>
    <n v="0.15"/>
    <n v="0.42499999999999999"/>
    <x v="1"/>
  </r>
  <r>
    <d v="2026-01-31T12:00:00"/>
    <x v="1"/>
    <s v="R115"/>
    <n v="7"/>
    <n v="40"/>
    <n v="22.720402161978502"/>
    <s v="22–24°C"/>
    <n v="2.69"/>
    <n v="2026"/>
    <x v="0"/>
    <n v="31"/>
    <n v="6"/>
    <n v="12"/>
    <n v="0.17499999999999999"/>
    <n v="0.38428571428571429"/>
    <x v="2"/>
  </r>
  <r>
    <d v="2026-01-31T13:00:00"/>
    <x v="2"/>
    <s v="R108"/>
    <n v="15"/>
    <n v="40"/>
    <n v="24.00652045305101"/>
    <s v="24–26°C"/>
    <n v="4.84"/>
    <n v="2026"/>
    <x v="0"/>
    <n v="31"/>
    <n v="6"/>
    <n v="13"/>
    <n v="0.375"/>
    <n v="0.32266666666666666"/>
    <x v="2"/>
  </r>
  <r>
    <d v="2026-01-31T14:00:00"/>
    <x v="0"/>
    <s v="R113"/>
    <n v="6"/>
    <n v="25"/>
    <n v="23.317512101875089"/>
    <s v="22–24°C"/>
    <n v="2.84"/>
    <n v="2026"/>
    <x v="0"/>
    <n v="31"/>
    <n v="6"/>
    <n v="14"/>
    <n v="0.24"/>
    <n v="0.47333333333333333"/>
    <x v="2"/>
  </r>
  <r>
    <d v="2026-01-31T15:00:00"/>
    <x v="4"/>
    <s v="R106"/>
    <n v="5"/>
    <n v="30"/>
    <n v="22.424187846264161"/>
    <s v="22–24°C"/>
    <n v="2.19"/>
    <n v="2026"/>
    <x v="0"/>
    <n v="31"/>
    <n v="6"/>
    <n v="15"/>
    <n v="0.16666666666666666"/>
    <n v="0.438"/>
    <x v="2"/>
  </r>
  <r>
    <d v="2026-01-31T16:00:00"/>
    <x v="1"/>
    <s v="R102"/>
    <n v="8"/>
    <n v="30"/>
    <n v="18.931502280978151"/>
    <s v="18–20°C"/>
    <n v="2.89"/>
    <n v="2026"/>
    <x v="0"/>
    <n v="31"/>
    <n v="6"/>
    <n v="16"/>
    <n v="0.26666666666666666"/>
    <n v="0.36125000000000002"/>
    <x v="2"/>
  </r>
  <r>
    <d v="2026-01-31T17:00:00"/>
    <x v="3"/>
    <s v="R106"/>
    <n v="8"/>
    <n v="25"/>
    <n v="24.825240645080878"/>
    <s v="24–26°C"/>
    <n v="3.35"/>
    <n v="2026"/>
    <x v="0"/>
    <n v="31"/>
    <n v="6"/>
    <n v="17"/>
    <n v="0.32"/>
    <n v="0.41875000000000001"/>
    <x v="3"/>
  </r>
  <r>
    <d v="2026-01-31T18:00:00"/>
    <x v="2"/>
    <s v="R118"/>
    <n v="7"/>
    <n v="30"/>
    <n v="24.363486817630282"/>
    <s v="24–26°C"/>
    <n v="3.19"/>
    <n v="2026"/>
    <x v="0"/>
    <n v="31"/>
    <n v="6"/>
    <n v="18"/>
    <n v="0.23333333333333334"/>
    <n v="0.45571428571428568"/>
    <x v="3"/>
  </r>
  <r>
    <d v="2026-01-31T19:00:00"/>
    <x v="0"/>
    <s v="R120"/>
    <n v="10"/>
    <n v="40"/>
    <n v="23.12205716711264"/>
    <s v="22–24°C"/>
    <n v="2.98"/>
    <n v="2026"/>
    <x v="0"/>
    <n v="31"/>
    <n v="6"/>
    <n v="19"/>
    <n v="0.25"/>
    <n v="0.29799999999999999"/>
    <x v="3"/>
  </r>
  <r>
    <d v="2026-01-31T20:00:00"/>
    <x v="1"/>
    <s v="R111"/>
    <n v="6"/>
    <n v="40"/>
    <n v="23.74706736682354"/>
    <s v="22–24°C"/>
    <n v="3"/>
    <n v="2026"/>
    <x v="0"/>
    <n v="31"/>
    <n v="6"/>
    <n v="20"/>
    <n v="0.15"/>
    <n v="0.5"/>
    <x v="3"/>
  </r>
  <r>
    <d v="2026-01-31T21:00:00"/>
    <x v="3"/>
    <s v="R108"/>
    <n v="5"/>
    <n v="40"/>
    <n v="22.213235404510691"/>
    <s v="22–24°C"/>
    <n v="1.85"/>
    <n v="2026"/>
    <x v="0"/>
    <n v="31"/>
    <n v="6"/>
    <n v="21"/>
    <n v="0.125"/>
    <n v="0.37"/>
    <x v="0"/>
  </r>
  <r>
    <d v="2026-01-31T22:00:00"/>
    <x v="3"/>
    <s v="R111"/>
    <n v="6"/>
    <n v="30"/>
    <n v="22.37117043326645"/>
    <s v="22–24°C"/>
    <n v="1.88"/>
    <n v="2026"/>
    <x v="0"/>
    <n v="31"/>
    <n v="6"/>
    <n v="22"/>
    <n v="0.2"/>
    <n v="0.3133333333333333"/>
    <x v="0"/>
  </r>
  <r>
    <d v="2026-01-31T23:00:00"/>
    <x v="2"/>
    <s v="R105"/>
    <n v="4"/>
    <n v="20"/>
    <n v="21.043384100355009"/>
    <s v="20–22°C"/>
    <n v="2.48"/>
    <n v="2026"/>
    <x v="0"/>
    <n v="31"/>
    <n v="6"/>
    <n v="23"/>
    <n v="0.2"/>
    <n v="0.62"/>
    <x v="0"/>
  </r>
  <r>
    <d v="2026-02-01T00:00:00"/>
    <x v="0"/>
    <s v="R110"/>
    <n v="8"/>
    <n v="25"/>
    <n v="24.303422153193829"/>
    <s v="24–26°C"/>
    <n v="3.12"/>
    <n v="2026"/>
    <x v="1"/>
    <n v="1"/>
    <n v="0"/>
    <n v="0"/>
    <n v="0.32"/>
    <n v="0.39"/>
    <x v="0"/>
  </r>
  <r>
    <d v="2026-02-01T01:00:00"/>
    <x v="1"/>
    <s v="R102"/>
    <n v="11"/>
    <n v="40"/>
    <n v="19.25205984863511"/>
    <s v="18–20°C"/>
    <n v="4.0199999999999996"/>
    <n v="2026"/>
    <x v="1"/>
    <n v="1"/>
    <n v="0"/>
    <n v="1"/>
    <n v="0.27500000000000002"/>
    <n v="0.36545454545454542"/>
    <x v="0"/>
  </r>
  <r>
    <d v="2026-02-01T02:00:00"/>
    <x v="1"/>
    <s v="R110"/>
    <n v="4"/>
    <n v="40"/>
    <n v="23.771499936363391"/>
    <s v="22–24°C"/>
    <n v="2.2799999999999998"/>
    <n v="2026"/>
    <x v="1"/>
    <n v="1"/>
    <n v="0"/>
    <n v="2"/>
    <n v="0.1"/>
    <n v="0.56999999999999995"/>
    <x v="0"/>
  </r>
  <r>
    <d v="2026-02-01T03:00:00"/>
    <x v="3"/>
    <s v="R105"/>
    <n v="4"/>
    <n v="30"/>
    <n v="23.287529286217168"/>
    <s v="22–24°C"/>
    <n v="1.97"/>
    <n v="2026"/>
    <x v="1"/>
    <n v="1"/>
    <n v="0"/>
    <n v="3"/>
    <n v="0.13333333333333333"/>
    <n v="0.49249999999999999"/>
    <x v="0"/>
  </r>
  <r>
    <d v="2026-02-01T04:00:00"/>
    <x v="1"/>
    <s v="R117"/>
    <n v="8"/>
    <n v="40"/>
    <n v="24.430348780256121"/>
    <s v="24–26°C"/>
    <n v="3.15"/>
    <n v="2026"/>
    <x v="1"/>
    <n v="1"/>
    <n v="0"/>
    <n v="4"/>
    <n v="0.2"/>
    <n v="0.39374999999999999"/>
    <x v="0"/>
  </r>
  <r>
    <d v="2026-02-01T05:00:00"/>
    <x v="1"/>
    <s v="R114"/>
    <n v="8"/>
    <n v="20"/>
    <n v="24.549160995463481"/>
    <s v="24–26°C"/>
    <n v="3.24"/>
    <n v="2026"/>
    <x v="1"/>
    <n v="1"/>
    <n v="0"/>
    <n v="5"/>
    <n v="0.4"/>
    <n v="0.40500000000000003"/>
    <x v="0"/>
  </r>
  <r>
    <d v="2026-02-01T06:00:00"/>
    <x v="4"/>
    <s v="R105"/>
    <n v="11"/>
    <n v="30"/>
    <n v="20.680758776920399"/>
    <s v="20–22°C"/>
    <n v="3.67"/>
    <n v="2026"/>
    <x v="1"/>
    <n v="1"/>
    <n v="0"/>
    <n v="6"/>
    <n v="0.36666666666666664"/>
    <n v="0.33363636363636362"/>
    <x v="0"/>
  </r>
  <r>
    <d v="2026-02-01T07:00:00"/>
    <x v="0"/>
    <s v="R115"/>
    <n v="8"/>
    <n v="40"/>
    <n v="25.86861933870415"/>
    <s v="24–26°C"/>
    <n v="3.47"/>
    <n v="2026"/>
    <x v="1"/>
    <n v="1"/>
    <n v="0"/>
    <n v="7"/>
    <n v="0.2"/>
    <n v="0.43375000000000002"/>
    <x v="1"/>
  </r>
  <r>
    <d v="2026-02-01T08:00:00"/>
    <x v="4"/>
    <s v="R103"/>
    <n v="12"/>
    <n v="40"/>
    <n v="20.236459515032891"/>
    <s v="20–22°C"/>
    <n v="3.6"/>
    <n v="2026"/>
    <x v="1"/>
    <n v="1"/>
    <n v="0"/>
    <n v="8"/>
    <n v="0.3"/>
    <n v="0.3"/>
    <x v="1"/>
  </r>
  <r>
    <d v="2026-02-01T09:00:00"/>
    <x v="3"/>
    <s v="R102"/>
    <n v="7"/>
    <n v="40"/>
    <n v="25.81142610203165"/>
    <s v="24–26°C"/>
    <n v="3.27"/>
    <n v="2026"/>
    <x v="1"/>
    <n v="1"/>
    <n v="0"/>
    <n v="9"/>
    <n v="0.17499999999999999"/>
    <n v="0.46714285714285714"/>
    <x v="1"/>
  </r>
  <r>
    <d v="2026-02-01T10:00:00"/>
    <x v="1"/>
    <s v="R113"/>
    <n v="12"/>
    <n v="25"/>
    <n v="20.997370691604061"/>
    <s v="20–22°C"/>
    <n v="3.67"/>
    <n v="2026"/>
    <x v="1"/>
    <n v="1"/>
    <n v="0"/>
    <n v="10"/>
    <n v="0.48"/>
    <n v="0.30583333333333335"/>
    <x v="1"/>
  </r>
  <r>
    <d v="2026-02-01T11:00:00"/>
    <x v="1"/>
    <s v="R116"/>
    <n v="5"/>
    <n v="30"/>
    <n v="24.78846554900187"/>
    <s v="24–26°C"/>
    <n v="2.2400000000000002"/>
    <n v="2026"/>
    <x v="1"/>
    <n v="1"/>
    <n v="0"/>
    <n v="11"/>
    <n v="0.16666666666666666"/>
    <n v="0.44800000000000006"/>
    <x v="1"/>
  </r>
  <r>
    <d v="2026-02-01T12:00:00"/>
    <x v="4"/>
    <s v="R109"/>
    <n v="9"/>
    <n v="25"/>
    <n v="24.63947943451619"/>
    <s v="24–26°C"/>
    <n v="3.39"/>
    <n v="2026"/>
    <x v="1"/>
    <n v="1"/>
    <n v="0"/>
    <n v="12"/>
    <n v="0.36"/>
    <n v="0.37666666666666671"/>
    <x v="2"/>
  </r>
  <r>
    <d v="2026-02-01T13:00:00"/>
    <x v="3"/>
    <s v="R107"/>
    <n v="11"/>
    <n v="20"/>
    <n v="20.806249841232031"/>
    <s v="20–22°C"/>
    <n v="3.98"/>
    <n v="2026"/>
    <x v="1"/>
    <n v="1"/>
    <n v="0"/>
    <n v="13"/>
    <n v="0.55000000000000004"/>
    <n v="0.36181818181818182"/>
    <x v="2"/>
  </r>
  <r>
    <d v="2026-02-01T14:00:00"/>
    <x v="3"/>
    <s v="R106"/>
    <n v="10"/>
    <n v="40"/>
    <n v="23.02127253669736"/>
    <s v="22–24°C"/>
    <n v="3.05"/>
    <n v="2026"/>
    <x v="1"/>
    <n v="1"/>
    <n v="0"/>
    <n v="14"/>
    <n v="0.25"/>
    <n v="0.30499999999999999"/>
    <x v="2"/>
  </r>
  <r>
    <d v="2026-02-01T15:00:00"/>
    <x v="1"/>
    <s v="R118"/>
    <n v="7"/>
    <n v="30"/>
    <n v="19.757983430847322"/>
    <s v="18–20°C"/>
    <n v="2.68"/>
    <n v="2026"/>
    <x v="1"/>
    <n v="1"/>
    <n v="0"/>
    <n v="15"/>
    <n v="0.23333333333333334"/>
    <n v="0.3828571428571429"/>
    <x v="2"/>
  </r>
  <r>
    <d v="2026-02-01T16:00:00"/>
    <x v="2"/>
    <s v="R110"/>
    <n v="11"/>
    <n v="25"/>
    <n v="23.518267310168682"/>
    <s v="22–24°C"/>
    <n v="3.63"/>
    <n v="2026"/>
    <x v="1"/>
    <n v="1"/>
    <n v="0"/>
    <n v="16"/>
    <n v="0.44"/>
    <n v="0.33"/>
    <x v="2"/>
  </r>
  <r>
    <d v="2026-02-01T17:00:00"/>
    <x v="4"/>
    <s v="R112"/>
    <n v="7"/>
    <n v="25"/>
    <n v="22.061740681351829"/>
    <s v="22–24°C"/>
    <n v="2.44"/>
    <n v="2026"/>
    <x v="1"/>
    <n v="1"/>
    <n v="0"/>
    <n v="17"/>
    <n v="0.28000000000000003"/>
    <n v="0.34857142857142859"/>
    <x v="3"/>
  </r>
  <r>
    <d v="2026-02-01T18:00:00"/>
    <x v="1"/>
    <s v="R116"/>
    <n v="8"/>
    <n v="25"/>
    <n v="24.4985651137589"/>
    <s v="24–26°C"/>
    <n v="3"/>
    <n v="2026"/>
    <x v="1"/>
    <n v="1"/>
    <n v="0"/>
    <n v="18"/>
    <n v="0.32"/>
    <n v="0.375"/>
    <x v="3"/>
  </r>
  <r>
    <d v="2026-02-01T19:00:00"/>
    <x v="2"/>
    <s v="R108"/>
    <n v="5"/>
    <n v="25"/>
    <n v="23.884633736328968"/>
    <s v="22–24°C"/>
    <n v="2.11"/>
    <n v="2026"/>
    <x v="1"/>
    <n v="1"/>
    <n v="0"/>
    <n v="19"/>
    <n v="0.2"/>
    <n v="0.42199999999999999"/>
    <x v="3"/>
  </r>
  <r>
    <d v="2026-02-01T20:00:00"/>
    <x v="3"/>
    <s v="R114"/>
    <n v="4"/>
    <n v="30"/>
    <n v="19.744204306835901"/>
    <s v="18–20°C"/>
    <n v="2.46"/>
    <n v="2026"/>
    <x v="1"/>
    <n v="1"/>
    <n v="0"/>
    <n v="20"/>
    <n v="0.13333333333333333"/>
    <n v="0.61499999999999999"/>
    <x v="3"/>
  </r>
  <r>
    <d v="2026-02-01T21:00:00"/>
    <x v="4"/>
    <s v="R116"/>
    <n v="5"/>
    <n v="30"/>
    <n v="20.503458980262391"/>
    <s v="20–22°C"/>
    <n v="2.5299999999999998"/>
    <n v="2026"/>
    <x v="1"/>
    <n v="1"/>
    <n v="0"/>
    <n v="21"/>
    <n v="0.16666666666666666"/>
    <n v="0.50600000000000001"/>
    <x v="0"/>
  </r>
  <r>
    <d v="2026-02-01T22:00:00"/>
    <x v="1"/>
    <s v="R113"/>
    <n v="9"/>
    <n v="40"/>
    <n v="21.42486426054781"/>
    <s v="20–22°C"/>
    <n v="2.87"/>
    <n v="2026"/>
    <x v="1"/>
    <n v="1"/>
    <n v="0"/>
    <n v="22"/>
    <n v="0.22500000000000001"/>
    <n v="0.31888888888888889"/>
    <x v="0"/>
  </r>
  <r>
    <d v="2026-02-01T23:00:00"/>
    <x v="0"/>
    <s v="R119"/>
    <n v="11"/>
    <n v="20"/>
    <n v="24.405451346542581"/>
    <s v="24–26°C"/>
    <n v="4.0199999999999996"/>
    <n v="2026"/>
    <x v="1"/>
    <n v="1"/>
    <n v="0"/>
    <n v="23"/>
    <n v="0.55000000000000004"/>
    <n v="0.36545454545454542"/>
    <x v="0"/>
  </r>
  <r>
    <d v="2026-02-02T00:00:00"/>
    <x v="3"/>
    <s v="R112"/>
    <n v="9"/>
    <n v="20"/>
    <n v="21.334657693962111"/>
    <s v="20–22°C"/>
    <n v="2.98"/>
    <n v="2026"/>
    <x v="1"/>
    <n v="2"/>
    <n v="1"/>
    <n v="0"/>
    <n v="0.45"/>
    <n v="0.33111111111111113"/>
    <x v="0"/>
  </r>
  <r>
    <d v="2026-02-02T01:00:00"/>
    <x v="1"/>
    <s v="R116"/>
    <n v="7"/>
    <n v="20"/>
    <n v="26.38366967504917"/>
    <s v="26–28°C"/>
    <n v="3.67"/>
    <n v="2026"/>
    <x v="1"/>
    <n v="2"/>
    <n v="1"/>
    <n v="1"/>
    <n v="0.35"/>
    <n v="0.52428571428571424"/>
    <x v="0"/>
  </r>
  <r>
    <d v="2026-02-02T02:00:00"/>
    <x v="4"/>
    <s v="R108"/>
    <n v="6"/>
    <n v="25"/>
    <n v="20.511027100222272"/>
    <s v="20–22°C"/>
    <n v="2.66"/>
    <n v="2026"/>
    <x v="1"/>
    <n v="2"/>
    <n v="1"/>
    <n v="2"/>
    <n v="0.24"/>
    <n v="0.44333333333333336"/>
    <x v="0"/>
  </r>
  <r>
    <d v="2026-02-02T03:00:00"/>
    <x v="3"/>
    <s v="R119"/>
    <n v="7"/>
    <n v="40"/>
    <n v="24.89361513302374"/>
    <s v="24–26°C"/>
    <n v="3"/>
    <n v="2026"/>
    <x v="1"/>
    <n v="2"/>
    <n v="1"/>
    <n v="3"/>
    <n v="0.17499999999999999"/>
    <n v="0.42857142857142855"/>
    <x v="0"/>
  </r>
  <r>
    <d v="2026-02-02T04:00:00"/>
    <x v="0"/>
    <s v="R111"/>
    <n v="6"/>
    <n v="40"/>
    <n v="23.78446135110913"/>
    <s v="22–24°C"/>
    <n v="2.0699999999999998"/>
    <n v="2026"/>
    <x v="1"/>
    <n v="2"/>
    <n v="1"/>
    <n v="4"/>
    <n v="0.15"/>
    <n v="0.34499999999999997"/>
    <x v="0"/>
  </r>
  <r>
    <d v="2026-02-02T05:00:00"/>
    <x v="4"/>
    <s v="R117"/>
    <n v="9"/>
    <n v="40"/>
    <n v="24.59360966611413"/>
    <s v="24–26°C"/>
    <n v="4.01"/>
    <n v="2026"/>
    <x v="1"/>
    <n v="2"/>
    <n v="1"/>
    <n v="5"/>
    <n v="0.22500000000000001"/>
    <n v="0.44555555555555554"/>
    <x v="0"/>
  </r>
  <r>
    <d v="2026-02-02T06:00:00"/>
    <x v="3"/>
    <s v="R114"/>
    <n v="7"/>
    <n v="25"/>
    <n v="22.007444933820601"/>
    <s v="22–24°C"/>
    <n v="3.07"/>
    <n v="2026"/>
    <x v="1"/>
    <n v="2"/>
    <n v="1"/>
    <n v="6"/>
    <n v="0.28000000000000003"/>
    <n v="0.43857142857142856"/>
    <x v="0"/>
  </r>
  <r>
    <d v="2026-02-02T07:00:00"/>
    <x v="4"/>
    <s v="R102"/>
    <n v="6"/>
    <n v="30"/>
    <n v="23.49496109528021"/>
    <s v="22–24°C"/>
    <n v="2.52"/>
    <n v="2026"/>
    <x v="1"/>
    <n v="2"/>
    <n v="1"/>
    <n v="7"/>
    <n v="0.2"/>
    <n v="0.42"/>
    <x v="1"/>
  </r>
  <r>
    <d v="2026-02-02T08:00:00"/>
    <x v="2"/>
    <s v="R113"/>
    <n v="6"/>
    <n v="25"/>
    <n v="25.211429151686591"/>
    <s v="24–26°C"/>
    <n v="2.69"/>
    <n v="2026"/>
    <x v="1"/>
    <n v="2"/>
    <n v="1"/>
    <n v="8"/>
    <n v="0.24"/>
    <n v="0.44833333333333331"/>
    <x v="1"/>
  </r>
  <r>
    <d v="2026-02-02T09:00:00"/>
    <x v="2"/>
    <s v="R111"/>
    <n v="9"/>
    <n v="30"/>
    <n v="25.019910993414161"/>
    <s v="24–26°C"/>
    <n v="3.1"/>
    <n v="2026"/>
    <x v="1"/>
    <n v="2"/>
    <n v="1"/>
    <n v="9"/>
    <n v="0.3"/>
    <n v="0.34444444444444444"/>
    <x v="1"/>
  </r>
  <r>
    <d v="2026-02-02T10:00:00"/>
    <x v="2"/>
    <s v="R104"/>
    <n v="8"/>
    <n v="40"/>
    <n v="28.333810444640019"/>
    <s v="28–30°C"/>
    <n v="3.78"/>
    <n v="2026"/>
    <x v="1"/>
    <n v="2"/>
    <n v="1"/>
    <n v="10"/>
    <n v="0.2"/>
    <n v="0.47249999999999998"/>
    <x v="1"/>
  </r>
  <r>
    <d v="2026-02-02T11:00:00"/>
    <x v="4"/>
    <s v="R105"/>
    <n v="6"/>
    <n v="40"/>
    <n v="23.460111223091001"/>
    <s v="22–24°C"/>
    <n v="2.56"/>
    <n v="2026"/>
    <x v="1"/>
    <n v="2"/>
    <n v="1"/>
    <n v="11"/>
    <n v="0.15"/>
    <n v="0.42666666666666669"/>
    <x v="1"/>
  </r>
  <r>
    <d v="2026-02-02T12:00:00"/>
    <x v="3"/>
    <s v="R113"/>
    <n v="5"/>
    <n v="30"/>
    <n v="22.625932742250559"/>
    <s v="22–24°C"/>
    <n v="2.73"/>
    <n v="2026"/>
    <x v="1"/>
    <n v="2"/>
    <n v="1"/>
    <n v="12"/>
    <n v="0.16666666666666666"/>
    <n v="0.54600000000000004"/>
    <x v="2"/>
  </r>
  <r>
    <d v="2026-02-02T13:00:00"/>
    <x v="2"/>
    <s v="R113"/>
    <n v="5"/>
    <n v="40"/>
    <n v="23.599391111102179"/>
    <s v="22–24°C"/>
    <n v="2.37"/>
    <n v="2026"/>
    <x v="1"/>
    <n v="2"/>
    <n v="1"/>
    <n v="13"/>
    <n v="0.125"/>
    <n v="0.47400000000000003"/>
    <x v="2"/>
  </r>
  <r>
    <d v="2026-02-02T14:00:00"/>
    <x v="3"/>
    <s v="R109"/>
    <n v="6"/>
    <n v="25"/>
    <n v="22.44622128846239"/>
    <s v="22–24°C"/>
    <n v="2.17"/>
    <n v="2026"/>
    <x v="1"/>
    <n v="2"/>
    <n v="1"/>
    <n v="14"/>
    <n v="0.24"/>
    <n v="0.36166666666666664"/>
    <x v="2"/>
  </r>
  <r>
    <d v="2026-02-02T15:00:00"/>
    <x v="0"/>
    <s v="R109"/>
    <n v="5"/>
    <n v="20"/>
    <n v="24.17615335033566"/>
    <s v="24–26°C"/>
    <n v="2.67"/>
    <n v="2026"/>
    <x v="1"/>
    <n v="2"/>
    <n v="1"/>
    <n v="15"/>
    <n v="0.25"/>
    <n v="0.53400000000000003"/>
    <x v="2"/>
  </r>
  <r>
    <d v="2026-02-02T16:00:00"/>
    <x v="1"/>
    <s v="R113"/>
    <n v="8"/>
    <n v="30"/>
    <n v="22.169910799124729"/>
    <s v="22–24°C"/>
    <n v="2.57"/>
    <n v="2026"/>
    <x v="1"/>
    <n v="2"/>
    <n v="1"/>
    <n v="16"/>
    <n v="0.26666666666666666"/>
    <n v="0.32124999999999998"/>
    <x v="2"/>
  </r>
  <r>
    <d v="2026-02-02T17:00:00"/>
    <x v="0"/>
    <s v="R113"/>
    <n v="15"/>
    <n v="40"/>
    <n v="27.4878425510061"/>
    <s v="26–28°C"/>
    <n v="4.5599999999999996"/>
    <n v="2026"/>
    <x v="1"/>
    <n v="2"/>
    <n v="1"/>
    <n v="17"/>
    <n v="0.375"/>
    <n v="0.30399999999999999"/>
    <x v="3"/>
  </r>
  <r>
    <d v="2026-02-02T18:00:00"/>
    <x v="4"/>
    <s v="R120"/>
    <n v="8"/>
    <n v="20"/>
    <n v="20.686117205541059"/>
    <s v="20–22°C"/>
    <n v="3.09"/>
    <n v="2026"/>
    <x v="1"/>
    <n v="2"/>
    <n v="1"/>
    <n v="18"/>
    <n v="0.4"/>
    <n v="0.38624999999999998"/>
    <x v="3"/>
  </r>
  <r>
    <d v="2026-02-02T19:00:00"/>
    <x v="2"/>
    <s v="R111"/>
    <n v="8"/>
    <n v="20"/>
    <n v="22.513843887841581"/>
    <s v="22–24°C"/>
    <n v="3.14"/>
    <n v="2026"/>
    <x v="1"/>
    <n v="2"/>
    <n v="1"/>
    <n v="19"/>
    <n v="0.4"/>
    <n v="0.39250000000000002"/>
    <x v="3"/>
  </r>
  <r>
    <d v="2026-02-02T20:00:00"/>
    <x v="0"/>
    <s v="R115"/>
    <n v="12"/>
    <n v="40"/>
    <n v="23.024339364565812"/>
    <s v="22–24°C"/>
    <n v="3.93"/>
    <n v="2026"/>
    <x v="1"/>
    <n v="2"/>
    <n v="1"/>
    <n v="20"/>
    <n v="0.3"/>
    <n v="0.32750000000000001"/>
    <x v="3"/>
  </r>
  <r>
    <d v="2026-02-02T21:00:00"/>
    <x v="2"/>
    <s v="R101"/>
    <n v="9"/>
    <n v="25"/>
    <n v="26.906214396545149"/>
    <s v="26–28°C"/>
    <n v="3.99"/>
    <n v="2026"/>
    <x v="1"/>
    <n v="2"/>
    <n v="1"/>
    <n v="21"/>
    <n v="0.36"/>
    <n v="0.44333333333333336"/>
    <x v="0"/>
  </r>
  <r>
    <d v="2026-02-02T22:00:00"/>
    <x v="2"/>
    <s v="R120"/>
    <n v="6"/>
    <n v="20"/>
    <n v="22.73599229429146"/>
    <s v="22–24°C"/>
    <n v="2.17"/>
    <n v="2026"/>
    <x v="1"/>
    <n v="2"/>
    <n v="1"/>
    <n v="22"/>
    <n v="0.3"/>
    <n v="0.36166666666666664"/>
    <x v="0"/>
  </r>
  <r>
    <d v="2026-02-02T23:00:00"/>
    <x v="2"/>
    <s v="R102"/>
    <n v="9"/>
    <n v="25"/>
    <n v="21.131691585900921"/>
    <s v="20–22°C"/>
    <n v="3.62"/>
    <n v="2026"/>
    <x v="1"/>
    <n v="2"/>
    <n v="1"/>
    <n v="23"/>
    <n v="0.36"/>
    <n v="0.40222222222222226"/>
    <x v="0"/>
  </r>
  <r>
    <d v="2026-02-03T00:00:00"/>
    <x v="4"/>
    <s v="R101"/>
    <n v="9"/>
    <n v="30"/>
    <n v="26.538674646801251"/>
    <s v="26–28°C"/>
    <n v="3.79"/>
    <n v="2026"/>
    <x v="1"/>
    <n v="3"/>
    <n v="2"/>
    <n v="0"/>
    <n v="0.3"/>
    <n v="0.4211111111111111"/>
    <x v="0"/>
  </r>
  <r>
    <d v="2026-02-03T01:00:00"/>
    <x v="3"/>
    <s v="R110"/>
    <n v="9"/>
    <n v="20"/>
    <n v="20.483960177467321"/>
    <s v="20–22°C"/>
    <n v="3.54"/>
    <n v="2026"/>
    <x v="1"/>
    <n v="3"/>
    <n v="2"/>
    <n v="1"/>
    <n v="0.45"/>
    <n v="0.39333333333333331"/>
    <x v="0"/>
  </r>
  <r>
    <d v="2026-02-03T02:00:00"/>
    <x v="2"/>
    <s v="R114"/>
    <n v="9"/>
    <n v="20"/>
    <n v="21.192288916095329"/>
    <s v="20–22°C"/>
    <n v="3.59"/>
    <n v="2026"/>
    <x v="1"/>
    <n v="3"/>
    <n v="2"/>
    <n v="2"/>
    <n v="0.45"/>
    <n v="0.39888888888888885"/>
    <x v="0"/>
  </r>
  <r>
    <d v="2026-02-03T03:00:00"/>
    <x v="2"/>
    <s v="R120"/>
    <n v="8"/>
    <n v="25"/>
    <n v="22.044320298592421"/>
    <s v="22–24°C"/>
    <n v="2.79"/>
    <n v="2026"/>
    <x v="1"/>
    <n v="3"/>
    <n v="2"/>
    <n v="3"/>
    <n v="0.32"/>
    <n v="0.34875"/>
    <x v="0"/>
  </r>
  <r>
    <d v="2026-02-03T04:00:00"/>
    <x v="2"/>
    <s v="R114"/>
    <n v="10"/>
    <n v="30"/>
    <n v="21.569502962364819"/>
    <s v="20–22°C"/>
    <n v="3.16"/>
    <n v="2026"/>
    <x v="1"/>
    <n v="3"/>
    <n v="2"/>
    <n v="4"/>
    <n v="0.33333333333333331"/>
    <n v="0.316"/>
    <x v="0"/>
  </r>
  <r>
    <d v="2026-02-03T05:00:00"/>
    <x v="4"/>
    <s v="R102"/>
    <n v="9"/>
    <n v="40"/>
    <n v="22.06120367512905"/>
    <s v="22–24°C"/>
    <n v="3.52"/>
    <n v="2026"/>
    <x v="1"/>
    <n v="3"/>
    <n v="2"/>
    <n v="5"/>
    <n v="0.22500000000000001"/>
    <n v="0.39111111111111113"/>
    <x v="0"/>
  </r>
  <r>
    <d v="2026-02-03T06:00:00"/>
    <x v="2"/>
    <s v="R116"/>
    <n v="11"/>
    <n v="25"/>
    <n v="22.42488377969773"/>
    <s v="22–24°C"/>
    <n v="3.3"/>
    <n v="2026"/>
    <x v="1"/>
    <n v="3"/>
    <n v="2"/>
    <n v="6"/>
    <n v="0.44"/>
    <n v="0.3"/>
    <x v="0"/>
  </r>
  <r>
    <d v="2026-02-03T07:00:00"/>
    <x v="4"/>
    <s v="R105"/>
    <n v="9"/>
    <n v="20"/>
    <n v="25.37292207466065"/>
    <s v="24–26°C"/>
    <n v="2.99"/>
    <n v="2026"/>
    <x v="1"/>
    <n v="3"/>
    <n v="2"/>
    <n v="7"/>
    <n v="0.45"/>
    <n v="0.33222222222222225"/>
    <x v="1"/>
  </r>
  <r>
    <d v="2026-02-03T08:00:00"/>
    <x v="2"/>
    <s v="R109"/>
    <n v="7"/>
    <n v="30"/>
    <n v="23.403160228399191"/>
    <s v="22–24°C"/>
    <n v="2.79"/>
    <n v="2026"/>
    <x v="1"/>
    <n v="3"/>
    <n v="2"/>
    <n v="8"/>
    <n v="0.23333333333333334"/>
    <n v="0.39857142857142858"/>
    <x v="1"/>
  </r>
  <r>
    <d v="2026-02-03T09:00:00"/>
    <x v="4"/>
    <s v="R113"/>
    <n v="16"/>
    <n v="40"/>
    <n v="23.279303348431789"/>
    <s v="22–24°C"/>
    <n v="5.01"/>
    <n v="2026"/>
    <x v="1"/>
    <n v="3"/>
    <n v="2"/>
    <n v="9"/>
    <n v="0.4"/>
    <n v="0.31312499999999999"/>
    <x v="1"/>
  </r>
  <r>
    <d v="2026-02-03T10:00:00"/>
    <x v="4"/>
    <s v="R111"/>
    <n v="10"/>
    <n v="25"/>
    <n v="26.479330503940901"/>
    <s v="26–28°C"/>
    <n v="4"/>
    <n v="2026"/>
    <x v="1"/>
    <n v="3"/>
    <n v="2"/>
    <n v="10"/>
    <n v="0.4"/>
    <n v="0.4"/>
    <x v="1"/>
  </r>
  <r>
    <d v="2026-02-03T11:00:00"/>
    <x v="2"/>
    <s v="R110"/>
    <n v="8"/>
    <n v="30"/>
    <n v="22.885205072426409"/>
    <s v="22–24°C"/>
    <n v="2.92"/>
    <n v="2026"/>
    <x v="1"/>
    <n v="3"/>
    <n v="2"/>
    <n v="11"/>
    <n v="0.26666666666666666"/>
    <n v="0.36499999999999999"/>
    <x v="1"/>
  </r>
  <r>
    <d v="2026-02-03T12:00:00"/>
    <x v="0"/>
    <s v="R114"/>
    <n v="13"/>
    <n v="20"/>
    <n v="24.376410612905769"/>
    <s v="24–26°C"/>
    <n v="4.2699999999999996"/>
    <n v="2026"/>
    <x v="1"/>
    <n v="3"/>
    <n v="2"/>
    <n v="12"/>
    <n v="0.65"/>
    <n v="0.32846153846153842"/>
    <x v="2"/>
  </r>
  <r>
    <d v="2026-02-03T13:00:00"/>
    <x v="3"/>
    <s v="R120"/>
    <n v="3"/>
    <n v="30"/>
    <n v="24.397906143434842"/>
    <s v="24–26°C"/>
    <n v="1.72"/>
    <n v="2026"/>
    <x v="1"/>
    <n v="3"/>
    <n v="2"/>
    <n v="13"/>
    <n v="0.1"/>
    <n v="0.57333333333333336"/>
    <x v="2"/>
  </r>
  <r>
    <d v="2026-02-03T14:00:00"/>
    <x v="3"/>
    <s v="R120"/>
    <n v="4"/>
    <n v="40"/>
    <n v="25.380672681218741"/>
    <s v="24–26°C"/>
    <n v="2.62"/>
    <n v="2026"/>
    <x v="1"/>
    <n v="3"/>
    <n v="2"/>
    <n v="14"/>
    <n v="0.1"/>
    <n v="0.65500000000000003"/>
    <x v="2"/>
  </r>
  <r>
    <d v="2026-02-03T15:00:00"/>
    <x v="3"/>
    <s v="R103"/>
    <n v="2"/>
    <n v="30"/>
    <n v="24.438337332710869"/>
    <s v="24–26°C"/>
    <n v="2.21"/>
    <n v="2026"/>
    <x v="1"/>
    <n v="3"/>
    <n v="2"/>
    <n v="15"/>
    <n v="6.6666666666666666E-2"/>
    <n v="1.105"/>
    <x v="2"/>
  </r>
  <r>
    <d v="2026-02-03T16:00:00"/>
    <x v="2"/>
    <s v="R105"/>
    <n v="12"/>
    <n v="30"/>
    <n v="22.350210370719552"/>
    <s v="22–24°C"/>
    <n v="3.83"/>
    <n v="2026"/>
    <x v="1"/>
    <n v="3"/>
    <n v="2"/>
    <n v="16"/>
    <n v="0.4"/>
    <n v="0.31916666666666665"/>
    <x v="2"/>
  </r>
  <r>
    <d v="2026-02-03T17:00:00"/>
    <x v="2"/>
    <s v="R111"/>
    <n v="8"/>
    <n v="20"/>
    <n v="24.809924082988399"/>
    <s v="24–26°C"/>
    <n v="3.15"/>
    <n v="2026"/>
    <x v="1"/>
    <n v="3"/>
    <n v="2"/>
    <n v="17"/>
    <n v="0.4"/>
    <n v="0.39374999999999999"/>
    <x v="3"/>
  </r>
  <r>
    <d v="2026-02-03T18:00:00"/>
    <x v="1"/>
    <s v="R115"/>
    <n v="8"/>
    <n v="40"/>
    <n v="22.982067348472519"/>
    <s v="22–24°C"/>
    <n v="2.66"/>
    <n v="2026"/>
    <x v="1"/>
    <n v="3"/>
    <n v="2"/>
    <n v="18"/>
    <n v="0.2"/>
    <n v="0.33250000000000002"/>
    <x v="3"/>
  </r>
  <r>
    <d v="2026-02-03T19:00:00"/>
    <x v="2"/>
    <s v="R120"/>
    <n v="11"/>
    <n v="30"/>
    <n v="20.34900206400863"/>
    <s v="20–22°C"/>
    <n v="4.01"/>
    <n v="2026"/>
    <x v="1"/>
    <n v="3"/>
    <n v="2"/>
    <n v="19"/>
    <n v="0.36666666666666664"/>
    <n v="0.36454545454545451"/>
    <x v="3"/>
  </r>
  <r>
    <d v="2026-02-03T20:00:00"/>
    <x v="0"/>
    <s v="R120"/>
    <n v="6"/>
    <n v="20"/>
    <n v="23.912498977057069"/>
    <s v="22–24°C"/>
    <n v="1.67"/>
    <n v="2026"/>
    <x v="1"/>
    <n v="3"/>
    <n v="2"/>
    <n v="20"/>
    <n v="0.3"/>
    <n v="0.27833333333333332"/>
    <x v="3"/>
  </r>
  <r>
    <d v="2026-02-03T21:00:00"/>
    <x v="0"/>
    <s v="R118"/>
    <n v="6"/>
    <n v="40"/>
    <n v="20.98439533680299"/>
    <s v="20–22°C"/>
    <n v="2.12"/>
    <n v="2026"/>
    <x v="1"/>
    <n v="3"/>
    <n v="2"/>
    <n v="21"/>
    <n v="0.15"/>
    <n v="0.35333333333333333"/>
    <x v="0"/>
  </r>
  <r>
    <d v="2026-02-03T22:00:00"/>
    <x v="4"/>
    <s v="R105"/>
    <n v="7"/>
    <n v="30"/>
    <n v="22.698126766312011"/>
    <s v="22–24°C"/>
    <n v="2.42"/>
    <n v="2026"/>
    <x v="1"/>
    <n v="3"/>
    <n v="2"/>
    <n v="22"/>
    <n v="0.23333333333333334"/>
    <n v="0.3457142857142857"/>
    <x v="0"/>
  </r>
  <r>
    <d v="2026-02-03T23:00:00"/>
    <x v="3"/>
    <s v="R116"/>
    <n v="11"/>
    <n v="25"/>
    <n v="24.238192956103099"/>
    <s v="24–26°C"/>
    <n v="3.91"/>
    <n v="2026"/>
    <x v="1"/>
    <n v="3"/>
    <n v="2"/>
    <n v="23"/>
    <n v="0.44"/>
    <n v="0.35545454545454547"/>
    <x v="0"/>
  </r>
  <r>
    <d v="2026-02-04T00:00:00"/>
    <x v="0"/>
    <s v="R106"/>
    <n v="11"/>
    <n v="40"/>
    <n v="21.512567829411001"/>
    <s v="20–22°C"/>
    <n v="3.78"/>
    <n v="2026"/>
    <x v="1"/>
    <n v="4"/>
    <n v="3"/>
    <n v="0"/>
    <n v="0.27500000000000002"/>
    <n v="0.34363636363636363"/>
    <x v="0"/>
  </r>
  <r>
    <d v="2026-02-04T01:00:00"/>
    <x v="0"/>
    <s v="R103"/>
    <n v="8"/>
    <n v="25"/>
    <n v="25.622324593207232"/>
    <s v="24–26°C"/>
    <n v="3.6"/>
    <n v="2026"/>
    <x v="1"/>
    <n v="4"/>
    <n v="3"/>
    <n v="1"/>
    <n v="0.32"/>
    <n v="0.45"/>
    <x v="0"/>
  </r>
  <r>
    <d v="2026-02-04T02:00:00"/>
    <x v="1"/>
    <s v="R101"/>
    <n v="10"/>
    <n v="40"/>
    <n v="22.326267589918931"/>
    <s v="22–24°C"/>
    <n v="3.81"/>
    <n v="2026"/>
    <x v="1"/>
    <n v="4"/>
    <n v="3"/>
    <n v="2"/>
    <n v="0.25"/>
    <n v="0.38100000000000001"/>
    <x v="0"/>
  </r>
  <r>
    <d v="2026-02-04T03:00:00"/>
    <x v="4"/>
    <s v="R107"/>
    <n v="11"/>
    <n v="20"/>
    <n v="23.748882448903661"/>
    <s v="22–24°C"/>
    <n v="4.08"/>
    <n v="2026"/>
    <x v="1"/>
    <n v="4"/>
    <n v="3"/>
    <n v="3"/>
    <n v="0.55000000000000004"/>
    <n v="0.37090909090909091"/>
    <x v="0"/>
  </r>
  <r>
    <d v="2026-02-04T04:00:00"/>
    <x v="1"/>
    <s v="R101"/>
    <n v="7"/>
    <n v="30"/>
    <n v="23.42712239937849"/>
    <s v="22–24°C"/>
    <n v="2.7"/>
    <n v="2026"/>
    <x v="1"/>
    <n v="4"/>
    <n v="3"/>
    <n v="4"/>
    <n v="0.23333333333333334"/>
    <n v="0.38571428571428573"/>
    <x v="0"/>
  </r>
  <r>
    <d v="2026-02-04T05:00:00"/>
    <x v="4"/>
    <s v="R106"/>
    <n v="12"/>
    <n v="20"/>
    <n v="22.780271753796129"/>
    <s v="22–24°C"/>
    <n v="3.86"/>
    <n v="2026"/>
    <x v="1"/>
    <n v="4"/>
    <n v="3"/>
    <n v="5"/>
    <n v="0.6"/>
    <n v="0.32166666666666666"/>
    <x v="0"/>
  </r>
  <r>
    <d v="2026-02-04T06:00:00"/>
    <x v="0"/>
    <s v="R112"/>
    <n v="5"/>
    <n v="30"/>
    <n v="19.249985225056129"/>
    <s v="18–20°C"/>
    <n v="2.82"/>
    <n v="2026"/>
    <x v="1"/>
    <n v="4"/>
    <n v="3"/>
    <n v="6"/>
    <n v="0.16666666666666666"/>
    <n v="0.56399999999999995"/>
    <x v="0"/>
  </r>
  <r>
    <d v="2026-02-04T07:00:00"/>
    <x v="1"/>
    <s v="R101"/>
    <n v="11"/>
    <n v="20"/>
    <n v="22.960163207400541"/>
    <s v="22–24°C"/>
    <n v="3.62"/>
    <n v="2026"/>
    <x v="1"/>
    <n v="4"/>
    <n v="3"/>
    <n v="7"/>
    <n v="0.55000000000000004"/>
    <n v="0.3290909090909091"/>
    <x v="1"/>
  </r>
  <r>
    <d v="2026-02-04T08:00:00"/>
    <x v="1"/>
    <s v="R118"/>
    <n v="6"/>
    <n v="25"/>
    <n v="20.152012300607971"/>
    <s v="20–22°C"/>
    <n v="2.4300000000000002"/>
    <n v="2026"/>
    <x v="1"/>
    <n v="4"/>
    <n v="3"/>
    <n v="8"/>
    <n v="0.24"/>
    <n v="0.40500000000000003"/>
    <x v="1"/>
  </r>
  <r>
    <d v="2026-02-04T09:00:00"/>
    <x v="2"/>
    <s v="R108"/>
    <n v="7"/>
    <n v="30"/>
    <n v="23.318354231845159"/>
    <s v="22–24°C"/>
    <n v="2.54"/>
    <n v="2026"/>
    <x v="1"/>
    <n v="4"/>
    <n v="3"/>
    <n v="9"/>
    <n v="0.23333333333333334"/>
    <n v="0.36285714285714288"/>
    <x v="1"/>
  </r>
  <r>
    <d v="2026-02-04T10:00:00"/>
    <x v="1"/>
    <s v="R118"/>
    <n v="14"/>
    <n v="40"/>
    <n v="20.873291000339361"/>
    <s v="20–22°C"/>
    <n v="4.78"/>
    <n v="2026"/>
    <x v="1"/>
    <n v="4"/>
    <n v="3"/>
    <n v="10"/>
    <n v="0.35"/>
    <n v="0.34142857142857147"/>
    <x v="1"/>
  </r>
  <r>
    <d v="2026-02-04T11:00:00"/>
    <x v="0"/>
    <s v="R104"/>
    <n v="4"/>
    <n v="25"/>
    <n v="21.35768058360933"/>
    <s v="20–22°C"/>
    <n v="2.06"/>
    <n v="2026"/>
    <x v="1"/>
    <n v="4"/>
    <n v="3"/>
    <n v="11"/>
    <n v="0.16"/>
    <n v="0.51500000000000001"/>
    <x v="1"/>
  </r>
  <r>
    <d v="2026-02-04T12:00:00"/>
    <x v="3"/>
    <s v="R111"/>
    <n v="4"/>
    <n v="20"/>
    <n v="20.638055032671229"/>
    <s v="20–22°C"/>
    <n v="1.66"/>
    <n v="2026"/>
    <x v="1"/>
    <n v="4"/>
    <n v="3"/>
    <n v="12"/>
    <n v="0.2"/>
    <n v="0.41499999999999998"/>
    <x v="2"/>
  </r>
  <r>
    <d v="2026-02-04T13:00:00"/>
    <x v="3"/>
    <s v="R105"/>
    <n v="9"/>
    <n v="30"/>
    <n v="22.80931781760663"/>
    <s v="22–24°C"/>
    <n v="3.69"/>
    <n v="2026"/>
    <x v="1"/>
    <n v="4"/>
    <n v="3"/>
    <n v="13"/>
    <n v="0.3"/>
    <n v="0.41"/>
    <x v="2"/>
  </r>
  <r>
    <d v="2026-02-04T14:00:00"/>
    <x v="2"/>
    <s v="R119"/>
    <n v="15"/>
    <n v="40"/>
    <n v="22.324369811617199"/>
    <s v="22–24°C"/>
    <n v="4.41"/>
    <n v="2026"/>
    <x v="1"/>
    <n v="4"/>
    <n v="3"/>
    <n v="14"/>
    <n v="0.375"/>
    <n v="0.29399999999999998"/>
    <x v="2"/>
  </r>
  <r>
    <d v="2026-02-04T15:00:00"/>
    <x v="2"/>
    <s v="R118"/>
    <n v="5"/>
    <n v="25"/>
    <n v="22.471288333593069"/>
    <s v="22–24°C"/>
    <n v="1.89"/>
    <n v="2026"/>
    <x v="1"/>
    <n v="4"/>
    <n v="3"/>
    <n v="15"/>
    <n v="0.2"/>
    <n v="0.378"/>
    <x v="2"/>
  </r>
  <r>
    <d v="2026-02-04T16:00:00"/>
    <x v="0"/>
    <s v="R109"/>
    <n v="6"/>
    <n v="40"/>
    <n v="24.11500764206767"/>
    <s v="24–26°C"/>
    <n v="2.59"/>
    <n v="2026"/>
    <x v="1"/>
    <n v="4"/>
    <n v="3"/>
    <n v="16"/>
    <n v="0.15"/>
    <n v="0.43166666666666664"/>
    <x v="2"/>
  </r>
  <r>
    <d v="2026-02-04T17:00:00"/>
    <x v="1"/>
    <s v="R109"/>
    <n v="9"/>
    <n v="40"/>
    <n v="23.319681154330791"/>
    <s v="22–24°C"/>
    <n v="2.88"/>
    <n v="2026"/>
    <x v="1"/>
    <n v="4"/>
    <n v="3"/>
    <n v="17"/>
    <n v="0.22500000000000001"/>
    <n v="0.32"/>
    <x v="3"/>
  </r>
  <r>
    <d v="2026-02-04T18:00:00"/>
    <x v="1"/>
    <s v="R101"/>
    <n v="8"/>
    <n v="40"/>
    <n v="24.9707994229001"/>
    <s v="24–26°C"/>
    <n v="2.77"/>
    <n v="2026"/>
    <x v="1"/>
    <n v="4"/>
    <n v="3"/>
    <n v="18"/>
    <n v="0.2"/>
    <n v="0.34625"/>
    <x v="3"/>
  </r>
  <r>
    <d v="2026-02-04T19:00:00"/>
    <x v="4"/>
    <s v="R108"/>
    <n v="8"/>
    <n v="40"/>
    <n v="22.627984611415808"/>
    <s v="22–24°C"/>
    <n v="3.07"/>
    <n v="2026"/>
    <x v="1"/>
    <n v="4"/>
    <n v="3"/>
    <n v="19"/>
    <n v="0.2"/>
    <n v="0.38374999999999998"/>
    <x v="3"/>
  </r>
  <r>
    <d v="2026-02-04T20:00:00"/>
    <x v="3"/>
    <s v="R104"/>
    <n v="7"/>
    <n v="30"/>
    <n v="20.42899095394419"/>
    <s v="20–22°C"/>
    <n v="2.39"/>
    <n v="2026"/>
    <x v="1"/>
    <n v="4"/>
    <n v="3"/>
    <n v="20"/>
    <n v="0.23333333333333334"/>
    <n v="0.34142857142857147"/>
    <x v="3"/>
  </r>
  <r>
    <d v="2026-02-04T21:00:00"/>
    <x v="3"/>
    <s v="R112"/>
    <n v="4"/>
    <n v="20"/>
    <n v="24.219760094380842"/>
    <s v="24–26°C"/>
    <n v="2.12"/>
    <n v="2026"/>
    <x v="1"/>
    <n v="4"/>
    <n v="3"/>
    <n v="21"/>
    <n v="0.2"/>
    <n v="0.53"/>
    <x v="0"/>
  </r>
  <r>
    <d v="2026-02-04T22:00:00"/>
    <x v="4"/>
    <s v="R110"/>
    <n v="11"/>
    <n v="30"/>
    <n v="23.684212079300831"/>
    <s v="22–24°C"/>
    <n v="4.38"/>
    <n v="2026"/>
    <x v="1"/>
    <n v="4"/>
    <n v="3"/>
    <n v="22"/>
    <n v="0.36666666666666664"/>
    <n v="0.39818181818181819"/>
    <x v="0"/>
  </r>
  <r>
    <d v="2026-02-04T23:00:00"/>
    <x v="1"/>
    <s v="R107"/>
    <n v="8"/>
    <n v="20"/>
    <n v="22.719433933285259"/>
    <s v="22–24°C"/>
    <n v="2.75"/>
    <n v="2026"/>
    <x v="1"/>
    <n v="4"/>
    <n v="3"/>
    <n v="23"/>
    <n v="0.4"/>
    <n v="0.34375"/>
    <x v="0"/>
  </r>
  <r>
    <d v="2026-02-05T00:00:00"/>
    <x v="1"/>
    <s v="R116"/>
    <n v="6"/>
    <n v="40"/>
    <n v="22.28319284897422"/>
    <s v="22–24°C"/>
    <n v="1.97"/>
    <n v="2026"/>
    <x v="1"/>
    <n v="5"/>
    <n v="4"/>
    <n v="0"/>
    <n v="0.15"/>
    <n v="0.32833333333333331"/>
    <x v="0"/>
  </r>
  <r>
    <d v="2026-02-05T01:00:00"/>
    <x v="1"/>
    <s v="R102"/>
    <n v="8"/>
    <n v="20"/>
    <n v="20.573259859504169"/>
    <s v="20–22°C"/>
    <n v="2.79"/>
    <n v="2026"/>
    <x v="1"/>
    <n v="5"/>
    <n v="4"/>
    <n v="1"/>
    <n v="0.4"/>
    <n v="0.34875"/>
    <x v="0"/>
  </r>
  <r>
    <d v="2026-02-05T02:00:00"/>
    <x v="4"/>
    <s v="R103"/>
    <n v="4"/>
    <n v="40"/>
    <n v="25.37845292251157"/>
    <s v="24–26°C"/>
    <n v="2.5099999999999998"/>
    <n v="2026"/>
    <x v="1"/>
    <n v="5"/>
    <n v="4"/>
    <n v="2"/>
    <n v="0.1"/>
    <n v="0.62749999999999995"/>
    <x v="0"/>
  </r>
  <r>
    <d v="2026-02-05T03:00:00"/>
    <x v="0"/>
    <s v="R101"/>
    <n v="13"/>
    <n v="30"/>
    <n v="21.489002233732101"/>
    <s v="20–22°C"/>
    <n v="4.0999999999999996"/>
    <n v="2026"/>
    <x v="1"/>
    <n v="5"/>
    <n v="4"/>
    <n v="3"/>
    <n v="0.43333333333333335"/>
    <n v="0.31538461538461537"/>
    <x v="0"/>
  </r>
  <r>
    <d v="2026-02-05T04:00:00"/>
    <x v="4"/>
    <s v="R103"/>
    <n v="8"/>
    <n v="30"/>
    <n v="21.71873553972808"/>
    <s v="20–22°C"/>
    <n v="2.94"/>
    <n v="2026"/>
    <x v="1"/>
    <n v="5"/>
    <n v="4"/>
    <n v="4"/>
    <n v="0.26666666666666666"/>
    <n v="0.36749999999999999"/>
    <x v="0"/>
  </r>
  <r>
    <d v="2026-02-05T05:00:00"/>
    <x v="1"/>
    <s v="R112"/>
    <n v="5"/>
    <n v="30"/>
    <n v="22.971361114568449"/>
    <s v="22–24°C"/>
    <n v="2.0699999999999998"/>
    <n v="2026"/>
    <x v="1"/>
    <n v="5"/>
    <n v="4"/>
    <n v="5"/>
    <n v="0.16666666666666666"/>
    <n v="0.41399999999999998"/>
    <x v="0"/>
  </r>
  <r>
    <d v="2026-02-05T06:00:00"/>
    <x v="0"/>
    <s v="R105"/>
    <n v="8"/>
    <n v="25"/>
    <n v="21.395456332130959"/>
    <s v="20–22°C"/>
    <n v="2.74"/>
    <n v="2026"/>
    <x v="1"/>
    <n v="5"/>
    <n v="4"/>
    <n v="6"/>
    <n v="0.32"/>
    <n v="0.34250000000000003"/>
    <x v="0"/>
  </r>
  <r>
    <d v="2026-02-05T07:00:00"/>
    <x v="1"/>
    <s v="R101"/>
    <n v="9"/>
    <n v="30"/>
    <n v="25.14585922901469"/>
    <s v="24–26°C"/>
    <n v="3.27"/>
    <n v="2026"/>
    <x v="1"/>
    <n v="5"/>
    <n v="4"/>
    <n v="7"/>
    <n v="0.3"/>
    <n v="0.36333333333333334"/>
    <x v="1"/>
  </r>
  <r>
    <d v="2026-02-05T08:00:00"/>
    <x v="1"/>
    <s v="R108"/>
    <n v="7"/>
    <n v="40"/>
    <n v="25.871141986327249"/>
    <s v="24–26°C"/>
    <n v="2.58"/>
    <n v="2026"/>
    <x v="1"/>
    <n v="5"/>
    <n v="4"/>
    <n v="8"/>
    <n v="0.17499999999999999"/>
    <n v="0.36857142857142861"/>
    <x v="1"/>
  </r>
  <r>
    <d v="2026-02-05T09:00:00"/>
    <x v="2"/>
    <s v="R108"/>
    <n v="5"/>
    <n v="25"/>
    <n v="24.890623542471729"/>
    <s v="24–26°C"/>
    <n v="2.3199999999999998"/>
    <n v="2026"/>
    <x v="1"/>
    <n v="5"/>
    <n v="4"/>
    <n v="9"/>
    <n v="0.2"/>
    <n v="0.46399999999999997"/>
    <x v="1"/>
  </r>
  <r>
    <d v="2026-02-05T10:00:00"/>
    <x v="3"/>
    <s v="R110"/>
    <n v="11"/>
    <n v="30"/>
    <n v="24.51957447390615"/>
    <s v="24–26°C"/>
    <n v="3.68"/>
    <n v="2026"/>
    <x v="1"/>
    <n v="5"/>
    <n v="4"/>
    <n v="10"/>
    <n v="0.36666666666666664"/>
    <n v="0.33454545454545453"/>
    <x v="1"/>
  </r>
  <r>
    <d v="2026-02-05T11:00:00"/>
    <x v="0"/>
    <s v="R119"/>
    <n v="8"/>
    <n v="25"/>
    <n v="18.8984002880117"/>
    <s v="18–20°C"/>
    <n v="3.06"/>
    <n v="2026"/>
    <x v="1"/>
    <n v="5"/>
    <n v="4"/>
    <n v="11"/>
    <n v="0.32"/>
    <n v="0.38250000000000001"/>
    <x v="1"/>
  </r>
  <r>
    <d v="2026-02-05T12:00:00"/>
    <x v="2"/>
    <s v="R111"/>
    <n v="7"/>
    <n v="40"/>
    <n v="21.45773006553274"/>
    <s v="20–22°C"/>
    <n v="2.4700000000000002"/>
    <n v="2026"/>
    <x v="1"/>
    <n v="5"/>
    <n v="4"/>
    <n v="12"/>
    <n v="0.17499999999999999"/>
    <n v="0.35285714285714287"/>
    <x v="2"/>
  </r>
  <r>
    <d v="2026-02-05T13:00:00"/>
    <x v="2"/>
    <s v="R107"/>
    <n v="10"/>
    <n v="20"/>
    <n v="23.819370687493102"/>
    <s v="22–24°C"/>
    <n v="3.39"/>
    <n v="2026"/>
    <x v="1"/>
    <n v="5"/>
    <n v="4"/>
    <n v="13"/>
    <n v="0.5"/>
    <n v="0.33900000000000002"/>
    <x v="2"/>
  </r>
  <r>
    <d v="2026-02-05T14:00:00"/>
    <x v="1"/>
    <s v="R112"/>
    <n v="8"/>
    <n v="20"/>
    <n v="20.73718877972993"/>
    <s v="20–22°C"/>
    <n v="3.26"/>
    <n v="2026"/>
    <x v="1"/>
    <n v="5"/>
    <n v="4"/>
    <n v="14"/>
    <n v="0.4"/>
    <n v="0.40749999999999997"/>
    <x v="2"/>
  </r>
  <r>
    <d v="2026-02-05T15:00:00"/>
    <x v="3"/>
    <s v="R114"/>
    <n v="6"/>
    <n v="25"/>
    <n v="26.151751619003939"/>
    <s v="26–28°C"/>
    <n v="2.91"/>
    <n v="2026"/>
    <x v="1"/>
    <n v="5"/>
    <n v="4"/>
    <n v="15"/>
    <n v="0.24"/>
    <n v="0.48500000000000004"/>
    <x v="2"/>
  </r>
  <r>
    <d v="2026-02-05T16:00:00"/>
    <x v="4"/>
    <s v="R115"/>
    <n v="7"/>
    <n v="30"/>
    <n v="22.50532807220716"/>
    <s v="22–24°C"/>
    <n v="2.73"/>
    <n v="2026"/>
    <x v="1"/>
    <n v="5"/>
    <n v="4"/>
    <n v="16"/>
    <n v="0.23333333333333334"/>
    <n v="0.39"/>
    <x v="2"/>
  </r>
  <r>
    <d v="2026-02-05T17:00:00"/>
    <x v="4"/>
    <s v="R113"/>
    <n v="10"/>
    <n v="20"/>
    <n v="19.90744416203718"/>
    <s v="18–20°C"/>
    <n v="4.01"/>
    <n v="2026"/>
    <x v="1"/>
    <n v="5"/>
    <n v="4"/>
    <n v="17"/>
    <n v="0.5"/>
    <n v="0.40099999999999997"/>
    <x v="3"/>
  </r>
  <r>
    <d v="2026-02-05T18:00:00"/>
    <x v="1"/>
    <s v="R117"/>
    <n v="8"/>
    <n v="30"/>
    <n v="23.235414836921919"/>
    <s v="22–24°C"/>
    <n v="2.48"/>
    <n v="2026"/>
    <x v="1"/>
    <n v="5"/>
    <n v="4"/>
    <n v="18"/>
    <n v="0.26666666666666666"/>
    <n v="0.31"/>
    <x v="3"/>
  </r>
  <r>
    <d v="2026-02-05T19:00:00"/>
    <x v="2"/>
    <s v="R112"/>
    <n v="6"/>
    <n v="30"/>
    <n v="22.306830836762359"/>
    <s v="22–24°C"/>
    <n v="2.2599999999999998"/>
    <n v="2026"/>
    <x v="1"/>
    <n v="5"/>
    <n v="4"/>
    <n v="19"/>
    <n v="0.2"/>
    <n v="0.37666666666666665"/>
    <x v="3"/>
  </r>
  <r>
    <d v="2026-02-05T20:00:00"/>
    <x v="4"/>
    <s v="R108"/>
    <n v="14"/>
    <n v="25"/>
    <n v="20.185413113015191"/>
    <s v="20–22°C"/>
    <n v="4.18"/>
    <n v="2026"/>
    <x v="1"/>
    <n v="5"/>
    <n v="4"/>
    <n v="20"/>
    <n v="0.56000000000000005"/>
    <n v="0.29857142857142854"/>
    <x v="3"/>
  </r>
  <r>
    <d v="2026-02-05T21:00:00"/>
    <x v="3"/>
    <s v="R102"/>
    <n v="12"/>
    <n v="25"/>
    <n v="24.641845758219421"/>
    <s v="24–26°C"/>
    <n v="3.92"/>
    <n v="2026"/>
    <x v="1"/>
    <n v="5"/>
    <n v="4"/>
    <n v="21"/>
    <n v="0.48"/>
    <n v="0.32666666666666666"/>
    <x v="0"/>
  </r>
  <r>
    <d v="2026-02-05T22:00:00"/>
    <x v="1"/>
    <s v="R112"/>
    <n v="13"/>
    <n v="25"/>
    <n v="25.146041989607241"/>
    <s v="24–26°C"/>
    <n v="4.59"/>
    <n v="2026"/>
    <x v="1"/>
    <n v="5"/>
    <n v="4"/>
    <n v="22"/>
    <n v="0.52"/>
    <n v="0.35307692307692307"/>
    <x v="0"/>
  </r>
  <r>
    <d v="2026-02-05T23:00:00"/>
    <x v="0"/>
    <s v="R115"/>
    <n v="9"/>
    <n v="20"/>
    <n v="21.901543721009201"/>
    <s v="20–22°C"/>
    <n v="2.81"/>
    <n v="2026"/>
    <x v="1"/>
    <n v="5"/>
    <n v="4"/>
    <n v="23"/>
    <n v="0.45"/>
    <n v="0.31222222222222223"/>
    <x v="0"/>
  </r>
  <r>
    <d v="2026-02-06T00:00:00"/>
    <x v="4"/>
    <s v="R102"/>
    <n v="5"/>
    <n v="25"/>
    <n v="25.840759696056701"/>
    <s v="24–26°C"/>
    <n v="2.38"/>
    <n v="2026"/>
    <x v="1"/>
    <n v="6"/>
    <n v="5"/>
    <n v="0"/>
    <n v="0.2"/>
    <n v="0.47599999999999998"/>
    <x v="0"/>
  </r>
  <r>
    <d v="2026-02-06T01:00:00"/>
    <x v="0"/>
    <s v="R118"/>
    <n v="9"/>
    <n v="40"/>
    <n v="25.096969747409101"/>
    <s v="24–26°C"/>
    <n v="3.22"/>
    <n v="2026"/>
    <x v="1"/>
    <n v="6"/>
    <n v="5"/>
    <n v="1"/>
    <n v="0.22500000000000001"/>
    <n v="0.35777777777777781"/>
    <x v="0"/>
  </r>
  <r>
    <d v="2026-02-06T02:00:00"/>
    <x v="3"/>
    <s v="R110"/>
    <n v="8"/>
    <n v="40"/>
    <n v="22.88233429173696"/>
    <s v="22–24°C"/>
    <n v="2.87"/>
    <n v="2026"/>
    <x v="1"/>
    <n v="6"/>
    <n v="5"/>
    <n v="2"/>
    <n v="0.2"/>
    <n v="0.35875000000000001"/>
    <x v="0"/>
  </r>
  <r>
    <d v="2026-02-06T03:00:00"/>
    <x v="3"/>
    <s v="R111"/>
    <n v="5"/>
    <n v="30"/>
    <n v="24.2838942588874"/>
    <s v="24–26°C"/>
    <n v="2.31"/>
    <n v="2026"/>
    <x v="1"/>
    <n v="6"/>
    <n v="5"/>
    <n v="3"/>
    <n v="0.16666666666666666"/>
    <n v="0.46200000000000002"/>
    <x v="0"/>
  </r>
  <r>
    <d v="2026-02-06T04:00:00"/>
    <x v="3"/>
    <s v="R116"/>
    <n v="6"/>
    <n v="40"/>
    <n v="19.63820983450702"/>
    <s v="18–20°C"/>
    <n v="2.5"/>
    <n v="2026"/>
    <x v="1"/>
    <n v="6"/>
    <n v="5"/>
    <n v="4"/>
    <n v="0.15"/>
    <n v="0.41666666666666669"/>
    <x v="0"/>
  </r>
  <r>
    <d v="2026-02-06T05:00:00"/>
    <x v="4"/>
    <s v="R103"/>
    <n v="11"/>
    <n v="20"/>
    <n v="22.86340970541972"/>
    <s v="22–24°C"/>
    <n v="3.38"/>
    <n v="2026"/>
    <x v="1"/>
    <n v="6"/>
    <n v="5"/>
    <n v="5"/>
    <n v="0.55000000000000004"/>
    <n v="0.30727272727272725"/>
    <x v="0"/>
  </r>
  <r>
    <d v="2026-02-06T06:00:00"/>
    <x v="4"/>
    <s v="R114"/>
    <n v="5"/>
    <n v="30"/>
    <n v="20.472238341851781"/>
    <s v="20–22°C"/>
    <n v="2.57"/>
    <n v="2026"/>
    <x v="1"/>
    <n v="6"/>
    <n v="5"/>
    <n v="6"/>
    <n v="0.16666666666666666"/>
    <n v="0.51400000000000001"/>
    <x v="0"/>
  </r>
  <r>
    <d v="2026-02-06T07:00:00"/>
    <x v="1"/>
    <s v="R102"/>
    <n v="8"/>
    <n v="40"/>
    <n v="22.082246309950001"/>
    <s v="22–24°C"/>
    <n v="2.5099999999999998"/>
    <n v="2026"/>
    <x v="1"/>
    <n v="6"/>
    <n v="5"/>
    <n v="7"/>
    <n v="0.2"/>
    <n v="0.31374999999999997"/>
    <x v="1"/>
  </r>
  <r>
    <d v="2026-02-06T08:00:00"/>
    <x v="3"/>
    <s v="R114"/>
    <n v="11"/>
    <n v="40"/>
    <n v="21.835877331813979"/>
    <s v="20–22°C"/>
    <n v="3.69"/>
    <n v="2026"/>
    <x v="1"/>
    <n v="6"/>
    <n v="5"/>
    <n v="8"/>
    <n v="0.27500000000000002"/>
    <n v="0.33545454545454545"/>
    <x v="1"/>
  </r>
  <r>
    <d v="2026-02-06T09:00:00"/>
    <x v="1"/>
    <s v="R111"/>
    <n v="5"/>
    <n v="20"/>
    <n v="25.57116446872336"/>
    <s v="24–26°C"/>
    <n v="2.57"/>
    <n v="2026"/>
    <x v="1"/>
    <n v="6"/>
    <n v="5"/>
    <n v="9"/>
    <n v="0.25"/>
    <n v="0.51400000000000001"/>
    <x v="1"/>
  </r>
  <r>
    <d v="2026-02-06T10:00:00"/>
    <x v="3"/>
    <s v="R111"/>
    <n v="10"/>
    <n v="20"/>
    <n v="22.58483130971392"/>
    <s v="22–24°C"/>
    <n v="3.78"/>
    <n v="2026"/>
    <x v="1"/>
    <n v="6"/>
    <n v="5"/>
    <n v="10"/>
    <n v="0.5"/>
    <n v="0.378"/>
    <x v="1"/>
  </r>
  <r>
    <d v="2026-02-06T11:00:00"/>
    <x v="3"/>
    <s v="R109"/>
    <n v="10"/>
    <n v="25"/>
    <n v="23.777637820527431"/>
    <s v="22–24°C"/>
    <n v="3.21"/>
    <n v="2026"/>
    <x v="1"/>
    <n v="6"/>
    <n v="5"/>
    <n v="11"/>
    <n v="0.4"/>
    <n v="0.32100000000000001"/>
    <x v="1"/>
  </r>
  <r>
    <d v="2026-02-06T12:00:00"/>
    <x v="2"/>
    <s v="R117"/>
    <n v="11"/>
    <n v="20"/>
    <n v="22.4507125012674"/>
    <s v="22–24°C"/>
    <n v="3.48"/>
    <n v="2026"/>
    <x v="1"/>
    <n v="6"/>
    <n v="5"/>
    <n v="12"/>
    <n v="0.55000000000000004"/>
    <n v="0.31636363636363635"/>
    <x v="2"/>
  </r>
  <r>
    <d v="2026-02-06T13:00:00"/>
    <x v="3"/>
    <s v="R101"/>
    <n v="3"/>
    <n v="40"/>
    <n v="21.621776404556421"/>
    <s v="20–22°C"/>
    <n v="1.75"/>
    <n v="2026"/>
    <x v="1"/>
    <n v="6"/>
    <n v="5"/>
    <n v="13"/>
    <n v="7.4999999999999997E-2"/>
    <n v="0.58333333333333337"/>
    <x v="2"/>
  </r>
  <r>
    <d v="2026-02-06T14:00:00"/>
    <x v="4"/>
    <s v="R116"/>
    <n v="10"/>
    <n v="30"/>
    <n v="24.0506149250043"/>
    <s v="24–26°C"/>
    <n v="3.08"/>
    <n v="2026"/>
    <x v="1"/>
    <n v="6"/>
    <n v="5"/>
    <n v="14"/>
    <n v="0.33333333333333331"/>
    <n v="0.308"/>
    <x v="2"/>
  </r>
  <r>
    <d v="2026-02-06T15:00:00"/>
    <x v="3"/>
    <s v="R109"/>
    <n v="7"/>
    <n v="40"/>
    <n v="24.819566690202329"/>
    <s v="24–26°C"/>
    <n v="2.95"/>
    <n v="2026"/>
    <x v="1"/>
    <n v="6"/>
    <n v="5"/>
    <n v="15"/>
    <n v="0.17499999999999999"/>
    <n v="0.42142857142857143"/>
    <x v="2"/>
  </r>
  <r>
    <d v="2026-02-06T16:00:00"/>
    <x v="0"/>
    <s v="R113"/>
    <n v="8"/>
    <n v="20"/>
    <n v="20.112148905852489"/>
    <s v="20–22°C"/>
    <n v="3.22"/>
    <n v="2026"/>
    <x v="1"/>
    <n v="6"/>
    <n v="5"/>
    <n v="16"/>
    <n v="0.4"/>
    <n v="0.40250000000000002"/>
    <x v="2"/>
  </r>
  <r>
    <d v="2026-02-06T17:00:00"/>
    <x v="2"/>
    <s v="R120"/>
    <n v="12"/>
    <n v="30"/>
    <n v="21.671235417008059"/>
    <s v="20–22°C"/>
    <n v="3.82"/>
    <n v="2026"/>
    <x v="1"/>
    <n v="6"/>
    <n v="5"/>
    <n v="17"/>
    <n v="0.4"/>
    <n v="0.3183333333333333"/>
    <x v="3"/>
  </r>
  <r>
    <d v="2026-02-06T18:00:00"/>
    <x v="2"/>
    <s v="R116"/>
    <n v="10"/>
    <n v="20"/>
    <n v="21.881672329881582"/>
    <s v="20–22°C"/>
    <n v="3.18"/>
    <n v="2026"/>
    <x v="1"/>
    <n v="6"/>
    <n v="5"/>
    <n v="18"/>
    <n v="0.5"/>
    <n v="0.318"/>
    <x v="3"/>
  </r>
  <r>
    <d v="2026-02-06T19:00:00"/>
    <x v="0"/>
    <s v="R119"/>
    <n v="12"/>
    <n v="20"/>
    <n v="21.542541214691951"/>
    <s v="20–22°C"/>
    <n v="3.61"/>
    <n v="2026"/>
    <x v="1"/>
    <n v="6"/>
    <n v="5"/>
    <n v="19"/>
    <n v="0.6"/>
    <n v="0.30083333333333334"/>
    <x v="3"/>
  </r>
  <r>
    <d v="2026-02-06T20:00:00"/>
    <x v="3"/>
    <s v="R103"/>
    <n v="4"/>
    <n v="25"/>
    <n v="22.854284622317891"/>
    <s v="22–24°C"/>
    <n v="2.4900000000000002"/>
    <n v="2026"/>
    <x v="1"/>
    <n v="6"/>
    <n v="5"/>
    <n v="20"/>
    <n v="0.16"/>
    <n v="0.62250000000000005"/>
    <x v="3"/>
  </r>
  <r>
    <d v="2026-02-06T21:00:00"/>
    <x v="0"/>
    <s v="R110"/>
    <n v="4"/>
    <n v="30"/>
    <n v="23.918360334669732"/>
    <s v="22–24°C"/>
    <n v="2"/>
    <n v="2026"/>
    <x v="1"/>
    <n v="6"/>
    <n v="5"/>
    <n v="21"/>
    <n v="0.13333333333333333"/>
    <n v="0.5"/>
    <x v="0"/>
  </r>
  <r>
    <d v="2026-02-06T22:00:00"/>
    <x v="2"/>
    <s v="R114"/>
    <n v="11"/>
    <n v="30"/>
    <n v="24.736888621191859"/>
    <s v="24–26°C"/>
    <n v="4.54"/>
    <n v="2026"/>
    <x v="1"/>
    <n v="6"/>
    <n v="5"/>
    <n v="22"/>
    <n v="0.36666666666666664"/>
    <n v="0.41272727272727272"/>
    <x v="0"/>
  </r>
  <r>
    <d v="2026-02-06T23:00:00"/>
    <x v="2"/>
    <s v="R114"/>
    <n v="10"/>
    <n v="30"/>
    <n v="22.42387440329744"/>
    <s v="22–24°C"/>
    <n v="3.49"/>
    <n v="2026"/>
    <x v="1"/>
    <n v="6"/>
    <n v="5"/>
    <n v="23"/>
    <n v="0.33333333333333331"/>
    <n v="0.34900000000000003"/>
    <x v="0"/>
  </r>
  <r>
    <d v="2026-02-07T00:00:00"/>
    <x v="4"/>
    <s v="R115"/>
    <n v="5"/>
    <n v="20"/>
    <n v="27.24198713169022"/>
    <s v="26–28°C"/>
    <n v="3.13"/>
    <n v="2026"/>
    <x v="1"/>
    <n v="7"/>
    <n v="6"/>
    <n v="0"/>
    <n v="0.25"/>
    <n v="0.626"/>
    <x v="0"/>
  </r>
  <r>
    <d v="2026-02-07T01:00:00"/>
    <x v="3"/>
    <s v="R113"/>
    <n v="9"/>
    <n v="20"/>
    <n v="19.749757482234951"/>
    <s v="18–20°C"/>
    <n v="3.41"/>
    <n v="2026"/>
    <x v="1"/>
    <n v="7"/>
    <n v="6"/>
    <n v="1"/>
    <n v="0.45"/>
    <n v="0.37888888888888889"/>
    <x v="0"/>
  </r>
  <r>
    <d v="2026-02-07T02:00:00"/>
    <x v="2"/>
    <s v="R111"/>
    <n v="8"/>
    <n v="20"/>
    <n v="25.9689181856514"/>
    <s v="24–26°C"/>
    <n v="3"/>
    <n v="2026"/>
    <x v="1"/>
    <n v="7"/>
    <n v="6"/>
    <n v="2"/>
    <n v="0.4"/>
    <n v="0.375"/>
    <x v="0"/>
  </r>
  <r>
    <d v="2026-02-07T03:00:00"/>
    <x v="3"/>
    <s v="R114"/>
    <n v="7"/>
    <n v="30"/>
    <n v="22.479160933694921"/>
    <s v="22–24°C"/>
    <n v="2.73"/>
    <n v="2026"/>
    <x v="1"/>
    <n v="7"/>
    <n v="6"/>
    <n v="3"/>
    <n v="0.23333333333333334"/>
    <n v="0.39"/>
    <x v="0"/>
  </r>
  <r>
    <d v="2026-02-07T04:00:00"/>
    <x v="0"/>
    <s v="R116"/>
    <n v="8"/>
    <n v="40"/>
    <n v="22.152618566178649"/>
    <s v="22–24°C"/>
    <n v="2.68"/>
    <n v="2026"/>
    <x v="1"/>
    <n v="7"/>
    <n v="6"/>
    <n v="4"/>
    <n v="0.2"/>
    <n v="0.33500000000000002"/>
    <x v="0"/>
  </r>
  <r>
    <d v="2026-02-07T05:00:00"/>
    <x v="4"/>
    <s v="R105"/>
    <n v="6"/>
    <n v="30"/>
    <n v="24.72969844659783"/>
    <s v="24–26°C"/>
    <n v="2.75"/>
    <n v="2026"/>
    <x v="1"/>
    <n v="7"/>
    <n v="6"/>
    <n v="5"/>
    <n v="0.2"/>
    <n v="0.45833333333333331"/>
    <x v="0"/>
  </r>
  <r>
    <d v="2026-02-07T06:00:00"/>
    <x v="0"/>
    <s v="R101"/>
    <n v="9"/>
    <n v="20"/>
    <n v="26.620605220008329"/>
    <s v="26–28°C"/>
    <n v="3.86"/>
    <n v="2026"/>
    <x v="1"/>
    <n v="7"/>
    <n v="6"/>
    <n v="6"/>
    <n v="0.45"/>
    <n v="0.42888888888888888"/>
    <x v="0"/>
  </r>
  <r>
    <d v="2026-02-07T07:00:00"/>
    <x v="3"/>
    <s v="R117"/>
    <n v="10"/>
    <n v="20"/>
    <n v="21.942167241790688"/>
    <s v="20–22°C"/>
    <n v="3.54"/>
    <n v="2026"/>
    <x v="1"/>
    <n v="7"/>
    <n v="6"/>
    <n v="7"/>
    <n v="0.5"/>
    <n v="0.35399999999999998"/>
    <x v="1"/>
  </r>
  <r>
    <d v="2026-02-07T08:00:00"/>
    <x v="4"/>
    <s v="R104"/>
    <n v="9"/>
    <n v="25"/>
    <n v="20.89912474248807"/>
    <s v="20–22°C"/>
    <n v="3.47"/>
    <n v="2026"/>
    <x v="1"/>
    <n v="7"/>
    <n v="6"/>
    <n v="8"/>
    <n v="0.36"/>
    <n v="0.3855555555555556"/>
    <x v="1"/>
  </r>
  <r>
    <d v="2026-02-07T09:00:00"/>
    <x v="2"/>
    <s v="R102"/>
    <n v="3"/>
    <n v="20"/>
    <n v="23.08379184230855"/>
    <s v="22–24°C"/>
    <n v="2.5"/>
    <n v="2026"/>
    <x v="1"/>
    <n v="7"/>
    <n v="6"/>
    <n v="9"/>
    <n v="0.15"/>
    <n v="0.83333333333333337"/>
    <x v="1"/>
  </r>
  <r>
    <d v="2026-02-07T10:00:00"/>
    <x v="2"/>
    <s v="R108"/>
    <n v="9"/>
    <n v="25"/>
    <n v="22.038851173595049"/>
    <s v="22–24°C"/>
    <n v="2.4900000000000002"/>
    <n v="2026"/>
    <x v="1"/>
    <n v="7"/>
    <n v="6"/>
    <n v="10"/>
    <n v="0.36"/>
    <n v="0.27666666666666667"/>
    <x v="1"/>
  </r>
  <r>
    <d v="2026-02-07T11:00:00"/>
    <x v="0"/>
    <s v="R112"/>
    <n v="10"/>
    <n v="40"/>
    <n v="24.327682722510929"/>
    <s v="24–26°C"/>
    <n v="3.59"/>
    <n v="2026"/>
    <x v="1"/>
    <n v="7"/>
    <n v="6"/>
    <n v="11"/>
    <n v="0.25"/>
    <n v="0.35899999999999999"/>
    <x v="1"/>
  </r>
  <r>
    <d v="2026-02-07T12:00:00"/>
    <x v="3"/>
    <s v="R115"/>
    <n v="5"/>
    <n v="40"/>
    <n v="23.145486657394461"/>
    <s v="22–24°C"/>
    <n v="1.87"/>
    <n v="2026"/>
    <x v="1"/>
    <n v="7"/>
    <n v="6"/>
    <n v="12"/>
    <n v="0.125"/>
    <n v="0.374"/>
    <x v="2"/>
  </r>
  <r>
    <d v="2026-02-07T13:00:00"/>
    <x v="0"/>
    <s v="R107"/>
    <n v="6"/>
    <n v="25"/>
    <n v="24.75802830911401"/>
    <s v="24–26°C"/>
    <n v="2.4300000000000002"/>
    <n v="2026"/>
    <x v="1"/>
    <n v="7"/>
    <n v="6"/>
    <n v="13"/>
    <n v="0.24"/>
    <n v="0.40500000000000003"/>
    <x v="2"/>
  </r>
  <r>
    <d v="2026-02-07T14:00:00"/>
    <x v="3"/>
    <s v="R107"/>
    <n v="9"/>
    <n v="30"/>
    <n v="19.939441728140419"/>
    <s v="18–20°C"/>
    <n v="3.32"/>
    <n v="2026"/>
    <x v="1"/>
    <n v="7"/>
    <n v="6"/>
    <n v="14"/>
    <n v="0.3"/>
    <n v="0.36888888888888888"/>
    <x v="2"/>
  </r>
  <r>
    <d v="2026-02-07T15:00:00"/>
    <x v="0"/>
    <s v="R115"/>
    <n v="6"/>
    <n v="20"/>
    <n v="22.01159690167459"/>
    <s v="22–24°C"/>
    <n v="1.86"/>
    <n v="2026"/>
    <x v="1"/>
    <n v="7"/>
    <n v="6"/>
    <n v="15"/>
    <n v="0.3"/>
    <n v="0.31"/>
    <x v="2"/>
  </r>
  <r>
    <d v="2026-02-07T16:00:00"/>
    <x v="4"/>
    <s v="R105"/>
    <n v="8"/>
    <n v="25"/>
    <n v="21.99115463340566"/>
    <s v="20–22°C"/>
    <n v="2.35"/>
    <n v="2026"/>
    <x v="1"/>
    <n v="7"/>
    <n v="6"/>
    <n v="16"/>
    <n v="0.32"/>
    <n v="0.29375000000000001"/>
    <x v="2"/>
  </r>
  <r>
    <d v="2026-02-07T17:00:00"/>
    <x v="4"/>
    <s v="R111"/>
    <n v="10"/>
    <n v="20"/>
    <n v="28.36101774326649"/>
    <s v="28–30°C"/>
    <n v="4.13"/>
    <n v="2026"/>
    <x v="1"/>
    <n v="7"/>
    <n v="6"/>
    <n v="17"/>
    <n v="0.5"/>
    <n v="0.41299999999999998"/>
    <x v="3"/>
  </r>
  <r>
    <d v="2026-02-07T18:00:00"/>
    <x v="1"/>
    <s v="R102"/>
    <n v="7"/>
    <n v="30"/>
    <n v="24.752426148544689"/>
    <s v="24–26°C"/>
    <n v="3.06"/>
    <n v="2026"/>
    <x v="1"/>
    <n v="7"/>
    <n v="6"/>
    <n v="18"/>
    <n v="0.23333333333333334"/>
    <n v="0.43714285714285717"/>
    <x v="3"/>
  </r>
  <r>
    <d v="2026-02-07T19:00:00"/>
    <x v="2"/>
    <s v="R111"/>
    <n v="6"/>
    <n v="25"/>
    <n v="26.200195693640961"/>
    <s v="26–28°C"/>
    <n v="3.39"/>
    <n v="2026"/>
    <x v="1"/>
    <n v="7"/>
    <n v="6"/>
    <n v="19"/>
    <n v="0.24"/>
    <n v="0.56500000000000006"/>
    <x v="3"/>
  </r>
  <r>
    <d v="2026-02-07T20:00:00"/>
    <x v="1"/>
    <s v="R106"/>
    <n v="12"/>
    <n v="20"/>
    <n v="22.372542553880301"/>
    <s v="22–24°C"/>
    <n v="3.78"/>
    <n v="2026"/>
    <x v="1"/>
    <n v="7"/>
    <n v="6"/>
    <n v="20"/>
    <n v="0.6"/>
    <n v="0.315"/>
    <x v="3"/>
  </r>
  <r>
    <d v="2026-02-07T21:00:00"/>
    <x v="2"/>
    <s v="R114"/>
    <n v="13"/>
    <n v="25"/>
    <n v="21.47428911560689"/>
    <s v="20–22°C"/>
    <n v="3.98"/>
    <n v="2026"/>
    <x v="1"/>
    <n v="7"/>
    <n v="6"/>
    <n v="21"/>
    <n v="0.52"/>
    <n v="0.30615384615384617"/>
    <x v="0"/>
  </r>
  <r>
    <d v="2026-02-07T22:00:00"/>
    <x v="4"/>
    <s v="R107"/>
    <n v="8"/>
    <n v="25"/>
    <n v="21.4259274421334"/>
    <s v="20–22°C"/>
    <n v="2.59"/>
    <n v="2026"/>
    <x v="1"/>
    <n v="7"/>
    <n v="6"/>
    <n v="22"/>
    <n v="0.32"/>
    <n v="0.32374999999999998"/>
    <x v="0"/>
  </r>
  <r>
    <d v="2026-02-07T23:00:00"/>
    <x v="3"/>
    <s v="R115"/>
    <n v="9"/>
    <n v="25"/>
    <n v="24.089249148998679"/>
    <s v="24–26°C"/>
    <n v="3.5"/>
    <n v="2026"/>
    <x v="1"/>
    <n v="7"/>
    <n v="6"/>
    <n v="23"/>
    <n v="0.36"/>
    <n v="0.3888888888888889"/>
    <x v="0"/>
  </r>
  <r>
    <d v="2026-02-08T00:00:00"/>
    <x v="1"/>
    <s v="R114"/>
    <n v="5"/>
    <n v="25"/>
    <n v="22.134724967332939"/>
    <s v="22–24°C"/>
    <n v="2.73"/>
    <n v="2026"/>
    <x v="1"/>
    <n v="8"/>
    <n v="0"/>
    <n v="0"/>
    <n v="0.2"/>
    <n v="0.54600000000000004"/>
    <x v="0"/>
  </r>
  <r>
    <d v="2026-02-08T01:00:00"/>
    <x v="1"/>
    <s v="R111"/>
    <n v="12"/>
    <n v="30"/>
    <n v="22.454679119550171"/>
    <s v="22–24°C"/>
    <n v="4.47"/>
    <n v="2026"/>
    <x v="1"/>
    <n v="8"/>
    <n v="0"/>
    <n v="1"/>
    <n v="0.4"/>
    <n v="0.3725"/>
    <x v="0"/>
  </r>
  <r>
    <d v="2026-02-08T02:00:00"/>
    <x v="2"/>
    <s v="R120"/>
    <n v="10"/>
    <n v="40"/>
    <n v="29.754765838165291"/>
    <s v="28–30°C"/>
    <n v="4.67"/>
    <n v="2026"/>
    <x v="1"/>
    <n v="8"/>
    <n v="0"/>
    <n v="2"/>
    <n v="0.25"/>
    <n v="0.46699999999999997"/>
    <x v="0"/>
  </r>
  <r>
    <d v="2026-02-08T03:00:00"/>
    <x v="0"/>
    <s v="R110"/>
    <n v="11"/>
    <n v="30"/>
    <n v="21.96272400503085"/>
    <s v="20–22°C"/>
    <n v="4.07"/>
    <n v="2026"/>
    <x v="1"/>
    <n v="8"/>
    <n v="0"/>
    <n v="3"/>
    <n v="0.36666666666666664"/>
    <n v="0.37000000000000005"/>
    <x v="0"/>
  </r>
  <r>
    <d v="2026-02-08T04:00:00"/>
    <x v="1"/>
    <s v="R118"/>
    <n v="7"/>
    <n v="40"/>
    <n v="20.04668555296389"/>
    <s v="20–22°C"/>
    <n v="3.16"/>
    <n v="2026"/>
    <x v="1"/>
    <n v="8"/>
    <n v="0"/>
    <n v="4"/>
    <n v="0.17499999999999999"/>
    <n v="0.45142857142857146"/>
    <x v="0"/>
  </r>
  <r>
    <d v="2026-02-08T05:00:00"/>
    <x v="0"/>
    <s v="R102"/>
    <n v="3"/>
    <n v="40"/>
    <n v="20.75224318974881"/>
    <s v="20–22°C"/>
    <n v="1.85"/>
    <n v="2026"/>
    <x v="1"/>
    <n v="8"/>
    <n v="0"/>
    <n v="5"/>
    <n v="7.4999999999999997E-2"/>
    <n v="0.6166666666666667"/>
    <x v="0"/>
  </r>
  <r>
    <d v="2026-02-08T06:00:00"/>
    <x v="0"/>
    <s v="R110"/>
    <n v="4"/>
    <n v="25"/>
    <n v="25.054091704355521"/>
    <s v="24–26°C"/>
    <n v="2.0699999999999998"/>
    <n v="2026"/>
    <x v="1"/>
    <n v="8"/>
    <n v="0"/>
    <n v="6"/>
    <n v="0.16"/>
    <n v="0.51749999999999996"/>
    <x v="0"/>
  </r>
  <r>
    <d v="2026-02-08T07:00:00"/>
    <x v="2"/>
    <s v="R120"/>
    <n v="8"/>
    <n v="40"/>
    <n v="22.823253424947211"/>
    <s v="22–24°C"/>
    <n v="3.59"/>
    <n v="2026"/>
    <x v="1"/>
    <n v="8"/>
    <n v="0"/>
    <n v="7"/>
    <n v="0.2"/>
    <n v="0.44874999999999998"/>
    <x v="1"/>
  </r>
  <r>
    <d v="2026-02-08T08:00:00"/>
    <x v="0"/>
    <s v="R119"/>
    <n v="11"/>
    <n v="30"/>
    <n v="24.662997733863321"/>
    <s v="24–26°C"/>
    <n v="4.1900000000000004"/>
    <n v="2026"/>
    <x v="1"/>
    <n v="8"/>
    <n v="0"/>
    <n v="8"/>
    <n v="0.36666666666666664"/>
    <n v="0.38090909090909092"/>
    <x v="1"/>
  </r>
  <r>
    <d v="2026-02-08T09:00:00"/>
    <x v="4"/>
    <s v="R106"/>
    <n v="6"/>
    <n v="30"/>
    <n v="21.07110745920507"/>
    <s v="20–22°C"/>
    <n v="2.42"/>
    <n v="2026"/>
    <x v="1"/>
    <n v="8"/>
    <n v="0"/>
    <n v="9"/>
    <n v="0.2"/>
    <n v="0.40333333333333332"/>
    <x v="1"/>
  </r>
  <r>
    <d v="2026-02-08T10:00:00"/>
    <x v="0"/>
    <s v="R112"/>
    <n v="12"/>
    <n v="20"/>
    <n v="23.13157729729793"/>
    <s v="22–24°C"/>
    <n v="4.47"/>
    <n v="2026"/>
    <x v="1"/>
    <n v="8"/>
    <n v="0"/>
    <n v="10"/>
    <n v="0.6"/>
    <n v="0.3725"/>
    <x v="1"/>
  </r>
  <r>
    <d v="2026-02-08T11:00:00"/>
    <x v="1"/>
    <s v="R119"/>
    <n v="6"/>
    <n v="30"/>
    <n v="24.575862504992109"/>
    <s v="24–26°C"/>
    <n v="2.82"/>
    <n v="2026"/>
    <x v="1"/>
    <n v="8"/>
    <n v="0"/>
    <n v="11"/>
    <n v="0.2"/>
    <n v="0.47"/>
    <x v="1"/>
  </r>
  <r>
    <d v="2026-02-08T12:00:00"/>
    <x v="2"/>
    <s v="R120"/>
    <n v="15"/>
    <n v="20"/>
    <n v="25.802208130928161"/>
    <s v="24–26°C"/>
    <n v="5.88"/>
    <n v="2026"/>
    <x v="1"/>
    <n v="8"/>
    <n v="0"/>
    <n v="12"/>
    <n v="0.75"/>
    <n v="0.39200000000000002"/>
    <x v="2"/>
  </r>
  <r>
    <d v="2026-02-08T13:00:00"/>
    <x v="1"/>
    <s v="R103"/>
    <n v="8"/>
    <n v="40"/>
    <n v="23.857522517761531"/>
    <s v="22–24°C"/>
    <n v="3.31"/>
    <n v="2026"/>
    <x v="1"/>
    <n v="8"/>
    <n v="0"/>
    <n v="13"/>
    <n v="0.2"/>
    <n v="0.41375000000000001"/>
    <x v="2"/>
  </r>
  <r>
    <d v="2026-02-08T14:00:00"/>
    <x v="0"/>
    <s v="R119"/>
    <n v="8"/>
    <n v="30"/>
    <n v="24.178400264465179"/>
    <s v="24–26°C"/>
    <n v="2.78"/>
    <n v="2026"/>
    <x v="1"/>
    <n v="8"/>
    <n v="0"/>
    <n v="14"/>
    <n v="0.26666666666666666"/>
    <n v="0.34749999999999998"/>
    <x v="2"/>
  </r>
  <r>
    <d v="2026-02-08T15:00:00"/>
    <x v="4"/>
    <s v="R114"/>
    <n v="11"/>
    <n v="20"/>
    <n v="22.073164857767811"/>
    <s v="22–24°C"/>
    <n v="3.24"/>
    <n v="2026"/>
    <x v="1"/>
    <n v="8"/>
    <n v="0"/>
    <n v="15"/>
    <n v="0.55000000000000004"/>
    <n v="0.29454545454545455"/>
    <x v="2"/>
  </r>
  <r>
    <d v="2026-02-08T16:00:00"/>
    <x v="3"/>
    <s v="R119"/>
    <n v="12"/>
    <n v="40"/>
    <n v="23.791828441916088"/>
    <s v="22–24°C"/>
    <n v="4.03"/>
    <n v="2026"/>
    <x v="1"/>
    <n v="8"/>
    <n v="0"/>
    <n v="16"/>
    <n v="0.3"/>
    <n v="0.33583333333333337"/>
    <x v="2"/>
  </r>
  <r>
    <d v="2026-02-08T17:00:00"/>
    <x v="3"/>
    <s v="R119"/>
    <n v="9"/>
    <n v="30"/>
    <n v="23.46773020201849"/>
    <s v="22–24°C"/>
    <n v="3.62"/>
    <n v="2026"/>
    <x v="1"/>
    <n v="8"/>
    <n v="0"/>
    <n v="17"/>
    <n v="0.3"/>
    <n v="0.40222222222222226"/>
    <x v="3"/>
  </r>
  <r>
    <d v="2026-02-08T18:00:00"/>
    <x v="1"/>
    <s v="R118"/>
    <n v="9"/>
    <n v="30"/>
    <n v="20.88432676277953"/>
    <s v="20–22°C"/>
    <n v="3.3"/>
    <n v="2026"/>
    <x v="1"/>
    <n v="8"/>
    <n v="0"/>
    <n v="18"/>
    <n v="0.3"/>
    <n v="0.36666666666666664"/>
    <x v="3"/>
  </r>
  <r>
    <d v="2026-02-08T19:00:00"/>
    <x v="2"/>
    <s v="R117"/>
    <n v="3"/>
    <n v="30"/>
    <n v="22.870455480404249"/>
    <s v="22–24°C"/>
    <n v="1.71"/>
    <n v="2026"/>
    <x v="1"/>
    <n v="8"/>
    <n v="0"/>
    <n v="19"/>
    <n v="0.1"/>
    <n v="0.56999999999999995"/>
    <x v="3"/>
  </r>
  <r>
    <d v="2026-02-08T20:00:00"/>
    <x v="0"/>
    <s v="R116"/>
    <n v="5"/>
    <n v="40"/>
    <n v="21.803441331604301"/>
    <s v="20–22°C"/>
    <n v="1.82"/>
    <n v="2026"/>
    <x v="1"/>
    <n v="8"/>
    <n v="0"/>
    <n v="20"/>
    <n v="0.125"/>
    <n v="0.36399999999999999"/>
    <x v="3"/>
  </r>
  <r>
    <d v="2026-02-08T21:00:00"/>
    <x v="0"/>
    <s v="R107"/>
    <n v="8"/>
    <n v="40"/>
    <n v="24.62893346549701"/>
    <s v="24–26°C"/>
    <n v="2.92"/>
    <n v="2026"/>
    <x v="1"/>
    <n v="8"/>
    <n v="0"/>
    <n v="21"/>
    <n v="0.2"/>
    <n v="0.36499999999999999"/>
    <x v="0"/>
  </r>
  <r>
    <d v="2026-02-08T22:00:00"/>
    <x v="3"/>
    <s v="R111"/>
    <n v="9"/>
    <n v="25"/>
    <n v="20.542447701900731"/>
    <s v="20–22°C"/>
    <n v="3.21"/>
    <n v="2026"/>
    <x v="1"/>
    <n v="8"/>
    <n v="0"/>
    <n v="22"/>
    <n v="0.36"/>
    <n v="0.35666666666666669"/>
    <x v="0"/>
  </r>
  <r>
    <d v="2026-02-08T23:00:00"/>
    <x v="0"/>
    <s v="R107"/>
    <n v="8"/>
    <n v="40"/>
    <n v="21.228572400400619"/>
    <s v="20–22°C"/>
    <n v="2.73"/>
    <n v="2026"/>
    <x v="1"/>
    <n v="8"/>
    <n v="0"/>
    <n v="23"/>
    <n v="0.2"/>
    <n v="0.34125"/>
    <x v="0"/>
  </r>
  <r>
    <d v="2026-02-09T00:00:00"/>
    <x v="1"/>
    <s v="R116"/>
    <n v="4"/>
    <n v="20"/>
    <n v="23.675225185110371"/>
    <s v="22–24°C"/>
    <n v="2.25"/>
    <n v="2026"/>
    <x v="1"/>
    <n v="9"/>
    <n v="1"/>
    <n v="0"/>
    <n v="0.2"/>
    <n v="0.5625"/>
    <x v="0"/>
  </r>
  <r>
    <d v="2026-02-09T01:00:00"/>
    <x v="1"/>
    <s v="R115"/>
    <n v="10"/>
    <n v="40"/>
    <n v="22.848657854685872"/>
    <s v="22–24°C"/>
    <n v="3.89"/>
    <n v="2026"/>
    <x v="1"/>
    <n v="9"/>
    <n v="1"/>
    <n v="1"/>
    <n v="0.25"/>
    <n v="0.38900000000000001"/>
    <x v="0"/>
  </r>
  <r>
    <d v="2026-02-09T02:00:00"/>
    <x v="0"/>
    <s v="R110"/>
    <n v="6"/>
    <n v="30"/>
    <n v="24.996232977432239"/>
    <s v="24–26°C"/>
    <n v="2.81"/>
    <n v="2026"/>
    <x v="1"/>
    <n v="9"/>
    <n v="1"/>
    <n v="2"/>
    <n v="0.2"/>
    <n v="0.46833333333333332"/>
    <x v="0"/>
  </r>
  <r>
    <d v="2026-02-09T03:00:00"/>
    <x v="0"/>
    <s v="R109"/>
    <n v="7"/>
    <n v="20"/>
    <n v="20.827216244244909"/>
    <s v="20–22°C"/>
    <n v="2.88"/>
    <n v="2026"/>
    <x v="1"/>
    <n v="9"/>
    <n v="1"/>
    <n v="3"/>
    <n v="0.35"/>
    <n v="0.41142857142857142"/>
    <x v="0"/>
  </r>
  <r>
    <d v="2026-02-09T04:00:00"/>
    <x v="1"/>
    <s v="R112"/>
    <n v="8"/>
    <n v="40"/>
    <n v="19.440249783583671"/>
    <s v="18–20°C"/>
    <n v="3.5"/>
    <n v="2026"/>
    <x v="1"/>
    <n v="9"/>
    <n v="1"/>
    <n v="4"/>
    <n v="0.2"/>
    <n v="0.4375"/>
    <x v="0"/>
  </r>
  <r>
    <d v="2026-02-09T05:00:00"/>
    <x v="4"/>
    <s v="R111"/>
    <n v="7"/>
    <n v="30"/>
    <n v="25.096407935350548"/>
    <s v="24–26°C"/>
    <n v="2.76"/>
    <n v="2026"/>
    <x v="1"/>
    <n v="9"/>
    <n v="1"/>
    <n v="5"/>
    <n v="0.23333333333333334"/>
    <n v="0.39428571428571424"/>
    <x v="0"/>
  </r>
  <r>
    <d v="2026-02-09T06:00:00"/>
    <x v="3"/>
    <s v="R110"/>
    <n v="9"/>
    <n v="20"/>
    <n v="21.145253988608129"/>
    <s v="20–22°C"/>
    <n v="3.56"/>
    <n v="2026"/>
    <x v="1"/>
    <n v="9"/>
    <n v="1"/>
    <n v="6"/>
    <n v="0.45"/>
    <n v="0.39555555555555555"/>
    <x v="0"/>
  </r>
  <r>
    <d v="2026-02-09T07:00:00"/>
    <x v="0"/>
    <s v="R116"/>
    <n v="7"/>
    <n v="25"/>
    <n v="22.352182293568159"/>
    <s v="22–24°C"/>
    <n v="2.67"/>
    <n v="2026"/>
    <x v="1"/>
    <n v="9"/>
    <n v="1"/>
    <n v="7"/>
    <n v="0.28000000000000003"/>
    <n v="0.38142857142857139"/>
    <x v="1"/>
  </r>
  <r>
    <d v="2026-02-09T08:00:00"/>
    <x v="3"/>
    <s v="R105"/>
    <n v="7"/>
    <n v="40"/>
    <n v="23.960127235808208"/>
    <s v="22–24°C"/>
    <n v="3.26"/>
    <n v="2026"/>
    <x v="1"/>
    <n v="9"/>
    <n v="1"/>
    <n v="8"/>
    <n v="0.17499999999999999"/>
    <n v="0.46571428571428569"/>
    <x v="1"/>
  </r>
  <r>
    <d v="2026-02-09T09:00:00"/>
    <x v="0"/>
    <s v="R119"/>
    <n v="11"/>
    <n v="20"/>
    <n v="23.121570745002611"/>
    <s v="22–24°C"/>
    <n v="4.3"/>
    <n v="2026"/>
    <x v="1"/>
    <n v="9"/>
    <n v="1"/>
    <n v="9"/>
    <n v="0.55000000000000004"/>
    <n v="0.39090909090909087"/>
    <x v="1"/>
  </r>
  <r>
    <d v="2026-02-09T10:00:00"/>
    <x v="2"/>
    <s v="R109"/>
    <n v="5"/>
    <n v="30"/>
    <n v="20.3419847255531"/>
    <s v="20–22°C"/>
    <n v="2.08"/>
    <n v="2026"/>
    <x v="1"/>
    <n v="9"/>
    <n v="1"/>
    <n v="10"/>
    <n v="0.16666666666666666"/>
    <n v="0.41600000000000004"/>
    <x v="1"/>
  </r>
  <r>
    <d v="2026-02-09T11:00:00"/>
    <x v="2"/>
    <s v="R109"/>
    <n v="15"/>
    <n v="25"/>
    <n v="18.291034154606791"/>
    <s v="18–20°C"/>
    <n v="5.1100000000000003"/>
    <n v="2026"/>
    <x v="1"/>
    <n v="9"/>
    <n v="1"/>
    <n v="11"/>
    <n v="0.6"/>
    <n v="0.34066666666666667"/>
    <x v="1"/>
  </r>
  <r>
    <d v="2026-02-09T12:00:00"/>
    <x v="4"/>
    <s v="R114"/>
    <n v="10"/>
    <n v="40"/>
    <n v="21.265108006638808"/>
    <s v="20–22°C"/>
    <n v="3.41"/>
    <n v="2026"/>
    <x v="1"/>
    <n v="9"/>
    <n v="1"/>
    <n v="12"/>
    <n v="0.25"/>
    <n v="0.34100000000000003"/>
    <x v="2"/>
  </r>
  <r>
    <d v="2026-02-09T13:00:00"/>
    <x v="1"/>
    <s v="R109"/>
    <n v="6"/>
    <n v="25"/>
    <n v="19.761653886968269"/>
    <s v="18–20°C"/>
    <n v="2.82"/>
    <n v="2026"/>
    <x v="1"/>
    <n v="9"/>
    <n v="1"/>
    <n v="13"/>
    <n v="0.24"/>
    <n v="0.47"/>
    <x v="2"/>
  </r>
  <r>
    <d v="2026-02-09T14:00:00"/>
    <x v="1"/>
    <s v="R120"/>
    <n v="7"/>
    <n v="40"/>
    <n v="25.909652348293299"/>
    <s v="24–26°C"/>
    <n v="2.65"/>
    <n v="2026"/>
    <x v="1"/>
    <n v="9"/>
    <n v="1"/>
    <n v="14"/>
    <n v="0.17499999999999999"/>
    <n v="0.37857142857142856"/>
    <x v="2"/>
  </r>
  <r>
    <d v="2026-02-09T15:00:00"/>
    <x v="4"/>
    <s v="R103"/>
    <n v="6"/>
    <n v="40"/>
    <n v="25.54551507327076"/>
    <s v="24–26°C"/>
    <n v="2.36"/>
    <n v="2026"/>
    <x v="1"/>
    <n v="9"/>
    <n v="1"/>
    <n v="15"/>
    <n v="0.15"/>
    <n v="0.39333333333333331"/>
    <x v="2"/>
  </r>
  <r>
    <d v="2026-02-09T16:00:00"/>
    <x v="3"/>
    <s v="R120"/>
    <n v="3"/>
    <n v="40"/>
    <n v="23.302315490507219"/>
    <s v="22–24°C"/>
    <n v="1.1499999999999999"/>
    <n v="2026"/>
    <x v="1"/>
    <n v="9"/>
    <n v="1"/>
    <n v="16"/>
    <n v="7.4999999999999997E-2"/>
    <n v="0.3833333333333333"/>
    <x v="2"/>
  </r>
  <r>
    <d v="2026-02-09T17:00:00"/>
    <x v="1"/>
    <s v="R103"/>
    <n v="9"/>
    <n v="30"/>
    <n v="20.733663008255881"/>
    <s v="20–22°C"/>
    <n v="3.41"/>
    <n v="2026"/>
    <x v="1"/>
    <n v="9"/>
    <n v="1"/>
    <n v="17"/>
    <n v="0.3"/>
    <n v="0.37888888888888889"/>
    <x v="3"/>
  </r>
  <r>
    <d v="2026-02-09T18:00:00"/>
    <x v="4"/>
    <s v="R101"/>
    <n v="8"/>
    <n v="30"/>
    <n v="21.419965806369579"/>
    <s v="20–22°C"/>
    <n v="3.09"/>
    <n v="2026"/>
    <x v="1"/>
    <n v="9"/>
    <n v="1"/>
    <n v="18"/>
    <n v="0.26666666666666666"/>
    <n v="0.38624999999999998"/>
    <x v="3"/>
  </r>
  <r>
    <d v="2026-02-09T19:00:00"/>
    <x v="1"/>
    <s v="R119"/>
    <n v="11"/>
    <n v="40"/>
    <n v="26.030827630696422"/>
    <s v="26–28°C"/>
    <n v="4.5"/>
    <n v="2026"/>
    <x v="1"/>
    <n v="9"/>
    <n v="1"/>
    <n v="19"/>
    <n v="0.27500000000000002"/>
    <n v="0.40909090909090912"/>
    <x v="3"/>
  </r>
  <r>
    <d v="2026-02-09T20:00:00"/>
    <x v="0"/>
    <s v="R109"/>
    <n v="6"/>
    <n v="20"/>
    <n v="21.55971479967938"/>
    <s v="20–22°C"/>
    <n v="2.58"/>
    <n v="2026"/>
    <x v="1"/>
    <n v="9"/>
    <n v="1"/>
    <n v="20"/>
    <n v="0.3"/>
    <n v="0.43"/>
    <x v="3"/>
  </r>
  <r>
    <d v="2026-02-09T21:00:00"/>
    <x v="0"/>
    <s v="R111"/>
    <n v="10"/>
    <n v="25"/>
    <n v="23.49381212683322"/>
    <s v="22–24°C"/>
    <n v="3.19"/>
    <n v="2026"/>
    <x v="1"/>
    <n v="9"/>
    <n v="1"/>
    <n v="21"/>
    <n v="0.4"/>
    <n v="0.31900000000000001"/>
    <x v="0"/>
  </r>
  <r>
    <d v="2026-02-09T22:00:00"/>
    <x v="4"/>
    <s v="R119"/>
    <n v="12"/>
    <n v="25"/>
    <n v="24.939681729679819"/>
    <s v="24–26°C"/>
    <n v="4.3099999999999996"/>
    <n v="2026"/>
    <x v="1"/>
    <n v="9"/>
    <n v="1"/>
    <n v="22"/>
    <n v="0.48"/>
    <n v="0.35916666666666663"/>
    <x v="0"/>
  </r>
  <r>
    <d v="2026-02-09T23:00:00"/>
    <x v="4"/>
    <s v="R110"/>
    <n v="4"/>
    <n v="40"/>
    <n v="23.769932832095272"/>
    <s v="22–24°C"/>
    <n v="2.31"/>
    <n v="2026"/>
    <x v="1"/>
    <n v="9"/>
    <n v="1"/>
    <n v="23"/>
    <n v="0.1"/>
    <n v="0.57750000000000001"/>
    <x v="0"/>
  </r>
  <r>
    <d v="2026-02-10T00:00:00"/>
    <x v="1"/>
    <s v="R106"/>
    <n v="12"/>
    <n v="25"/>
    <n v="22.343118525342369"/>
    <s v="22–24°C"/>
    <n v="3.81"/>
    <n v="2026"/>
    <x v="1"/>
    <n v="10"/>
    <n v="2"/>
    <n v="0"/>
    <n v="0.48"/>
    <n v="0.3175"/>
    <x v="0"/>
  </r>
  <r>
    <d v="2026-02-10T01:00:00"/>
    <x v="0"/>
    <s v="R119"/>
    <n v="16"/>
    <n v="30"/>
    <n v="22.93087152031239"/>
    <s v="22–24°C"/>
    <n v="5.21"/>
    <n v="2026"/>
    <x v="1"/>
    <n v="10"/>
    <n v="2"/>
    <n v="1"/>
    <n v="0.53333333333333333"/>
    <n v="0.325625"/>
    <x v="0"/>
  </r>
  <r>
    <d v="2026-02-10T02:00:00"/>
    <x v="3"/>
    <s v="R108"/>
    <n v="5"/>
    <n v="40"/>
    <n v="26.18404979715217"/>
    <s v="26–28°C"/>
    <n v="2.5"/>
    <n v="2026"/>
    <x v="1"/>
    <n v="10"/>
    <n v="2"/>
    <n v="2"/>
    <n v="0.125"/>
    <n v="0.5"/>
    <x v="0"/>
  </r>
  <r>
    <d v="2026-02-10T03:00:00"/>
    <x v="4"/>
    <s v="R118"/>
    <n v="12"/>
    <n v="25"/>
    <n v="20.185902938002108"/>
    <s v="20–22°C"/>
    <n v="3.56"/>
    <n v="2026"/>
    <x v="1"/>
    <n v="10"/>
    <n v="2"/>
    <n v="3"/>
    <n v="0.48"/>
    <n v="0.29666666666666669"/>
    <x v="0"/>
  </r>
  <r>
    <d v="2026-02-10T04:00:00"/>
    <x v="4"/>
    <s v="R101"/>
    <n v="4"/>
    <n v="25"/>
    <n v="24.288621000216398"/>
    <s v="24–26°C"/>
    <n v="2.19"/>
    <n v="2026"/>
    <x v="1"/>
    <n v="10"/>
    <n v="2"/>
    <n v="4"/>
    <n v="0.16"/>
    <n v="0.54749999999999999"/>
    <x v="0"/>
  </r>
  <r>
    <d v="2026-02-10T05:00:00"/>
    <x v="3"/>
    <s v="R103"/>
    <n v="6"/>
    <n v="30"/>
    <n v="23.236031928215809"/>
    <s v="22–24°C"/>
    <n v="1.86"/>
    <n v="2026"/>
    <x v="1"/>
    <n v="10"/>
    <n v="2"/>
    <n v="5"/>
    <n v="0.2"/>
    <n v="0.31"/>
    <x v="0"/>
  </r>
  <r>
    <d v="2026-02-10T06:00:00"/>
    <x v="3"/>
    <s v="R120"/>
    <n v="7"/>
    <n v="40"/>
    <n v="21.70170763048219"/>
    <s v="20–22°C"/>
    <n v="2.48"/>
    <n v="2026"/>
    <x v="1"/>
    <n v="10"/>
    <n v="2"/>
    <n v="6"/>
    <n v="0.17499999999999999"/>
    <n v="0.35428571428571426"/>
    <x v="0"/>
  </r>
  <r>
    <d v="2026-02-10T07:00:00"/>
    <x v="2"/>
    <s v="R104"/>
    <n v="13"/>
    <n v="30"/>
    <n v="22.281733955405841"/>
    <s v="22–24°C"/>
    <n v="3.48"/>
    <n v="2026"/>
    <x v="1"/>
    <n v="10"/>
    <n v="2"/>
    <n v="7"/>
    <n v="0.43333333333333335"/>
    <n v="0.26769230769230767"/>
    <x v="1"/>
  </r>
  <r>
    <d v="2026-02-10T08:00:00"/>
    <x v="4"/>
    <s v="R114"/>
    <n v="12"/>
    <n v="40"/>
    <n v="24.94282471534472"/>
    <s v="24–26°C"/>
    <n v="3.85"/>
    <n v="2026"/>
    <x v="1"/>
    <n v="10"/>
    <n v="2"/>
    <n v="8"/>
    <n v="0.3"/>
    <n v="0.32083333333333336"/>
    <x v="1"/>
  </r>
  <r>
    <d v="2026-02-10T09:00:00"/>
    <x v="1"/>
    <s v="R106"/>
    <n v="8"/>
    <n v="30"/>
    <n v="26.201125014739919"/>
    <s v="26–28°C"/>
    <n v="3.31"/>
    <n v="2026"/>
    <x v="1"/>
    <n v="10"/>
    <n v="2"/>
    <n v="9"/>
    <n v="0.26666666666666666"/>
    <n v="0.41375000000000001"/>
    <x v="1"/>
  </r>
  <r>
    <d v="2026-02-10T10:00:00"/>
    <x v="2"/>
    <s v="R102"/>
    <n v="6"/>
    <n v="20"/>
    <n v="25.314489095462051"/>
    <s v="24–26°C"/>
    <n v="2.75"/>
    <n v="2026"/>
    <x v="1"/>
    <n v="10"/>
    <n v="2"/>
    <n v="10"/>
    <n v="0.3"/>
    <n v="0.45833333333333331"/>
    <x v="1"/>
  </r>
  <r>
    <d v="2026-02-10T11:00:00"/>
    <x v="3"/>
    <s v="R119"/>
    <n v="12"/>
    <n v="25"/>
    <n v="22.271419808215182"/>
    <s v="22–24°C"/>
    <n v="4.45"/>
    <n v="2026"/>
    <x v="1"/>
    <n v="10"/>
    <n v="2"/>
    <n v="11"/>
    <n v="0.48"/>
    <n v="0.37083333333333335"/>
    <x v="1"/>
  </r>
  <r>
    <d v="2026-02-10T12:00:00"/>
    <x v="2"/>
    <s v="R111"/>
    <n v="8"/>
    <n v="20"/>
    <n v="25.512394878827369"/>
    <s v="24–26°C"/>
    <n v="3.68"/>
    <n v="2026"/>
    <x v="1"/>
    <n v="10"/>
    <n v="2"/>
    <n v="12"/>
    <n v="0.4"/>
    <n v="0.46"/>
    <x v="2"/>
  </r>
  <r>
    <d v="2026-02-10T13:00:00"/>
    <x v="0"/>
    <s v="R111"/>
    <n v="7"/>
    <n v="25"/>
    <n v="21.26623083023307"/>
    <s v="20–22°C"/>
    <n v="2.65"/>
    <n v="2026"/>
    <x v="1"/>
    <n v="10"/>
    <n v="2"/>
    <n v="13"/>
    <n v="0.28000000000000003"/>
    <n v="0.37857142857142856"/>
    <x v="2"/>
  </r>
  <r>
    <d v="2026-02-10T14:00:00"/>
    <x v="2"/>
    <s v="R120"/>
    <n v="16"/>
    <n v="20"/>
    <n v="20.54199427901111"/>
    <s v="20–22°C"/>
    <n v="5.3"/>
    <n v="2026"/>
    <x v="1"/>
    <n v="10"/>
    <n v="2"/>
    <n v="14"/>
    <n v="0.8"/>
    <n v="0.33124999999999999"/>
    <x v="2"/>
  </r>
  <r>
    <d v="2026-02-10T15:00:00"/>
    <x v="0"/>
    <s v="R103"/>
    <n v="6"/>
    <n v="20"/>
    <n v="22.026647354236811"/>
    <s v="22–24°C"/>
    <n v="2.59"/>
    <n v="2026"/>
    <x v="1"/>
    <n v="10"/>
    <n v="2"/>
    <n v="15"/>
    <n v="0.3"/>
    <n v="0.43166666666666664"/>
    <x v="2"/>
  </r>
  <r>
    <d v="2026-02-10T16:00:00"/>
    <x v="1"/>
    <s v="R118"/>
    <n v="10"/>
    <n v="30"/>
    <n v="20.976437648554331"/>
    <s v="20–22°C"/>
    <n v="3.36"/>
    <n v="2026"/>
    <x v="1"/>
    <n v="10"/>
    <n v="2"/>
    <n v="16"/>
    <n v="0.33333333333333331"/>
    <n v="0.33599999999999997"/>
    <x v="2"/>
  </r>
  <r>
    <d v="2026-02-10T17:00:00"/>
    <x v="1"/>
    <s v="R104"/>
    <n v="8"/>
    <n v="25"/>
    <n v="22.699063717010031"/>
    <s v="22–24°C"/>
    <n v="2.71"/>
    <n v="2026"/>
    <x v="1"/>
    <n v="10"/>
    <n v="2"/>
    <n v="17"/>
    <n v="0.32"/>
    <n v="0.33875"/>
    <x v="3"/>
  </r>
  <r>
    <d v="2026-02-10T18:00:00"/>
    <x v="3"/>
    <s v="R114"/>
    <n v="11"/>
    <n v="40"/>
    <n v="23.089104331142298"/>
    <s v="22–24°C"/>
    <n v="3.3"/>
    <n v="2026"/>
    <x v="1"/>
    <n v="10"/>
    <n v="2"/>
    <n v="18"/>
    <n v="0.27500000000000002"/>
    <n v="0.3"/>
    <x v="3"/>
  </r>
  <r>
    <d v="2026-02-10T19:00:00"/>
    <x v="1"/>
    <s v="R119"/>
    <n v="8"/>
    <n v="20"/>
    <n v="22.71082256602789"/>
    <s v="22–24°C"/>
    <n v="3.37"/>
    <n v="2026"/>
    <x v="1"/>
    <n v="10"/>
    <n v="2"/>
    <n v="19"/>
    <n v="0.4"/>
    <n v="0.42125000000000001"/>
    <x v="3"/>
  </r>
  <r>
    <d v="2026-02-10T20:00:00"/>
    <x v="4"/>
    <s v="R101"/>
    <n v="9"/>
    <n v="25"/>
    <n v="24.65377843963342"/>
    <s v="24–26°C"/>
    <n v="3.37"/>
    <n v="2026"/>
    <x v="1"/>
    <n v="10"/>
    <n v="2"/>
    <n v="20"/>
    <n v="0.36"/>
    <n v="0.37444444444444447"/>
    <x v="3"/>
  </r>
  <r>
    <d v="2026-02-10T21:00:00"/>
    <x v="3"/>
    <s v="R107"/>
    <n v="10"/>
    <n v="25"/>
    <n v="21.046759368272891"/>
    <s v="20–22°C"/>
    <n v="3.49"/>
    <n v="2026"/>
    <x v="1"/>
    <n v="10"/>
    <n v="2"/>
    <n v="21"/>
    <n v="0.4"/>
    <n v="0.34900000000000003"/>
    <x v="0"/>
  </r>
  <r>
    <d v="2026-02-10T22:00:00"/>
    <x v="4"/>
    <s v="R112"/>
    <n v="7"/>
    <n v="30"/>
    <n v="22.55394863746719"/>
    <s v="22–24°C"/>
    <n v="2.72"/>
    <n v="2026"/>
    <x v="1"/>
    <n v="10"/>
    <n v="2"/>
    <n v="22"/>
    <n v="0.23333333333333334"/>
    <n v="0.38857142857142862"/>
    <x v="0"/>
  </r>
  <r>
    <d v="2026-02-10T23:00:00"/>
    <x v="0"/>
    <s v="R104"/>
    <n v="8"/>
    <n v="30"/>
    <n v="22.952889199558491"/>
    <s v="22–24°C"/>
    <n v="2.86"/>
    <n v="2026"/>
    <x v="1"/>
    <n v="10"/>
    <n v="2"/>
    <n v="23"/>
    <n v="0.26666666666666666"/>
    <n v="0.35749999999999998"/>
    <x v="0"/>
  </r>
  <r>
    <d v="2026-02-11T00:00:00"/>
    <x v="2"/>
    <s v="R120"/>
    <n v="6"/>
    <n v="20"/>
    <n v="22.267316645724481"/>
    <s v="22–24°C"/>
    <n v="2.39"/>
    <n v="2026"/>
    <x v="1"/>
    <n v="11"/>
    <n v="3"/>
    <n v="0"/>
    <n v="0.3"/>
    <n v="0.39833333333333337"/>
    <x v="0"/>
  </r>
  <r>
    <d v="2026-02-11T01:00:00"/>
    <x v="2"/>
    <s v="R119"/>
    <n v="12"/>
    <n v="30"/>
    <n v="21.85644618278123"/>
    <s v="20–22°C"/>
    <n v="3.27"/>
    <n v="2026"/>
    <x v="1"/>
    <n v="11"/>
    <n v="3"/>
    <n v="1"/>
    <n v="0.4"/>
    <n v="0.27250000000000002"/>
    <x v="0"/>
  </r>
  <r>
    <d v="2026-02-11T02:00:00"/>
    <x v="3"/>
    <s v="R109"/>
    <n v="4"/>
    <n v="20"/>
    <n v="23.665520957274019"/>
    <s v="22–24°C"/>
    <n v="2.2200000000000002"/>
    <n v="2026"/>
    <x v="1"/>
    <n v="11"/>
    <n v="3"/>
    <n v="2"/>
    <n v="0.2"/>
    <n v="0.55500000000000005"/>
    <x v="0"/>
  </r>
  <r>
    <d v="2026-02-11T03:00:00"/>
    <x v="0"/>
    <s v="R104"/>
    <n v="7"/>
    <n v="20"/>
    <n v="24.906018996428099"/>
    <s v="24–26°C"/>
    <n v="2.9"/>
    <n v="2026"/>
    <x v="1"/>
    <n v="11"/>
    <n v="3"/>
    <n v="3"/>
    <n v="0.35"/>
    <n v="0.41428571428571426"/>
    <x v="0"/>
  </r>
  <r>
    <d v="2026-02-11T04:00:00"/>
    <x v="4"/>
    <s v="R113"/>
    <n v="7"/>
    <n v="20"/>
    <n v="24.33413094545671"/>
    <s v="24–26°C"/>
    <n v="2.44"/>
    <n v="2026"/>
    <x v="1"/>
    <n v="11"/>
    <n v="3"/>
    <n v="4"/>
    <n v="0.35"/>
    <n v="0.34857142857142859"/>
    <x v="0"/>
  </r>
  <r>
    <d v="2026-02-11T05:00:00"/>
    <x v="4"/>
    <s v="R108"/>
    <n v="10"/>
    <n v="20"/>
    <n v="21.874406138495939"/>
    <s v="20–22°C"/>
    <n v="3.8"/>
    <n v="2026"/>
    <x v="1"/>
    <n v="11"/>
    <n v="3"/>
    <n v="5"/>
    <n v="0.5"/>
    <n v="0.38"/>
    <x v="0"/>
  </r>
  <r>
    <d v="2026-02-11T06:00:00"/>
    <x v="4"/>
    <s v="R106"/>
    <n v="12"/>
    <n v="30"/>
    <n v="26.049034362231811"/>
    <s v="26–28°C"/>
    <n v="4.2699999999999996"/>
    <n v="2026"/>
    <x v="1"/>
    <n v="11"/>
    <n v="3"/>
    <n v="6"/>
    <n v="0.4"/>
    <n v="0.35583333333333328"/>
    <x v="0"/>
  </r>
  <r>
    <d v="2026-02-11T07:00:00"/>
    <x v="0"/>
    <s v="R105"/>
    <n v="8"/>
    <n v="30"/>
    <n v="23.94616534399011"/>
    <s v="22–24°C"/>
    <n v="2.78"/>
    <n v="2026"/>
    <x v="1"/>
    <n v="11"/>
    <n v="3"/>
    <n v="7"/>
    <n v="0.26666666666666666"/>
    <n v="0.34749999999999998"/>
    <x v="1"/>
  </r>
  <r>
    <d v="2026-02-11T08:00:00"/>
    <x v="0"/>
    <s v="R113"/>
    <n v="10"/>
    <n v="30"/>
    <n v="23.610301671749941"/>
    <s v="22–24°C"/>
    <n v="3.89"/>
    <n v="2026"/>
    <x v="1"/>
    <n v="11"/>
    <n v="3"/>
    <n v="8"/>
    <n v="0.33333333333333331"/>
    <n v="0.38900000000000001"/>
    <x v="1"/>
  </r>
  <r>
    <d v="2026-02-11T09:00:00"/>
    <x v="0"/>
    <s v="R106"/>
    <n v="6"/>
    <n v="25"/>
    <n v="22.634395135187269"/>
    <s v="22–24°C"/>
    <n v="2.13"/>
    <n v="2026"/>
    <x v="1"/>
    <n v="11"/>
    <n v="3"/>
    <n v="9"/>
    <n v="0.24"/>
    <n v="0.35499999999999998"/>
    <x v="1"/>
  </r>
  <r>
    <d v="2026-02-11T10:00:00"/>
    <x v="3"/>
    <s v="R110"/>
    <n v="11"/>
    <n v="25"/>
    <n v="20.22646357832463"/>
    <s v="20–22°C"/>
    <n v="3.78"/>
    <n v="2026"/>
    <x v="1"/>
    <n v="11"/>
    <n v="3"/>
    <n v="10"/>
    <n v="0.44"/>
    <n v="0.34363636363636363"/>
    <x v="1"/>
  </r>
  <r>
    <d v="2026-02-11T11:00:00"/>
    <x v="0"/>
    <s v="R103"/>
    <n v="13"/>
    <n v="20"/>
    <n v="22.434380009914911"/>
    <s v="22–24°C"/>
    <n v="4.0999999999999996"/>
    <n v="2026"/>
    <x v="1"/>
    <n v="11"/>
    <n v="3"/>
    <n v="11"/>
    <n v="0.65"/>
    <n v="0.31538461538461537"/>
    <x v="1"/>
  </r>
  <r>
    <d v="2026-02-11T12:00:00"/>
    <x v="2"/>
    <s v="R109"/>
    <n v="6"/>
    <n v="40"/>
    <n v="19.510934222787888"/>
    <s v="18–20°C"/>
    <n v="2.4700000000000002"/>
    <n v="2026"/>
    <x v="1"/>
    <n v="11"/>
    <n v="3"/>
    <n v="12"/>
    <n v="0.15"/>
    <n v="0.41166666666666668"/>
    <x v="2"/>
  </r>
  <r>
    <d v="2026-02-11T13:00:00"/>
    <x v="3"/>
    <s v="R119"/>
    <n v="7"/>
    <n v="30"/>
    <n v="23.801283276679669"/>
    <s v="22–24°C"/>
    <n v="2.58"/>
    <n v="2026"/>
    <x v="1"/>
    <n v="11"/>
    <n v="3"/>
    <n v="13"/>
    <n v="0.23333333333333334"/>
    <n v="0.36857142857142861"/>
    <x v="2"/>
  </r>
  <r>
    <d v="2026-02-11T14:00:00"/>
    <x v="1"/>
    <s v="R108"/>
    <n v="7"/>
    <n v="25"/>
    <n v="25.983347717603611"/>
    <s v="24–26°C"/>
    <n v="3.36"/>
    <n v="2026"/>
    <x v="1"/>
    <n v="11"/>
    <n v="3"/>
    <n v="14"/>
    <n v="0.28000000000000003"/>
    <n v="0.48"/>
    <x v="2"/>
  </r>
  <r>
    <d v="2026-02-11T15:00:00"/>
    <x v="1"/>
    <s v="R109"/>
    <n v="9"/>
    <n v="25"/>
    <n v="22.785242763179909"/>
    <s v="22–24°C"/>
    <n v="3.65"/>
    <n v="2026"/>
    <x v="1"/>
    <n v="11"/>
    <n v="3"/>
    <n v="15"/>
    <n v="0.36"/>
    <n v="0.40555555555555556"/>
    <x v="2"/>
  </r>
  <r>
    <d v="2026-02-11T16:00:00"/>
    <x v="3"/>
    <s v="R114"/>
    <n v="8"/>
    <n v="25"/>
    <n v="23.681763318923121"/>
    <s v="22–24°C"/>
    <n v="3.28"/>
    <n v="2026"/>
    <x v="1"/>
    <n v="11"/>
    <n v="3"/>
    <n v="16"/>
    <n v="0.32"/>
    <n v="0.41"/>
    <x v="2"/>
  </r>
  <r>
    <d v="2026-02-11T17:00:00"/>
    <x v="1"/>
    <s v="R102"/>
    <n v="7"/>
    <n v="25"/>
    <n v="25.132703782390479"/>
    <s v="24–26°C"/>
    <n v="3.11"/>
    <n v="2026"/>
    <x v="1"/>
    <n v="11"/>
    <n v="3"/>
    <n v="17"/>
    <n v="0.28000000000000003"/>
    <n v="0.44428571428571428"/>
    <x v="3"/>
  </r>
  <r>
    <d v="2026-02-11T18:00:00"/>
    <x v="0"/>
    <s v="R120"/>
    <n v="8"/>
    <n v="30"/>
    <n v="26.06476076517524"/>
    <s v="26–28°C"/>
    <n v="3.54"/>
    <n v="2026"/>
    <x v="1"/>
    <n v="11"/>
    <n v="3"/>
    <n v="18"/>
    <n v="0.26666666666666666"/>
    <n v="0.4425"/>
    <x v="3"/>
  </r>
  <r>
    <d v="2026-02-11T19:00:00"/>
    <x v="0"/>
    <s v="R102"/>
    <n v="7"/>
    <n v="40"/>
    <n v="25.12433489517732"/>
    <s v="24–26°C"/>
    <n v="2.92"/>
    <n v="2026"/>
    <x v="1"/>
    <n v="11"/>
    <n v="3"/>
    <n v="19"/>
    <n v="0.17499999999999999"/>
    <n v="0.41714285714285715"/>
    <x v="3"/>
  </r>
  <r>
    <d v="2026-02-11T20:00:00"/>
    <x v="0"/>
    <s v="R117"/>
    <n v="14"/>
    <n v="25"/>
    <n v="24.66655723420687"/>
    <s v="24–26°C"/>
    <n v="4.88"/>
    <n v="2026"/>
    <x v="1"/>
    <n v="11"/>
    <n v="3"/>
    <n v="20"/>
    <n v="0.56000000000000005"/>
    <n v="0.34857142857142859"/>
    <x v="3"/>
  </r>
  <r>
    <d v="2026-02-11T21:00:00"/>
    <x v="3"/>
    <s v="R104"/>
    <n v="12"/>
    <n v="30"/>
    <n v="22.996756566073241"/>
    <s v="22–24°C"/>
    <n v="3.9"/>
    <n v="2026"/>
    <x v="1"/>
    <n v="11"/>
    <n v="3"/>
    <n v="21"/>
    <n v="0.4"/>
    <n v="0.32500000000000001"/>
    <x v="0"/>
  </r>
  <r>
    <d v="2026-02-11T22:00:00"/>
    <x v="1"/>
    <s v="R111"/>
    <n v="5"/>
    <n v="25"/>
    <n v="21.96803802130184"/>
    <s v="20–22°C"/>
    <n v="2.1800000000000002"/>
    <n v="2026"/>
    <x v="1"/>
    <n v="11"/>
    <n v="3"/>
    <n v="22"/>
    <n v="0.2"/>
    <n v="0.43600000000000005"/>
    <x v="0"/>
  </r>
  <r>
    <d v="2026-02-11T23:00:00"/>
    <x v="0"/>
    <s v="R119"/>
    <n v="11"/>
    <n v="25"/>
    <n v="24.342035609835541"/>
    <s v="24–26°C"/>
    <n v="4.22"/>
    <n v="2026"/>
    <x v="1"/>
    <n v="11"/>
    <n v="3"/>
    <n v="23"/>
    <n v="0.44"/>
    <n v="0.38363636363636361"/>
    <x v="0"/>
  </r>
  <r>
    <d v="2026-02-12T00:00:00"/>
    <x v="2"/>
    <s v="R109"/>
    <n v="9"/>
    <n v="30"/>
    <n v="25.209994403608832"/>
    <s v="24–26°C"/>
    <n v="3.42"/>
    <n v="2026"/>
    <x v="1"/>
    <n v="12"/>
    <n v="4"/>
    <n v="0"/>
    <n v="0.3"/>
    <n v="0.38"/>
    <x v="0"/>
  </r>
  <r>
    <d v="2026-02-12T01:00:00"/>
    <x v="1"/>
    <s v="R107"/>
    <n v="7"/>
    <n v="25"/>
    <n v="22.567997156853771"/>
    <s v="22–24°C"/>
    <n v="2.74"/>
    <n v="2026"/>
    <x v="1"/>
    <n v="12"/>
    <n v="4"/>
    <n v="1"/>
    <n v="0.28000000000000003"/>
    <n v="0.39142857142857146"/>
    <x v="0"/>
  </r>
  <r>
    <d v="2026-02-12T02:00:00"/>
    <x v="3"/>
    <s v="R113"/>
    <n v="5"/>
    <n v="30"/>
    <n v="19.581547201594809"/>
    <s v="18–20°C"/>
    <n v="2.5299999999999998"/>
    <n v="2026"/>
    <x v="1"/>
    <n v="12"/>
    <n v="4"/>
    <n v="2"/>
    <n v="0.16666666666666666"/>
    <n v="0.50600000000000001"/>
    <x v="0"/>
  </r>
  <r>
    <d v="2026-02-12T03:00:00"/>
    <x v="3"/>
    <s v="R101"/>
    <n v="3"/>
    <n v="25"/>
    <n v="22.82159340461666"/>
    <s v="22–24°C"/>
    <n v="2.16"/>
    <n v="2026"/>
    <x v="1"/>
    <n v="12"/>
    <n v="4"/>
    <n v="3"/>
    <n v="0.12"/>
    <n v="0.72000000000000008"/>
    <x v="0"/>
  </r>
  <r>
    <d v="2026-02-12T04:00:00"/>
    <x v="4"/>
    <s v="R109"/>
    <n v="14"/>
    <n v="20"/>
    <n v="21.12201360754166"/>
    <s v="20–22°C"/>
    <n v="4.71"/>
    <n v="2026"/>
    <x v="1"/>
    <n v="12"/>
    <n v="4"/>
    <n v="4"/>
    <n v="0.7"/>
    <n v="0.33642857142857141"/>
    <x v="0"/>
  </r>
  <r>
    <d v="2026-02-12T05:00:00"/>
    <x v="1"/>
    <s v="R117"/>
    <n v="3"/>
    <n v="25"/>
    <n v="22.00451274915433"/>
    <s v="22–24°C"/>
    <n v="1.88"/>
    <n v="2026"/>
    <x v="1"/>
    <n v="12"/>
    <n v="4"/>
    <n v="5"/>
    <n v="0.12"/>
    <n v="0.62666666666666659"/>
    <x v="0"/>
  </r>
  <r>
    <d v="2026-02-12T06:00:00"/>
    <x v="1"/>
    <s v="R111"/>
    <n v="11"/>
    <n v="30"/>
    <n v="24.24525407962464"/>
    <s v="24–26°C"/>
    <n v="4.08"/>
    <n v="2026"/>
    <x v="1"/>
    <n v="12"/>
    <n v="4"/>
    <n v="6"/>
    <n v="0.36666666666666664"/>
    <n v="0.37090909090909091"/>
    <x v="0"/>
  </r>
  <r>
    <d v="2026-02-12T07:00:00"/>
    <x v="2"/>
    <s v="R112"/>
    <n v="6"/>
    <n v="30"/>
    <n v="23.57277348791078"/>
    <s v="22–24°C"/>
    <n v="2.48"/>
    <n v="2026"/>
    <x v="1"/>
    <n v="12"/>
    <n v="4"/>
    <n v="7"/>
    <n v="0.2"/>
    <n v="0.41333333333333333"/>
    <x v="1"/>
  </r>
  <r>
    <d v="2026-02-12T08:00:00"/>
    <x v="3"/>
    <s v="R101"/>
    <n v="5"/>
    <n v="20"/>
    <n v="22.016911172386191"/>
    <s v="22–24°C"/>
    <n v="1.86"/>
    <n v="2026"/>
    <x v="1"/>
    <n v="12"/>
    <n v="4"/>
    <n v="8"/>
    <n v="0.25"/>
    <n v="0.372"/>
    <x v="1"/>
  </r>
  <r>
    <d v="2026-02-12T09:00:00"/>
    <x v="4"/>
    <s v="R103"/>
    <n v="8"/>
    <n v="40"/>
    <n v="25.937004543770801"/>
    <s v="24–26°C"/>
    <n v="3.51"/>
    <n v="2026"/>
    <x v="1"/>
    <n v="12"/>
    <n v="4"/>
    <n v="9"/>
    <n v="0.2"/>
    <n v="0.43874999999999997"/>
    <x v="1"/>
  </r>
  <r>
    <d v="2026-02-12T10:00:00"/>
    <x v="0"/>
    <s v="R115"/>
    <n v="8"/>
    <n v="25"/>
    <n v="22.400613008134219"/>
    <s v="22–24°C"/>
    <n v="2.63"/>
    <n v="2026"/>
    <x v="1"/>
    <n v="12"/>
    <n v="4"/>
    <n v="10"/>
    <n v="0.32"/>
    <n v="0.32874999999999999"/>
    <x v="1"/>
  </r>
  <r>
    <d v="2026-02-12T11:00:00"/>
    <x v="0"/>
    <s v="R103"/>
    <n v="10"/>
    <n v="40"/>
    <n v="21.545630234694261"/>
    <s v="20–22°C"/>
    <n v="3.32"/>
    <n v="2026"/>
    <x v="1"/>
    <n v="12"/>
    <n v="4"/>
    <n v="11"/>
    <n v="0.25"/>
    <n v="0.33199999999999996"/>
    <x v="1"/>
  </r>
  <r>
    <d v="2026-02-12T12:00:00"/>
    <x v="4"/>
    <s v="R110"/>
    <n v="9"/>
    <n v="30"/>
    <n v="21.873227099095391"/>
    <s v="20–22°C"/>
    <n v="3.18"/>
    <n v="2026"/>
    <x v="1"/>
    <n v="12"/>
    <n v="4"/>
    <n v="12"/>
    <n v="0.3"/>
    <n v="0.35333333333333333"/>
    <x v="2"/>
  </r>
  <r>
    <d v="2026-02-12T13:00:00"/>
    <x v="1"/>
    <s v="R111"/>
    <n v="8"/>
    <n v="25"/>
    <n v="20.997980911034372"/>
    <s v="20–22°C"/>
    <n v="3.26"/>
    <n v="2026"/>
    <x v="1"/>
    <n v="12"/>
    <n v="4"/>
    <n v="13"/>
    <n v="0.32"/>
    <n v="0.40749999999999997"/>
    <x v="2"/>
  </r>
  <r>
    <d v="2026-02-12T14:00:00"/>
    <x v="0"/>
    <s v="R109"/>
    <n v="6"/>
    <n v="40"/>
    <n v="23.174212438611939"/>
    <s v="22–24°C"/>
    <n v="2.17"/>
    <n v="2026"/>
    <x v="1"/>
    <n v="12"/>
    <n v="4"/>
    <n v="14"/>
    <n v="0.15"/>
    <n v="0.36166666666666664"/>
    <x v="2"/>
  </r>
  <r>
    <d v="2026-02-12T15:00:00"/>
    <x v="0"/>
    <s v="R108"/>
    <n v="12"/>
    <n v="40"/>
    <n v="26.906119391079791"/>
    <s v="26–28°C"/>
    <n v="4.24"/>
    <n v="2026"/>
    <x v="1"/>
    <n v="12"/>
    <n v="4"/>
    <n v="15"/>
    <n v="0.3"/>
    <n v="0.35333333333333333"/>
    <x v="2"/>
  </r>
  <r>
    <d v="2026-02-12T16:00:00"/>
    <x v="3"/>
    <s v="R109"/>
    <n v="2"/>
    <n v="30"/>
    <n v="22.434833233766032"/>
    <s v="22–24°C"/>
    <n v="1.24"/>
    <n v="2026"/>
    <x v="1"/>
    <n v="12"/>
    <n v="4"/>
    <n v="16"/>
    <n v="6.6666666666666666E-2"/>
    <n v="0.62"/>
    <x v="2"/>
  </r>
  <r>
    <d v="2026-02-12T17:00:00"/>
    <x v="1"/>
    <s v="R103"/>
    <n v="9"/>
    <n v="20"/>
    <n v="24.782580423577659"/>
    <s v="24–26°C"/>
    <n v="3.83"/>
    <n v="2026"/>
    <x v="1"/>
    <n v="12"/>
    <n v="4"/>
    <n v="17"/>
    <n v="0.45"/>
    <n v="0.42555555555555558"/>
    <x v="3"/>
  </r>
  <r>
    <d v="2026-02-12T18:00:00"/>
    <x v="3"/>
    <s v="R118"/>
    <n v="8"/>
    <n v="30"/>
    <n v="25.156250791589539"/>
    <s v="24–26°C"/>
    <n v="3.25"/>
    <n v="2026"/>
    <x v="1"/>
    <n v="12"/>
    <n v="4"/>
    <n v="18"/>
    <n v="0.26666666666666666"/>
    <n v="0.40625"/>
    <x v="3"/>
  </r>
  <r>
    <d v="2026-02-12T19:00:00"/>
    <x v="3"/>
    <s v="R110"/>
    <n v="6"/>
    <n v="20"/>
    <n v="23.680178822927811"/>
    <s v="22–24°C"/>
    <n v="2.38"/>
    <n v="2026"/>
    <x v="1"/>
    <n v="12"/>
    <n v="4"/>
    <n v="19"/>
    <n v="0.3"/>
    <n v="0.39666666666666667"/>
    <x v="3"/>
  </r>
  <r>
    <d v="2026-02-12T20:00:00"/>
    <x v="4"/>
    <s v="R116"/>
    <n v="2"/>
    <n v="20"/>
    <n v="22.102183225373992"/>
    <s v="22–24°C"/>
    <n v="1.19"/>
    <n v="2026"/>
    <x v="1"/>
    <n v="12"/>
    <n v="4"/>
    <n v="20"/>
    <n v="0.1"/>
    <n v="0.59499999999999997"/>
    <x v="3"/>
  </r>
  <r>
    <d v="2026-02-12T21:00:00"/>
    <x v="3"/>
    <s v="R112"/>
    <n v="11"/>
    <n v="20"/>
    <n v="24.019027127859371"/>
    <s v="24–26°C"/>
    <n v="3.8"/>
    <n v="2026"/>
    <x v="1"/>
    <n v="12"/>
    <n v="4"/>
    <n v="21"/>
    <n v="0.55000000000000004"/>
    <n v="0.34545454545454546"/>
    <x v="0"/>
  </r>
  <r>
    <d v="2026-02-12T22:00:00"/>
    <x v="2"/>
    <s v="R110"/>
    <n v="7"/>
    <n v="25"/>
    <n v="25.793520354796978"/>
    <s v="24–26°C"/>
    <n v="3.25"/>
    <n v="2026"/>
    <x v="1"/>
    <n v="12"/>
    <n v="4"/>
    <n v="22"/>
    <n v="0.28000000000000003"/>
    <n v="0.4642857142857143"/>
    <x v="0"/>
  </r>
  <r>
    <d v="2026-02-12T23:00:00"/>
    <x v="4"/>
    <s v="R118"/>
    <n v="2"/>
    <n v="25"/>
    <n v="24.85785012128369"/>
    <s v="24–26°C"/>
    <n v="1.8"/>
    <n v="2026"/>
    <x v="1"/>
    <n v="12"/>
    <n v="4"/>
    <n v="23"/>
    <n v="0.08"/>
    <n v="0.9"/>
    <x v="0"/>
  </r>
  <r>
    <d v="2026-02-13T00:00:00"/>
    <x v="4"/>
    <s v="R105"/>
    <n v="12"/>
    <n v="20"/>
    <n v="18.677392227395281"/>
    <s v="18–20°C"/>
    <n v="4.4400000000000004"/>
    <n v="2026"/>
    <x v="1"/>
    <n v="13"/>
    <n v="5"/>
    <n v="0"/>
    <n v="0.6"/>
    <n v="0.37000000000000005"/>
    <x v="0"/>
  </r>
  <r>
    <d v="2026-02-13T01:00:00"/>
    <x v="1"/>
    <s v="R108"/>
    <n v="8"/>
    <n v="20"/>
    <n v="23.091258659975729"/>
    <s v="22–24°C"/>
    <n v="2.91"/>
    <n v="2026"/>
    <x v="1"/>
    <n v="13"/>
    <n v="5"/>
    <n v="1"/>
    <n v="0.4"/>
    <n v="0.36375000000000002"/>
    <x v="0"/>
  </r>
  <r>
    <d v="2026-02-13T02:00:00"/>
    <x v="0"/>
    <s v="R101"/>
    <n v="13"/>
    <n v="30"/>
    <n v="22.413320270722529"/>
    <s v="22–24°C"/>
    <n v="3.98"/>
    <n v="2026"/>
    <x v="1"/>
    <n v="13"/>
    <n v="5"/>
    <n v="2"/>
    <n v="0.43333333333333335"/>
    <n v="0.30615384615384617"/>
    <x v="0"/>
  </r>
  <r>
    <d v="2026-02-13T03:00:00"/>
    <x v="2"/>
    <s v="R117"/>
    <n v="5"/>
    <n v="20"/>
    <n v="18.765656624009772"/>
    <s v="18–20°C"/>
    <n v="2.5299999999999998"/>
    <n v="2026"/>
    <x v="1"/>
    <n v="13"/>
    <n v="5"/>
    <n v="3"/>
    <n v="0.25"/>
    <n v="0.50600000000000001"/>
    <x v="0"/>
  </r>
  <r>
    <d v="2026-02-13T04:00:00"/>
    <x v="1"/>
    <s v="R108"/>
    <n v="5"/>
    <n v="25"/>
    <n v="26.3733027073358"/>
    <s v="26–28°C"/>
    <n v="2.5"/>
    <n v="2026"/>
    <x v="1"/>
    <n v="13"/>
    <n v="5"/>
    <n v="4"/>
    <n v="0.2"/>
    <n v="0.5"/>
    <x v="0"/>
  </r>
  <r>
    <d v="2026-02-13T05:00:00"/>
    <x v="4"/>
    <s v="R112"/>
    <n v="7"/>
    <n v="40"/>
    <n v="23.675651831863981"/>
    <s v="22–24°C"/>
    <n v="2.91"/>
    <n v="2026"/>
    <x v="1"/>
    <n v="13"/>
    <n v="5"/>
    <n v="5"/>
    <n v="0.17499999999999999"/>
    <n v="0.41571428571428576"/>
    <x v="0"/>
  </r>
  <r>
    <d v="2026-02-13T06:00:00"/>
    <x v="1"/>
    <s v="R102"/>
    <n v="5"/>
    <n v="20"/>
    <n v="22.942838496777849"/>
    <s v="22–24°C"/>
    <n v="2.0699999999999998"/>
    <n v="2026"/>
    <x v="1"/>
    <n v="13"/>
    <n v="5"/>
    <n v="6"/>
    <n v="0.25"/>
    <n v="0.41399999999999998"/>
    <x v="0"/>
  </r>
  <r>
    <d v="2026-02-13T07:00:00"/>
    <x v="3"/>
    <s v="R110"/>
    <n v="6"/>
    <n v="20"/>
    <n v="22.221192876949249"/>
    <s v="22–24°C"/>
    <n v="2.74"/>
    <n v="2026"/>
    <x v="1"/>
    <n v="13"/>
    <n v="5"/>
    <n v="7"/>
    <n v="0.3"/>
    <n v="0.45666666666666672"/>
    <x v="1"/>
  </r>
  <r>
    <d v="2026-02-13T08:00:00"/>
    <x v="1"/>
    <s v="R112"/>
    <n v="4"/>
    <n v="20"/>
    <n v="21.98733287493755"/>
    <s v="20–22°C"/>
    <n v="2.1"/>
    <n v="2026"/>
    <x v="1"/>
    <n v="13"/>
    <n v="5"/>
    <n v="8"/>
    <n v="0.2"/>
    <n v="0.52500000000000002"/>
    <x v="1"/>
  </r>
  <r>
    <d v="2026-02-13T09:00:00"/>
    <x v="3"/>
    <s v="R116"/>
    <n v="9"/>
    <n v="20"/>
    <n v="23.030060073821591"/>
    <s v="22–24°C"/>
    <n v="3.39"/>
    <n v="2026"/>
    <x v="1"/>
    <n v="13"/>
    <n v="5"/>
    <n v="9"/>
    <n v="0.45"/>
    <n v="0.37666666666666671"/>
    <x v="1"/>
  </r>
  <r>
    <d v="2026-02-13T10:00:00"/>
    <x v="4"/>
    <s v="R109"/>
    <n v="9"/>
    <n v="30"/>
    <n v="22.261272762143509"/>
    <s v="22–24°C"/>
    <n v="3.16"/>
    <n v="2026"/>
    <x v="1"/>
    <n v="13"/>
    <n v="5"/>
    <n v="10"/>
    <n v="0.3"/>
    <n v="0.35111111111111115"/>
    <x v="1"/>
  </r>
  <r>
    <d v="2026-02-13T11:00:00"/>
    <x v="1"/>
    <s v="R113"/>
    <n v="9"/>
    <n v="20"/>
    <n v="23.01904831586722"/>
    <s v="22–24°C"/>
    <n v="3.16"/>
    <n v="2026"/>
    <x v="1"/>
    <n v="13"/>
    <n v="5"/>
    <n v="11"/>
    <n v="0.45"/>
    <n v="0.35111111111111115"/>
    <x v="1"/>
  </r>
  <r>
    <d v="2026-02-13T12:00:00"/>
    <x v="0"/>
    <s v="R109"/>
    <n v="7"/>
    <n v="40"/>
    <n v="23.757767575605669"/>
    <s v="22–24°C"/>
    <n v="2.76"/>
    <n v="2026"/>
    <x v="1"/>
    <n v="13"/>
    <n v="5"/>
    <n v="12"/>
    <n v="0.17499999999999999"/>
    <n v="0.39428571428571424"/>
    <x v="2"/>
  </r>
  <r>
    <d v="2026-02-13T13:00:00"/>
    <x v="0"/>
    <s v="R110"/>
    <n v="9"/>
    <n v="25"/>
    <n v="24.505696662400538"/>
    <s v="24–26°C"/>
    <n v="3.33"/>
    <n v="2026"/>
    <x v="1"/>
    <n v="13"/>
    <n v="5"/>
    <n v="13"/>
    <n v="0.36"/>
    <n v="0.37"/>
    <x v="2"/>
  </r>
  <r>
    <d v="2026-02-13T14:00:00"/>
    <x v="2"/>
    <s v="R108"/>
    <n v="6"/>
    <n v="20"/>
    <n v="25.86726721763576"/>
    <s v="24–26°C"/>
    <n v="2.3199999999999998"/>
    <n v="2026"/>
    <x v="1"/>
    <n v="13"/>
    <n v="5"/>
    <n v="14"/>
    <n v="0.3"/>
    <n v="0.38666666666666666"/>
    <x v="2"/>
  </r>
  <r>
    <d v="2026-02-13T15:00:00"/>
    <x v="0"/>
    <s v="R119"/>
    <n v="9"/>
    <n v="20"/>
    <n v="23.54336716900006"/>
    <s v="22–24°C"/>
    <n v="3.76"/>
    <n v="2026"/>
    <x v="1"/>
    <n v="13"/>
    <n v="5"/>
    <n v="15"/>
    <n v="0.45"/>
    <n v="0.41777777777777775"/>
    <x v="2"/>
  </r>
  <r>
    <d v="2026-02-13T16:00:00"/>
    <x v="3"/>
    <s v="R103"/>
    <n v="11"/>
    <n v="25"/>
    <n v="23.418697714669381"/>
    <s v="22–24°C"/>
    <n v="3.75"/>
    <n v="2026"/>
    <x v="1"/>
    <n v="13"/>
    <n v="5"/>
    <n v="16"/>
    <n v="0.44"/>
    <n v="0.34090909090909088"/>
    <x v="2"/>
  </r>
  <r>
    <d v="2026-02-13T17:00:00"/>
    <x v="4"/>
    <s v="R119"/>
    <n v="10"/>
    <n v="20"/>
    <n v="24.189397059961621"/>
    <s v="24–26°C"/>
    <n v="3.65"/>
    <n v="2026"/>
    <x v="1"/>
    <n v="13"/>
    <n v="5"/>
    <n v="17"/>
    <n v="0.5"/>
    <n v="0.36499999999999999"/>
    <x v="3"/>
  </r>
  <r>
    <d v="2026-02-13T18:00:00"/>
    <x v="4"/>
    <s v="R109"/>
    <n v="11"/>
    <n v="30"/>
    <n v="22.788563950597801"/>
    <s v="22–24°C"/>
    <n v="3.82"/>
    <n v="2026"/>
    <x v="1"/>
    <n v="13"/>
    <n v="5"/>
    <n v="18"/>
    <n v="0.36666666666666664"/>
    <n v="0.34727272727272723"/>
    <x v="3"/>
  </r>
  <r>
    <d v="2026-02-13T19:00:00"/>
    <x v="1"/>
    <s v="R117"/>
    <n v="7"/>
    <n v="40"/>
    <n v="24.738255074436388"/>
    <s v="24–26°C"/>
    <n v="2.5299999999999998"/>
    <n v="2026"/>
    <x v="1"/>
    <n v="13"/>
    <n v="5"/>
    <n v="19"/>
    <n v="0.17499999999999999"/>
    <n v="0.36142857142857138"/>
    <x v="3"/>
  </r>
  <r>
    <d v="2026-02-13T20:00:00"/>
    <x v="2"/>
    <s v="R114"/>
    <n v="8"/>
    <n v="40"/>
    <n v="23.35120709960874"/>
    <s v="22–24°C"/>
    <n v="2.96"/>
    <n v="2026"/>
    <x v="1"/>
    <n v="13"/>
    <n v="5"/>
    <n v="20"/>
    <n v="0.2"/>
    <n v="0.37"/>
    <x v="3"/>
  </r>
  <r>
    <d v="2026-02-13T21:00:00"/>
    <x v="0"/>
    <s v="R119"/>
    <n v="11"/>
    <n v="25"/>
    <n v="23.657288051609619"/>
    <s v="22–24°C"/>
    <n v="3.63"/>
    <n v="2026"/>
    <x v="1"/>
    <n v="13"/>
    <n v="5"/>
    <n v="21"/>
    <n v="0.44"/>
    <n v="0.33"/>
    <x v="0"/>
  </r>
  <r>
    <d v="2026-02-13T22:00:00"/>
    <x v="0"/>
    <s v="R101"/>
    <n v="12"/>
    <n v="20"/>
    <n v="22.632612067246811"/>
    <s v="22–24°C"/>
    <n v="4"/>
    <n v="2026"/>
    <x v="1"/>
    <n v="13"/>
    <n v="5"/>
    <n v="22"/>
    <n v="0.6"/>
    <n v="0.33333333333333331"/>
    <x v="0"/>
  </r>
  <r>
    <d v="2026-02-13T23:00:00"/>
    <x v="3"/>
    <s v="R119"/>
    <n v="7"/>
    <n v="30"/>
    <n v="25.442847186783901"/>
    <s v="24–26°C"/>
    <n v="2.85"/>
    <n v="2026"/>
    <x v="1"/>
    <n v="13"/>
    <n v="5"/>
    <n v="23"/>
    <n v="0.23333333333333334"/>
    <n v="0.40714285714285714"/>
    <x v="0"/>
  </r>
  <r>
    <d v="2026-02-14T00:00:00"/>
    <x v="2"/>
    <s v="R111"/>
    <n v="9"/>
    <n v="20"/>
    <n v="22.112353040617339"/>
    <s v="22–24°C"/>
    <n v="2.6"/>
    <n v="2026"/>
    <x v="1"/>
    <n v="14"/>
    <n v="6"/>
    <n v="0"/>
    <n v="0.45"/>
    <n v="0.28888888888888892"/>
    <x v="0"/>
  </r>
  <r>
    <d v="2026-02-14T01:00:00"/>
    <x v="1"/>
    <s v="R114"/>
    <n v="5"/>
    <n v="30"/>
    <n v="22.632338839359761"/>
    <s v="22–24°C"/>
    <n v="1.93"/>
    <n v="2026"/>
    <x v="1"/>
    <n v="14"/>
    <n v="6"/>
    <n v="1"/>
    <n v="0.16666666666666666"/>
    <n v="0.38600000000000001"/>
    <x v="0"/>
  </r>
  <r>
    <d v="2026-02-14T02:00:00"/>
    <x v="2"/>
    <s v="R108"/>
    <n v="10"/>
    <n v="25"/>
    <n v="24.753211759684358"/>
    <s v="24–26°C"/>
    <n v="3.62"/>
    <n v="2026"/>
    <x v="1"/>
    <n v="14"/>
    <n v="6"/>
    <n v="2"/>
    <n v="0.4"/>
    <n v="0.36199999999999999"/>
    <x v="0"/>
  </r>
  <r>
    <d v="2026-02-14T03:00:00"/>
    <x v="2"/>
    <s v="R118"/>
    <n v="6"/>
    <n v="25"/>
    <n v="22.379515883628152"/>
    <s v="22–24°C"/>
    <n v="2.19"/>
    <n v="2026"/>
    <x v="1"/>
    <n v="14"/>
    <n v="6"/>
    <n v="3"/>
    <n v="0.24"/>
    <n v="0.36499999999999999"/>
    <x v="0"/>
  </r>
  <r>
    <d v="2026-02-14T04:00:00"/>
    <x v="3"/>
    <s v="R112"/>
    <n v="10"/>
    <n v="20"/>
    <n v="23.255854404749162"/>
    <s v="22–24°C"/>
    <n v="3.68"/>
    <n v="2026"/>
    <x v="1"/>
    <n v="14"/>
    <n v="6"/>
    <n v="4"/>
    <n v="0.5"/>
    <n v="0.36799999999999999"/>
    <x v="0"/>
  </r>
  <r>
    <d v="2026-02-14T05:00:00"/>
    <x v="2"/>
    <s v="R112"/>
    <n v="8"/>
    <n v="25"/>
    <n v="19.348388516214019"/>
    <s v="18–20°C"/>
    <n v="3.5"/>
    <n v="2026"/>
    <x v="1"/>
    <n v="14"/>
    <n v="6"/>
    <n v="5"/>
    <n v="0.32"/>
    <n v="0.4375"/>
    <x v="0"/>
  </r>
  <r>
    <d v="2026-02-14T06:00:00"/>
    <x v="2"/>
    <s v="R115"/>
    <n v="10"/>
    <n v="40"/>
    <n v="22.863594939334661"/>
    <s v="22–24°C"/>
    <n v="3.01"/>
    <n v="2026"/>
    <x v="1"/>
    <n v="14"/>
    <n v="6"/>
    <n v="6"/>
    <n v="0.25"/>
    <n v="0.30099999999999999"/>
    <x v="0"/>
  </r>
  <r>
    <d v="2026-02-14T07:00:00"/>
    <x v="4"/>
    <s v="R109"/>
    <n v="8"/>
    <n v="30"/>
    <n v="22.72451780188484"/>
    <s v="22–24°C"/>
    <n v="2.4700000000000002"/>
    <n v="2026"/>
    <x v="1"/>
    <n v="14"/>
    <n v="6"/>
    <n v="7"/>
    <n v="0.26666666666666666"/>
    <n v="0.30875000000000002"/>
    <x v="1"/>
  </r>
  <r>
    <d v="2026-02-14T08:00:00"/>
    <x v="0"/>
    <s v="R114"/>
    <n v="9"/>
    <n v="20"/>
    <n v="22.67664014557101"/>
    <s v="22–24°C"/>
    <n v="3.09"/>
    <n v="2026"/>
    <x v="1"/>
    <n v="14"/>
    <n v="6"/>
    <n v="8"/>
    <n v="0.45"/>
    <n v="0.34333333333333332"/>
    <x v="1"/>
  </r>
  <r>
    <d v="2026-02-14T09:00:00"/>
    <x v="4"/>
    <s v="R116"/>
    <n v="14"/>
    <n v="30"/>
    <n v="21.81624786731382"/>
    <s v="20–22°C"/>
    <n v="4.71"/>
    <n v="2026"/>
    <x v="1"/>
    <n v="14"/>
    <n v="6"/>
    <n v="9"/>
    <n v="0.46666666666666667"/>
    <n v="0.33642857142857141"/>
    <x v="1"/>
  </r>
  <r>
    <d v="2026-02-14T10:00:00"/>
    <x v="4"/>
    <s v="R106"/>
    <n v="5"/>
    <n v="25"/>
    <n v="23.374214200250179"/>
    <s v="22–24°C"/>
    <n v="2.37"/>
    <n v="2026"/>
    <x v="1"/>
    <n v="14"/>
    <n v="6"/>
    <n v="10"/>
    <n v="0.2"/>
    <n v="0.47400000000000003"/>
    <x v="1"/>
  </r>
  <r>
    <d v="2026-02-14T11:00:00"/>
    <x v="0"/>
    <s v="R111"/>
    <n v="10"/>
    <n v="20"/>
    <n v="24.519873963919661"/>
    <s v="24–26°C"/>
    <n v="3.91"/>
    <n v="2026"/>
    <x v="1"/>
    <n v="14"/>
    <n v="6"/>
    <n v="11"/>
    <n v="0.5"/>
    <n v="0.39100000000000001"/>
    <x v="1"/>
  </r>
  <r>
    <d v="2026-02-14T12:00:00"/>
    <x v="1"/>
    <s v="R117"/>
    <n v="2"/>
    <n v="40"/>
    <n v="19.23403310665655"/>
    <s v="18–20°C"/>
    <n v="1.26"/>
    <n v="2026"/>
    <x v="1"/>
    <n v="14"/>
    <n v="6"/>
    <n v="12"/>
    <n v="0.05"/>
    <n v="0.63"/>
    <x v="2"/>
  </r>
  <r>
    <d v="2026-02-14T13:00:00"/>
    <x v="1"/>
    <s v="R103"/>
    <n v="10"/>
    <n v="30"/>
    <n v="24.49428246405321"/>
    <s v="24–26°C"/>
    <n v="3.74"/>
    <n v="2026"/>
    <x v="1"/>
    <n v="14"/>
    <n v="6"/>
    <n v="13"/>
    <n v="0.33333333333333331"/>
    <n v="0.374"/>
    <x v="2"/>
  </r>
  <r>
    <d v="2026-02-14T14:00:00"/>
    <x v="4"/>
    <s v="R112"/>
    <n v="10"/>
    <n v="40"/>
    <n v="20.43054446716507"/>
    <s v="20–22°C"/>
    <n v="3.44"/>
    <n v="2026"/>
    <x v="1"/>
    <n v="14"/>
    <n v="6"/>
    <n v="14"/>
    <n v="0.25"/>
    <n v="0.34399999999999997"/>
    <x v="2"/>
  </r>
  <r>
    <d v="2026-02-14T15:00:00"/>
    <x v="2"/>
    <s v="R109"/>
    <n v="5"/>
    <n v="20"/>
    <n v="24.189708746794491"/>
    <s v="24–26°C"/>
    <n v="2.19"/>
    <n v="2026"/>
    <x v="1"/>
    <n v="14"/>
    <n v="6"/>
    <n v="15"/>
    <n v="0.25"/>
    <n v="0.438"/>
    <x v="2"/>
  </r>
  <r>
    <d v="2026-02-14T16:00:00"/>
    <x v="4"/>
    <s v="R120"/>
    <n v="9"/>
    <n v="40"/>
    <n v="23.00436718167407"/>
    <s v="22–24°C"/>
    <n v="2.79"/>
    <n v="2026"/>
    <x v="1"/>
    <n v="14"/>
    <n v="6"/>
    <n v="16"/>
    <n v="0.22500000000000001"/>
    <n v="0.31"/>
    <x v="2"/>
  </r>
  <r>
    <d v="2026-02-14T17:00:00"/>
    <x v="3"/>
    <s v="R120"/>
    <n v="9"/>
    <n v="40"/>
    <n v="24.846089654453529"/>
    <s v="24–26°C"/>
    <n v="3.6"/>
    <n v="2026"/>
    <x v="1"/>
    <n v="14"/>
    <n v="6"/>
    <n v="17"/>
    <n v="0.22500000000000001"/>
    <n v="0.4"/>
    <x v="3"/>
  </r>
  <r>
    <d v="2026-02-14T18:00:00"/>
    <x v="1"/>
    <s v="R103"/>
    <n v="8"/>
    <n v="25"/>
    <n v="25.35810043107853"/>
    <s v="24–26°C"/>
    <n v="2.87"/>
    <n v="2026"/>
    <x v="1"/>
    <n v="14"/>
    <n v="6"/>
    <n v="18"/>
    <n v="0.32"/>
    <n v="0.35875000000000001"/>
    <x v="3"/>
  </r>
  <r>
    <d v="2026-02-14T19:00:00"/>
    <x v="0"/>
    <s v="R119"/>
    <n v="6"/>
    <n v="30"/>
    <n v="22.746671945304669"/>
    <s v="22–24°C"/>
    <n v="2.25"/>
    <n v="2026"/>
    <x v="1"/>
    <n v="14"/>
    <n v="6"/>
    <n v="19"/>
    <n v="0.2"/>
    <n v="0.375"/>
    <x v="3"/>
  </r>
  <r>
    <d v="2026-02-14T20:00:00"/>
    <x v="0"/>
    <s v="R101"/>
    <n v="9"/>
    <n v="20"/>
    <n v="15.15519949676332"/>
    <s v="14–16°C"/>
    <n v="4.16"/>
    <n v="2026"/>
    <x v="1"/>
    <n v="14"/>
    <n v="6"/>
    <n v="20"/>
    <n v="0.45"/>
    <n v="0.46222222222222226"/>
    <x v="3"/>
  </r>
  <r>
    <d v="2026-02-14T21:00:00"/>
    <x v="4"/>
    <s v="R106"/>
    <n v="13"/>
    <n v="25"/>
    <n v="19.90486041172738"/>
    <s v="18–20°C"/>
    <n v="4.43"/>
    <n v="2026"/>
    <x v="1"/>
    <n v="14"/>
    <n v="6"/>
    <n v="21"/>
    <n v="0.52"/>
    <n v="0.34076923076923077"/>
    <x v="0"/>
  </r>
  <r>
    <d v="2026-02-14T22:00:00"/>
    <x v="1"/>
    <s v="R107"/>
    <n v="6"/>
    <n v="40"/>
    <n v="22.463257412082061"/>
    <s v="22–24°C"/>
    <n v="2.48"/>
    <n v="2026"/>
    <x v="1"/>
    <n v="14"/>
    <n v="6"/>
    <n v="22"/>
    <n v="0.15"/>
    <n v="0.41333333333333333"/>
    <x v="0"/>
  </r>
  <r>
    <d v="2026-02-14T23:00:00"/>
    <x v="3"/>
    <s v="R102"/>
    <n v="6"/>
    <n v="30"/>
    <n v="22.896981612492141"/>
    <s v="22–24°C"/>
    <n v="2.5499999999999998"/>
    <n v="2026"/>
    <x v="1"/>
    <n v="14"/>
    <n v="6"/>
    <n v="23"/>
    <n v="0.2"/>
    <n v="0.42499999999999999"/>
    <x v="0"/>
  </r>
  <r>
    <d v="2026-02-15T00:00:00"/>
    <x v="4"/>
    <s v="R112"/>
    <n v="9"/>
    <n v="25"/>
    <n v="23.31469313534615"/>
    <s v="22–24°C"/>
    <n v="3.54"/>
    <n v="2026"/>
    <x v="1"/>
    <n v="15"/>
    <n v="0"/>
    <n v="0"/>
    <n v="0.36"/>
    <n v="0.39333333333333331"/>
    <x v="0"/>
  </r>
  <r>
    <d v="2026-02-15T01:00:00"/>
    <x v="3"/>
    <s v="R111"/>
    <n v="9"/>
    <n v="40"/>
    <n v="23.2286175061185"/>
    <s v="22–24°C"/>
    <n v="3.23"/>
    <n v="2026"/>
    <x v="1"/>
    <n v="15"/>
    <n v="0"/>
    <n v="1"/>
    <n v="0.22500000000000001"/>
    <n v="0.35888888888888887"/>
    <x v="0"/>
  </r>
  <r>
    <d v="2026-02-15T02:00:00"/>
    <x v="3"/>
    <s v="R113"/>
    <n v="7"/>
    <n v="40"/>
    <n v="22.647731604578439"/>
    <s v="22–24°C"/>
    <n v="2.19"/>
    <n v="2026"/>
    <x v="1"/>
    <n v="15"/>
    <n v="0"/>
    <n v="2"/>
    <n v="0.17499999999999999"/>
    <n v="0.31285714285714283"/>
    <x v="0"/>
  </r>
  <r>
    <d v="2026-02-15T03:00:00"/>
    <x v="1"/>
    <s v="R109"/>
    <n v="8"/>
    <n v="30"/>
    <n v="23.311308394199461"/>
    <s v="22–24°C"/>
    <n v="2.67"/>
    <n v="2026"/>
    <x v="1"/>
    <n v="15"/>
    <n v="0"/>
    <n v="3"/>
    <n v="0.26666666666666666"/>
    <n v="0.33374999999999999"/>
    <x v="0"/>
  </r>
  <r>
    <d v="2026-02-15T04:00:00"/>
    <x v="3"/>
    <s v="R109"/>
    <n v="9"/>
    <n v="25"/>
    <n v="22.199750830562511"/>
    <s v="22–24°C"/>
    <n v="3.23"/>
    <n v="2026"/>
    <x v="1"/>
    <n v="15"/>
    <n v="0"/>
    <n v="4"/>
    <n v="0.36"/>
    <n v="0.35888888888888887"/>
    <x v="0"/>
  </r>
  <r>
    <d v="2026-02-15T05:00:00"/>
    <x v="4"/>
    <s v="R115"/>
    <n v="4"/>
    <n v="20"/>
    <n v="24.373548141006712"/>
    <s v="24–26°C"/>
    <n v="1.96"/>
    <n v="2026"/>
    <x v="1"/>
    <n v="15"/>
    <n v="0"/>
    <n v="5"/>
    <n v="0.2"/>
    <n v="0.49"/>
    <x v="0"/>
  </r>
  <r>
    <d v="2026-02-15T06:00:00"/>
    <x v="2"/>
    <s v="R114"/>
    <n v="7"/>
    <n v="40"/>
    <n v="24.210809009525491"/>
    <s v="24–26°C"/>
    <n v="3.02"/>
    <n v="2026"/>
    <x v="1"/>
    <n v="15"/>
    <n v="0"/>
    <n v="6"/>
    <n v="0.17499999999999999"/>
    <n v="0.43142857142857144"/>
    <x v="0"/>
  </r>
  <r>
    <d v="2026-02-15T07:00:00"/>
    <x v="0"/>
    <s v="R105"/>
    <n v="8"/>
    <n v="40"/>
    <n v="22.19300413411154"/>
    <s v="22–24°C"/>
    <n v="3.08"/>
    <n v="2026"/>
    <x v="1"/>
    <n v="15"/>
    <n v="0"/>
    <n v="7"/>
    <n v="0.2"/>
    <n v="0.38500000000000001"/>
    <x v="1"/>
  </r>
  <r>
    <d v="2026-02-15T08:00:00"/>
    <x v="0"/>
    <s v="R109"/>
    <n v="9"/>
    <n v="20"/>
    <n v="23.860689676342119"/>
    <s v="22–24°C"/>
    <n v="3.63"/>
    <n v="2026"/>
    <x v="1"/>
    <n v="15"/>
    <n v="0"/>
    <n v="8"/>
    <n v="0.45"/>
    <n v="0.40333333333333332"/>
    <x v="1"/>
  </r>
  <r>
    <d v="2026-02-15T09:00:00"/>
    <x v="4"/>
    <s v="R110"/>
    <n v="3"/>
    <n v="40"/>
    <n v="21.973631238152269"/>
    <s v="20–22°C"/>
    <n v="1.4"/>
    <n v="2026"/>
    <x v="1"/>
    <n v="15"/>
    <n v="0"/>
    <n v="9"/>
    <n v="7.4999999999999997E-2"/>
    <n v="0.46666666666666662"/>
    <x v="1"/>
  </r>
  <r>
    <d v="2026-02-15T10:00:00"/>
    <x v="0"/>
    <s v="R119"/>
    <n v="7"/>
    <n v="30"/>
    <n v="24.254784148167371"/>
    <s v="24–26°C"/>
    <n v="2.86"/>
    <n v="2026"/>
    <x v="1"/>
    <n v="15"/>
    <n v="0"/>
    <n v="10"/>
    <n v="0.23333333333333334"/>
    <n v="0.40857142857142853"/>
    <x v="1"/>
  </r>
  <r>
    <d v="2026-02-15T11:00:00"/>
    <x v="1"/>
    <s v="R112"/>
    <n v="8"/>
    <n v="30"/>
    <n v="24.94097691922676"/>
    <s v="24–26°C"/>
    <n v="2.86"/>
    <n v="2026"/>
    <x v="1"/>
    <n v="15"/>
    <n v="0"/>
    <n v="11"/>
    <n v="0.26666666666666666"/>
    <n v="0.35749999999999998"/>
    <x v="1"/>
  </r>
  <r>
    <d v="2026-02-15T12:00:00"/>
    <x v="0"/>
    <s v="R115"/>
    <n v="13"/>
    <n v="30"/>
    <n v="20.940778057821198"/>
    <s v="20–22°C"/>
    <n v="4.28"/>
    <n v="2026"/>
    <x v="1"/>
    <n v="15"/>
    <n v="0"/>
    <n v="12"/>
    <n v="0.43333333333333335"/>
    <n v="0.32923076923076927"/>
    <x v="2"/>
  </r>
  <r>
    <d v="2026-02-15T13:00:00"/>
    <x v="4"/>
    <s v="R118"/>
    <n v="6"/>
    <n v="30"/>
    <n v="18.515556682511939"/>
    <s v="18–20°C"/>
    <n v="3.07"/>
    <n v="2026"/>
    <x v="1"/>
    <n v="15"/>
    <n v="0"/>
    <n v="13"/>
    <n v="0.2"/>
    <n v="0.5116666666666666"/>
    <x v="2"/>
  </r>
  <r>
    <d v="2026-02-15T14:00:00"/>
    <x v="0"/>
    <s v="R104"/>
    <n v="10"/>
    <n v="40"/>
    <n v="23.624124263453481"/>
    <s v="22–24°C"/>
    <n v="3.8"/>
    <n v="2026"/>
    <x v="1"/>
    <n v="15"/>
    <n v="0"/>
    <n v="14"/>
    <n v="0.25"/>
    <n v="0.38"/>
    <x v="2"/>
  </r>
  <r>
    <d v="2026-02-15T15:00:00"/>
    <x v="1"/>
    <s v="R113"/>
    <n v="4"/>
    <n v="30"/>
    <n v="26.4935747732039"/>
    <s v="26–28°C"/>
    <n v="1.86"/>
    <n v="2026"/>
    <x v="1"/>
    <n v="15"/>
    <n v="0"/>
    <n v="15"/>
    <n v="0.13333333333333333"/>
    <n v="0.46500000000000002"/>
    <x v="2"/>
  </r>
  <r>
    <d v="2026-02-15T16:00:00"/>
    <x v="1"/>
    <s v="R107"/>
    <n v="12"/>
    <n v="25"/>
    <n v="21.220310458117719"/>
    <s v="20–22°C"/>
    <n v="3.63"/>
    <n v="2026"/>
    <x v="1"/>
    <n v="15"/>
    <n v="0"/>
    <n v="16"/>
    <n v="0.48"/>
    <n v="0.30249999999999999"/>
    <x v="2"/>
  </r>
  <r>
    <d v="2026-02-15T17:00:00"/>
    <x v="2"/>
    <s v="R118"/>
    <n v="9"/>
    <n v="25"/>
    <n v="20.858667187619641"/>
    <s v="20–22°C"/>
    <n v="2.99"/>
    <n v="2026"/>
    <x v="1"/>
    <n v="15"/>
    <n v="0"/>
    <n v="17"/>
    <n v="0.36"/>
    <n v="0.33222222222222225"/>
    <x v="3"/>
  </r>
  <r>
    <d v="2026-02-15T18:00:00"/>
    <x v="0"/>
    <s v="R102"/>
    <n v="6"/>
    <n v="20"/>
    <n v="26.550829150309379"/>
    <s v="26–28°C"/>
    <n v="3.07"/>
    <n v="2026"/>
    <x v="1"/>
    <n v="15"/>
    <n v="0"/>
    <n v="18"/>
    <n v="0.3"/>
    <n v="0.5116666666666666"/>
    <x v="3"/>
  </r>
  <r>
    <d v="2026-02-15T19:00:00"/>
    <x v="4"/>
    <s v="R104"/>
    <n v="11"/>
    <n v="30"/>
    <n v="24.288417677688251"/>
    <s v="24–26°C"/>
    <n v="3.6"/>
    <n v="2026"/>
    <x v="1"/>
    <n v="15"/>
    <n v="0"/>
    <n v="19"/>
    <n v="0.36666666666666664"/>
    <n v="0.32727272727272727"/>
    <x v="3"/>
  </r>
  <r>
    <d v="2026-02-15T20:00:00"/>
    <x v="4"/>
    <s v="R105"/>
    <n v="8"/>
    <n v="40"/>
    <n v="25.867250039641888"/>
    <s v="24–26°C"/>
    <n v="3.44"/>
    <n v="2026"/>
    <x v="1"/>
    <n v="15"/>
    <n v="0"/>
    <n v="20"/>
    <n v="0.2"/>
    <n v="0.43"/>
    <x v="3"/>
  </r>
  <r>
    <d v="2026-02-15T21:00:00"/>
    <x v="0"/>
    <s v="R101"/>
    <n v="9"/>
    <n v="20"/>
    <n v="21.805237877909711"/>
    <s v="20–22°C"/>
    <n v="3.11"/>
    <n v="2026"/>
    <x v="1"/>
    <n v="15"/>
    <n v="0"/>
    <n v="21"/>
    <n v="0.45"/>
    <n v="0.34555555555555556"/>
    <x v="0"/>
  </r>
  <r>
    <d v="2026-02-15T22:00:00"/>
    <x v="1"/>
    <s v="R102"/>
    <n v="10"/>
    <n v="40"/>
    <n v="23.433888655191488"/>
    <s v="22–24°C"/>
    <n v="3.71"/>
    <n v="2026"/>
    <x v="1"/>
    <n v="15"/>
    <n v="0"/>
    <n v="22"/>
    <n v="0.25"/>
    <n v="0.371"/>
    <x v="0"/>
  </r>
  <r>
    <d v="2026-02-15T23:00:00"/>
    <x v="3"/>
    <s v="R112"/>
    <n v="12"/>
    <n v="20"/>
    <n v="19.590756083645768"/>
    <s v="18–20°C"/>
    <n v="4.1399999999999997"/>
    <n v="2026"/>
    <x v="1"/>
    <n v="15"/>
    <n v="0"/>
    <n v="23"/>
    <n v="0.6"/>
    <n v="0.34499999999999997"/>
    <x v="0"/>
  </r>
  <r>
    <d v="2026-02-16T00:00:00"/>
    <x v="4"/>
    <s v="R115"/>
    <n v="8"/>
    <n v="40"/>
    <n v="23.962343115158451"/>
    <s v="22–24°C"/>
    <n v="2.8"/>
    <n v="2026"/>
    <x v="1"/>
    <n v="16"/>
    <n v="1"/>
    <n v="0"/>
    <n v="0.2"/>
    <n v="0.35"/>
    <x v="0"/>
  </r>
  <r>
    <d v="2026-02-16T01:00:00"/>
    <x v="2"/>
    <s v="R111"/>
    <n v="5"/>
    <n v="40"/>
    <n v="23.183479751974559"/>
    <s v="22–24°C"/>
    <n v="2.0299999999999998"/>
    <n v="2026"/>
    <x v="1"/>
    <n v="16"/>
    <n v="1"/>
    <n v="1"/>
    <n v="0.125"/>
    <n v="0.40599999999999997"/>
    <x v="0"/>
  </r>
  <r>
    <d v="2026-02-16T02:00:00"/>
    <x v="1"/>
    <s v="R108"/>
    <n v="11"/>
    <n v="25"/>
    <n v="21.921228545837"/>
    <s v="20–22°C"/>
    <n v="3.34"/>
    <n v="2026"/>
    <x v="1"/>
    <n v="16"/>
    <n v="1"/>
    <n v="2"/>
    <n v="0.44"/>
    <n v="0.30363636363636365"/>
    <x v="0"/>
  </r>
  <r>
    <d v="2026-02-16T03:00:00"/>
    <x v="2"/>
    <s v="R102"/>
    <n v="11"/>
    <n v="25"/>
    <n v="21.584758926262449"/>
    <s v="20–22°C"/>
    <n v="3.78"/>
    <n v="2026"/>
    <x v="1"/>
    <n v="16"/>
    <n v="1"/>
    <n v="3"/>
    <n v="0.44"/>
    <n v="0.34363636363636363"/>
    <x v="0"/>
  </r>
  <r>
    <d v="2026-02-16T04:00:00"/>
    <x v="0"/>
    <s v="R105"/>
    <n v="3"/>
    <n v="30"/>
    <n v="23.316572058797149"/>
    <s v="22–24°C"/>
    <n v="1.61"/>
    <n v="2026"/>
    <x v="1"/>
    <n v="16"/>
    <n v="1"/>
    <n v="4"/>
    <n v="0.1"/>
    <n v="0.53666666666666674"/>
    <x v="0"/>
  </r>
  <r>
    <d v="2026-02-16T05:00:00"/>
    <x v="2"/>
    <s v="R109"/>
    <n v="10"/>
    <n v="25"/>
    <n v="24.198179518527621"/>
    <s v="24–26°C"/>
    <n v="3.68"/>
    <n v="2026"/>
    <x v="1"/>
    <n v="16"/>
    <n v="1"/>
    <n v="5"/>
    <n v="0.4"/>
    <n v="0.36799999999999999"/>
    <x v="0"/>
  </r>
  <r>
    <d v="2026-02-16T06:00:00"/>
    <x v="4"/>
    <s v="R118"/>
    <n v="8"/>
    <n v="20"/>
    <n v="23.096377509495809"/>
    <s v="22–24°C"/>
    <n v="2.99"/>
    <n v="2026"/>
    <x v="1"/>
    <n v="16"/>
    <n v="1"/>
    <n v="6"/>
    <n v="0.4"/>
    <n v="0.37375000000000003"/>
    <x v="0"/>
  </r>
  <r>
    <d v="2026-02-16T07:00:00"/>
    <x v="4"/>
    <s v="R110"/>
    <n v="7"/>
    <n v="25"/>
    <n v="22.937728923369448"/>
    <s v="22–24°C"/>
    <n v="2.79"/>
    <n v="2026"/>
    <x v="1"/>
    <n v="16"/>
    <n v="1"/>
    <n v="7"/>
    <n v="0.28000000000000003"/>
    <n v="0.39857142857142858"/>
    <x v="1"/>
  </r>
  <r>
    <d v="2026-02-16T08:00:00"/>
    <x v="4"/>
    <s v="R114"/>
    <n v="12"/>
    <n v="30"/>
    <n v="22.43759280919447"/>
    <s v="22–24°C"/>
    <n v="3.9"/>
    <n v="2026"/>
    <x v="1"/>
    <n v="16"/>
    <n v="1"/>
    <n v="8"/>
    <n v="0.4"/>
    <n v="0.32500000000000001"/>
    <x v="1"/>
  </r>
  <r>
    <d v="2026-02-16T09:00:00"/>
    <x v="0"/>
    <s v="R104"/>
    <n v="9"/>
    <n v="20"/>
    <n v="23.94563013985567"/>
    <s v="22–24°C"/>
    <n v="2.5299999999999998"/>
    <n v="2026"/>
    <x v="1"/>
    <n v="16"/>
    <n v="1"/>
    <n v="9"/>
    <n v="0.45"/>
    <n v="0.28111111111111109"/>
    <x v="1"/>
  </r>
  <r>
    <d v="2026-02-16T10:00:00"/>
    <x v="2"/>
    <s v="R111"/>
    <n v="7"/>
    <n v="25"/>
    <n v="21.289034608148839"/>
    <s v="20–22°C"/>
    <n v="2.57"/>
    <n v="2026"/>
    <x v="1"/>
    <n v="16"/>
    <n v="1"/>
    <n v="10"/>
    <n v="0.28000000000000003"/>
    <n v="0.3671428571428571"/>
    <x v="1"/>
  </r>
  <r>
    <d v="2026-02-16T11:00:00"/>
    <x v="3"/>
    <s v="R111"/>
    <n v="8"/>
    <n v="25"/>
    <n v="24.38492868272866"/>
    <s v="24–26°C"/>
    <n v="3.02"/>
    <n v="2026"/>
    <x v="1"/>
    <n v="16"/>
    <n v="1"/>
    <n v="11"/>
    <n v="0.32"/>
    <n v="0.3775"/>
    <x v="1"/>
  </r>
  <r>
    <d v="2026-02-16T12:00:00"/>
    <x v="2"/>
    <s v="R102"/>
    <n v="8"/>
    <n v="25"/>
    <n v="22.086016332349541"/>
    <s v="22–24°C"/>
    <n v="2.39"/>
    <n v="2026"/>
    <x v="1"/>
    <n v="16"/>
    <n v="1"/>
    <n v="12"/>
    <n v="0.32"/>
    <n v="0.29875000000000002"/>
    <x v="2"/>
  </r>
  <r>
    <d v="2026-02-16T13:00:00"/>
    <x v="2"/>
    <s v="R112"/>
    <n v="10"/>
    <n v="20"/>
    <n v="24.064867457420629"/>
    <s v="24–26°C"/>
    <n v="2.87"/>
    <n v="2026"/>
    <x v="1"/>
    <n v="16"/>
    <n v="1"/>
    <n v="13"/>
    <n v="0.5"/>
    <n v="0.28700000000000003"/>
    <x v="2"/>
  </r>
  <r>
    <d v="2026-02-16T14:00:00"/>
    <x v="4"/>
    <s v="R111"/>
    <n v="8"/>
    <n v="25"/>
    <n v="22.844154528642971"/>
    <s v="22–24°C"/>
    <n v="3.09"/>
    <n v="2026"/>
    <x v="1"/>
    <n v="16"/>
    <n v="1"/>
    <n v="14"/>
    <n v="0.32"/>
    <n v="0.38624999999999998"/>
    <x v="2"/>
  </r>
  <r>
    <d v="2026-02-16T15:00:00"/>
    <x v="0"/>
    <s v="R113"/>
    <n v="9"/>
    <n v="20"/>
    <n v="20.445830875337759"/>
    <s v="20–22°C"/>
    <n v="2.96"/>
    <n v="2026"/>
    <x v="1"/>
    <n v="16"/>
    <n v="1"/>
    <n v="15"/>
    <n v="0.45"/>
    <n v="0.3288888888888889"/>
    <x v="2"/>
  </r>
  <r>
    <d v="2026-02-16T16:00:00"/>
    <x v="0"/>
    <s v="R104"/>
    <n v="11"/>
    <n v="40"/>
    <n v="22.33079229093941"/>
    <s v="22–24°C"/>
    <n v="3.77"/>
    <n v="2026"/>
    <x v="1"/>
    <n v="16"/>
    <n v="1"/>
    <n v="16"/>
    <n v="0.27500000000000002"/>
    <n v="0.34272727272727271"/>
    <x v="2"/>
  </r>
  <r>
    <d v="2026-02-16T17:00:00"/>
    <x v="2"/>
    <s v="R103"/>
    <n v="12"/>
    <n v="30"/>
    <n v="18.113709389538531"/>
    <s v="18–20°C"/>
    <n v="4.38"/>
    <n v="2026"/>
    <x v="1"/>
    <n v="16"/>
    <n v="1"/>
    <n v="17"/>
    <n v="0.4"/>
    <n v="0.36499999999999999"/>
    <x v="3"/>
  </r>
  <r>
    <d v="2026-02-16T18:00:00"/>
    <x v="4"/>
    <s v="R117"/>
    <n v="8"/>
    <n v="40"/>
    <n v="24.792999340400328"/>
    <s v="24–26°C"/>
    <n v="2.4"/>
    <n v="2026"/>
    <x v="1"/>
    <n v="16"/>
    <n v="1"/>
    <n v="18"/>
    <n v="0.2"/>
    <n v="0.3"/>
    <x v="3"/>
  </r>
  <r>
    <d v="2026-02-16T19:00:00"/>
    <x v="2"/>
    <s v="R118"/>
    <n v="10"/>
    <n v="30"/>
    <n v="21.00269861930439"/>
    <s v="20–22°C"/>
    <n v="3.15"/>
    <n v="2026"/>
    <x v="1"/>
    <n v="16"/>
    <n v="1"/>
    <n v="19"/>
    <n v="0.33333333333333331"/>
    <n v="0.315"/>
    <x v="3"/>
  </r>
  <r>
    <d v="2026-02-16T20:00:00"/>
    <x v="4"/>
    <s v="R108"/>
    <n v="6"/>
    <n v="40"/>
    <n v="25.323006096963951"/>
    <s v="24–26°C"/>
    <n v="2.74"/>
    <n v="2026"/>
    <x v="1"/>
    <n v="16"/>
    <n v="1"/>
    <n v="20"/>
    <n v="0.15"/>
    <n v="0.45666666666666672"/>
    <x v="3"/>
  </r>
  <r>
    <d v="2026-02-16T21:00:00"/>
    <x v="0"/>
    <s v="R102"/>
    <n v="8"/>
    <n v="40"/>
    <n v="22.157939308275012"/>
    <s v="22–24°C"/>
    <n v="2.37"/>
    <n v="2026"/>
    <x v="1"/>
    <n v="16"/>
    <n v="1"/>
    <n v="21"/>
    <n v="0.2"/>
    <n v="0.29625000000000001"/>
    <x v="0"/>
  </r>
  <r>
    <d v="2026-02-16T22:00:00"/>
    <x v="0"/>
    <s v="R114"/>
    <n v="10"/>
    <n v="30"/>
    <n v="24.056072009095931"/>
    <s v="24–26°C"/>
    <n v="3.38"/>
    <n v="2026"/>
    <x v="1"/>
    <n v="16"/>
    <n v="1"/>
    <n v="22"/>
    <n v="0.33333333333333331"/>
    <n v="0.33799999999999997"/>
    <x v="0"/>
  </r>
  <r>
    <d v="2026-02-16T23:00:00"/>
    <x v="1"/>
    <s v="R109"/>
    <n v="7"/>
    <n v="30"/>
    <n v="22.128578335230529"/>
    <s v="22–24°C"/>
    <n v="2.56"/>
    <n v="2026"/>
    <x v="1"/>
    <n v="16"/>
    <n v="1"/>
    <n v="23"/>
    <n v="0.23333333333333334"/>
    <n v="0.36571428571428571"/>
    <x v="0"/>
  </r>
  <r>
    <d v="2026-02-17T00:00:00"/>
    <x v="1"/>
    <s v="R119"/>
    <n v="8"/>
    <n v="30"/>
    <n v="23.527948618872319"/>
    <s v="22–24°C"/>
    <n v="2.64"/>
    <n v="2026"/>
    <x v="1"/>
    <n v="17"/>
    <n v="2"/>
    <n v="0"/>
    <n v="0.26666666666666666"/>
    <n v="0.33"/>
    <x v="0"/>
  </r>
  <r>
    <d v="2026-02-17T01:00:00"/>
    <x v="2"/>
    <s v="R109"/>
    <n v="14"/>
    <n v="25"/>
    <n v="21.826610822476251"/>
    <s v="20–22°C"/>
    <n v="4.0999999999999996"/>
    <n v="2026"/>
    <x v="1"/>
    <n v="17"/>
    <n v="2"/>
    <n v="1"/>
    <n v="0.56000000000000005"/>
    <n v="0.29285714285714282"/>
    <x v="0"/>
  </r>
  <r>
    <d v="2026-02-17T02:00:00"/>
    <x v="0"/>
    <s v="R119"/>
    <n v="4"/>
    <n v="30"/>
    <n v="23.85331162118495"/>
    <s v="22–24°C"/>
    <n v="2.67"/>
    <n v="2026"/>
    <x v="1"/>
    <n v="17"/>
    <n v="2"/>
    <n v="2"/>
    <n v="0.13333333333333333"/>
    <n v="0.66749999999999998"/>
    <x v="0"/>
  </r>
  <r>
    <d v="2026-02-17T03:00:00"/>
    <x v="4"/>
    <s v="R115"/>
    <n v="14"/>
    <n v="20"/>
    <n v="23.19802889897451"/>
    <s v="22–24°C"/>
    <n v="4.32"/>
    <n v="2026"/>
    <x v="1"/>
    <n v="17"/>
    <n v="2"/>
    <n v="3"/>
    <n v="0.7"/>
    <n v="0.30857142857142861"/>
    <x v="0"/>
  </r>
  <r>
    <d v="2026-02-17T04:00:00"/>
    <x v="2"/>
    <s v="R120"/>
    <n v="6"/>
    <n v="20"/>
    <n v="22.873954045240222"/>
    <s v="22–24°C"/>
    <n v="2.5"/>
    <n v="2026"/>
    <x v="1"/>
    <n v="17"/>
    <n v="2"/>
    <n v="4"/>
    <n v="0.3"/>
    <n v="0.41666666666666669"/>
    <x v="0"/>
  </r>
  <r>
    <d v="2026-02-17T05:00:00"/>
    <x v="1"/>
    <s v="R113"/>
    <n v="15"/>
    <n v="25"/>
    <n v="22.875519043352"/>
    <s v="22–24°C"/>
    <n v="4.3"/>
    <n v="2026"/>
    <x v="1"/>
    <n v="17"/>
    <n v="2"/>
    <n v="5"/>
    <n v="0.6"/>
    <n v="0.28666666666666668"/>
    <x v="0"/>
  </r>
  <r>
    <d v="2026-02-17T06:00:00"/>
    <x v="4"/>
    <s v="R101"/>
    <n v="3"/>
    <n v="40"/>
    <n v="20.481257450068071"/>
    <s v="20–22°C"/>
    <n v="1.66"/>
    <n v="2026"/>
    <x v="1"/>
    <n v="17"/>
    <n v="2"/>
    <n v="6"/>
    <n v="7.4999999999999997E-2"/>
    <n v="0.55333333333333334"/>
    <x v="0"/>
  </r>
  <r>
    <d v="2026-02-17T07:00:00"/>
    <x v="3"/>
    <s v="R107"/>
    <n v="6"/>
    <n v="30"/>
    <n v="22.098519445394501"/>
    <s v="22–24°C"/>
    <n v="1.71"/>
    <n v="2026"/>
    <x v="1"/>
    <n v="17"/>
    <n v="2"/>
    <n v="7"/>
    <n v="0.2"/>
    <n v="0.28499999999999998"/>
    <x v="1"/>
  </r>
  <r>
    <d v="2026-02-17T08:00:00"/>
    <x v="1"/>
    <s v="R105"/>
    <n v="9"/>
    <n v="20"/>
    <n v="23.282228993411181"/>
    <s v="22–24°C"/>
    <n v="2.78"/>
    <n v="2026"/>
    <x v="1"/>
    <n v="17"/>
    <n v="2"/>
    <n v="8"/>
    <n v="0.45"/>
    <n v="0.30888888888888888"/>
    <x v="1"/>
  </r>
  <r>
    <d v="2026-02-17T09:00:00"/>
    <x v="0"/>
    <s v="R105"/>
    <n v="8"/>
    <n v="40"/>
    <n v="21.11026045540849"/>
    <s v="20–22°C"/>
    <n v="2.97"/>
    <n v="2026"/>
    <x v="1"/>
    <n v="17"/>
    <n v="2"/>
    <n v="9"/>
    <n v="0.2"/>
    <n v="0.37125000000000002"/>
    <x v="1"/>
  </r>
  <r>
    <d v="2026-02-17T10:00:00"/>
    <x v="1"/>
    <s v="R102"/>
    <n v="4"/>
    <n v="20"/>
    <n v="20.968673538240349"/>
    <s v="20–22°C"/>
    <n v="2.12"/>
    <n v="2026"/>
    <x v="1"/>
    <n v="17"/>
    <n v="2"/>
    <n v="10"/>
    <n v="0.2"/>
    <n v="0.53"/>
    <x v="1"/>
  </r>
  <r>
    <d v="2026-02-17T11:00:00"/>
    <x v="4"/>
    <s v="R113"/>
    <n v="7"/>
    <n v="20"/>
    <n v="21.451460155191889"/>
    <s v="20–22°C"/>
    <n v="2.57"/>
    <n v="2026"/>
    <x v="1"/>
    <n v="17"/>
    <n v="2"/>
    <n v="11"/>
    <n v="0.35"/>
    <n v="0.3671428571428571"/>
    <x v="1"/>
  </r>
  <r>
    <d v="2026-02-17T12:00:00"/>
    <x v="4"/>
    <s v="R117"/>
    <n v="7"/>
    <n v="40"/>
    <n v="22.65637907239465"/>
    <s v="22–24°C"/>
    <n v="2.6"/>
    <n v="2026"/>
    <x v="1"/>
    <n v="17"/>
    <n v="2"/>
    <n v="12"/>
    <n v="0.17499999999999999"/>
    <n v="0.37142857142857144"/>
    <x v="2"/>
  </r>
  <r>
    <d v="2026-02-17T13:00:00"/>
    <x v="1"/>
    <s v="R105"/>
    <n v="7"/>
    <n v="20"/>
    <n v="20.54100968458382"/>
    <s v="20–22°C"/>
    <n v="2.65"/>
    <n v="2026"/>
    <x v="1"/>
    <n v="17"/>
    <n v="2"/>
    <n v="13"/>
    <n v="0.35"/>
    <n v="0.37857142857142856"/>
    <x v="2"/>
  </r>
  <r>
    <d v="2026-02-17T14:00:00"/>
    <x v="3"/>
    <s v="R104"/>
    <n v="11"/>
    <n v="20"/>
    <n v="22.873393554437332"/>
    <s v="22–24°C"/>
    <n v="3.66"/>
    <n v="2026"/>
    <x v="1"/>
    <n v="17"/>
    <n v="2"/>
    <n v="14"/>
    <n v="0.55000000000000004"/>
    <n v="0.33272727272727276"/>
    <x v="2"/>
  </r>
  <r>
    <d v="2026-02-17T15:00:00"/>
    <x v="1"/>
    <s v="R116"/>
    <n v="13"/>
    <n v="30"/>
    <n v="20.85866325716681"/>
    <s v="20–22°C"/>
    <n v="4.0599999999999996"/>
    <n v="2026"/>
    <x v="1"/>
    <n v="17"/>
    <n v="2"/>
    <n v="15"/>
    <n v="0.43333333333333335"/>
    <n v="0.31230769230769229"/>
    <x v="2"/>
  </r>
  <r>
    <d v="2026-02-17T16:00:00"/>
    <x v="0"/>
    <s v="R115"/>
    <n v="6"/>
    <n v="25"/>
    <n v="22.579391010015911"/>
    <s v="22–24°C"/>
    <n v="2.4500000000000002"/>
    <n v="2026"/>
    <x v="1"/>
    <n v="17"/>
    <n v="2"/>
    <n v="16"/>
    <n v="0.24"/>
    <n v="0.40833333333333338"/>
    <x v="2"/>
  </r>
  <r>
    <d v="2026-02-17T17:00:00"/>
    <x v="1"/>
    <s v="R116"/>
    <n v="6"/>
    <n v="20"/>
    <n v="25.212923541624139"/>
    <s v="24–26°C"/>
    <n v="2.41"/>
    <n v="2026"/>
    <x v="1"/>
    <n v="17"/>
    <n v="2"/>
    <n v="17"/>
    <n v="0.3"/>
    <n v="0.40166666666666667"/>
    <x v="3"/>
  </r>
  <r>
    <d v="2026-02-17T18:00:00"/>
    <x v="1"/>
    <s v="R118"/>
    <n v="10"/>
    <n v="20"/>
    <n v="25.484874573051378"/>
    <s v="24–26°C"/>
    <n v="3.75"/>
    <n v="2026"/>
    <x v="1"/>
    <n v="17"/>
    <n v="2"/>
    <n v="18"/>
    <n v="0.5"/>
    <n v="0.375"/>
    <x v="3"/>
  </r>
  <r>
    <d v="2026-02-17T19:00:00"/>
    <x v="1"/>
    <s v="R110"/>
    <n v="8"/>
    <n v="30"/>
    <n v="23.911293820177189"/>
    <s v="22–24°C"/>
    <n v="2.85"/>
    <n v="2026"/>
    <x v="1"/>
    <n v="17"/>
    <n v="2"/>
    <n v="19"/>
    <n v="0.26666666666666666"/>
    <n v="0.35625000000000001"/>
    <x v="3"/>
  </r>
  <r>
    <d v="2026-02-17T20:00:00"/>
    <x v="3"/>
    <s v="R104"/>
    <n v="9"/>
    <n v="25"/>
    <n v="21.6267909363036"/>
    <s v="20–22°C"/>
    <n v="2.85"/>
    <n v="2026"/>
    <x v="1"/>
    <n v="17"/>
    <n v="2"/>
    <n v="20"/>
    <n v="0.36"/>
    <n v="0.31666666666666665"/>
    <x v="3"/>
  </r>
  <r>
    <d v="2026-02-17T21:00:00"/>
    <x v="1"/>
    <s v="R111"/>
    <n v="3"/>
    <n v="25"/>
    <n v="21.361316814530849"/>
    <s v="20–22°C"/>
    <n v="1.99"/>
    <n v="2026"/>
    <x v="1"/>
    <n v="17"/>
    <n v="2"/>
    <n v="21"/>
    <n v="0.12"/>
    <n v="0.66333333333333333"/>
    <x v="0"/>
  </r>
  <r>
    <d v="2026-02-17T22:00:00"/>
    <x v="3"/>
    <s v="R113"/>
    <n v="9"/>
    <n v="30"/>
    <n v="23.725991406865379"/>
    <s v="22–24°C"/>
    <n v="2.96"/>
    <n v="2026"/>
    <x v="1"/>
    <n v="17"/>
    <n v="2"/>
    <n v="22"/>
    <n v="0.3"/>
    <n v="0.3288888888888889"/>
    <x v="0"/>
  </r>
  <r>
    <d v="2026-02-17T23:00:00"/>
    <x v="4"/>
    <s v="R107"/>
    <n v="9"/>
    <n v="40"/>
    <n v="24.138578646540129"/>
    <s v="24–26°C"/>
    <n v="3.39"/>
    <n v="2026"/>
    <x v="1"/>
    <n v="17"/>
    <n v="2"/>
    <n v="23"/>
    <n v="0.22500000000000001"/>
    <n v="0.37666666666666671"/>
    <x v="0"/>
  </r>
  <r>
    <d v="2026-02-18T00:00:00"/>
    <x v="1"/>
    <s v="R106"/>
    <n v="7"/>
    <n v="30"/>
    <n v="20.824213975781479"/>
    <s v="20–22°C"/>
    <n v="2.52"/>
    <n v="2026"/>
    <x v="1"/>
    <n v="18"/>
    <n v="3"/>
    <n v="0"/>
    <n v="0.23333333333333334"/>
    <n v="0.36"/>
    <x v="0"/>
  </r>
  <r>
    <d v="2026-02-18T01:00:00"/>
    <x v="2"/>
    <s v="R101"/>
    <n v="10"/>
    <n v="25"/>
    <n v="19.123217877475572"/>
    <s v="18–20°C"/>
    <n v="3.77"/>
    <n v="2026"/>
    <x v="1"/>
    <n v="18"/>
    <n v="3"/>
    <n v="1"/>
    <n v="0.4"/>
    <n v="0.377"/>
    <x v="0"/>
  </r>
  <r>
    <d v="2026-02-18T02:00:00"/>
    <x v="0"/>
    <s v="R101"/>
    <n v="6"/>
    <n v="30"/>
    <n v="23.330983128266279"/>
    <s v="22–24°C"/>
    <n v="2.79"/>
    <n v="2026"/>
    <x v="1"/>
    <n v="18"/>
    <n v="3"/>
    <n v="2"/>
    <n v="0.2"/>
    <n v="0.46500000000000002"/>
    <x v="0"/>
  </r>
  <r>
    <d v="2026-02-18T03:00:00"/>
    <x v="0"/>
    <s v="R107"/>
    <n v="7"/>
    <n v="20"/>
    <n v="23.45696435543638"/>
    <s v="22–24°C"/>
    <n v="2.74"/>
    <n v="2026"/>
    <x v="1"/>
    <n v="18"/>
    <n v="3"/>
    <n v="3"/>
    <n v="0.35"/>
    <n v="0.39142857142857146"/>
    <x v="0"/>
  </r>
  <r>
    <d v="2026-02-18T04:00:00"/>
    <x v="0"/>
    <s v="R107"/>
    <n v="9"/>
    <n v="20"/>
    <n v="25.194969942706329"/>
    <s v="24–26°C"/>
    <n v="3.18"/>
    <n v="2026"/>
    <x v="1"/>
    <n v="18"/>
    <n v="3"/>
    <n v="4"/>
    <n v="0.45"/>
    <n v="0.35333333333333333"/>
    <x v="0"/>
  </r>
  <r>
    <d v="2026-02-18T05:00:00"/>
    <x v="2"/>
    <s v="R103"/>
    <n v="10"/>
    <n v="40"/>
    <n v="20.921256788138042"/>
    <s v="20–22°C"/>
    <n v="3.2"/>
    <n v="2026"/>
    <x v="1"/>
    <n v="18"/>
    <n v="3"/>
    <n v="5"/>
    <n v="0.25"/>
    <n v="0.32"/>
    <x v="0"/>
  </r>
  <r>
    <d v="2026-02-18T06:00:00"/>
    <x v="3"/>
    <s v="R109"/>
    <n v="10"/>
    <n v="20"/>
    <n v="23.075126702762219"/>
    <s v="22–24°C"/>
    <n v="3.42"/>
    <n v="2026"/>
    <x v="1"/>
    <n v="18"/>
    <n v="3"/>
    <n v="6"/>
    <n v="0.5"/>
    <n v="0.34199999999999997"/>
    <x v="0"/>
  </r>
  <r>
    <d v="2026-02-18T07:00:00"/>
    <x v="4"/>
    <s v="R114"/>
    <n v="10"/>
    <n v="40"/>
    <n v="24.775797637867431"/>
    <s v="24–26°C"/>
    <n v="3.24"/>
    <n v="2026"/>
    <x v="1"/>
    <n v="18"/>
    <n v="3"/>
    <n v="7"/>
    <n v="0.25"/>
    <n v="0.32400000000000001"/>
    <x v="1"/>
  </r>
  <r>
    <d v="2026-02-18T08:00:00"/>
    <x v="1"/>
    <s v="R102"/>
    <n v="5"/>
    <n v="20"/>
    <n v="23.38826430401129"/>
    <s v="22–24°C"/>
    <n v="1.87"/>
    <n v="2026"/>
    <x v="1"/>
    <n v="18"/>
    <n v="3"/>
    <n v="8"/>
    <n v="0.25"/>
    <n v="0.374"/>
    <x v="1"/>
  </r>
  <r>
    <d v="2026-02-18T09:00:00"/>
    <x v="1"/>
    <s v="R104"/>
    <n v="2"/>
    <n v="30"/>
    <n v="22.02566563394171"/>
    <s v="22–24°C"/>
    <n v="0.64"/>
    <n v="2026"/>
    <x v="1"/>
    <n v="18"/>
    <n v="3"/>
    <n v="9"/>
    <n v="6.6666666666666666E-2"/>
    <n v="0.32"/>
    <x v="1"/>
  </r>
  <r>
    <d v="2026-02-18T10:00:00"/>
    <x v="1"/>
    <s v="R115"/>
    <n v="7"/>
    <n v="30"/>
    <n v="22.837613631729059"/>
    <s v="22–24°C"/>
    <n v="2.93"/>
    <n v="2026"/>
    <x v="1"/>
    <n v="18"/>
    <n v="3"/>
    <n v="10"/>
    <n v="0.23333333333333334"/>
    <n v="0.41857142857142859"/>
    <x v="1"/>
  </r>
  <r>
    <d v="2026-02-18T11:00:00"/>
    <x v="3"/>
    <s v="R110"/>
    <n v="12"/>
    <n v="40"/>
    <n v="21.553968603427869"/>
    <s v="20–22°C"/>
    <n v="3.77"/>
    <n v="2026"/>
    <x v="1"/>
    <n v="18"/>
    <n v="3"/>
    <n v="11"/>
    <n v="0.3"/>
    <n v="0.31416666666666665"/>
    <x v="1"/>
  </r>
  <r>
    <d v="2026-02-18T12:00:00"/>
    <x v="0"/>
    <s v="R103"/>
    <n v="13"/>
    <n v="20"/>
    <n v="22.487149661742841"/>
    <s v="22–24°C"/>
    <n v="4.3899999999999997"/>
    <n v="2026"/>
    <x v="1"/>
    <n v="18"/>
    <n v="3"/>
    <n v="12"/>
    <n v="0.65"/>
    <n v="0.33769230769230768"/>
    <x v="2"/>
  </r>
  <r>
    <d v="2026-02-18T13:00:00"/>
    <x v="2"/>
    <s v="R106"/>
    <n v="9"/>
    <n v="40"/>
    <n v="22.0291172617918"/>
    <s v="22–24°C"/>
    <n v="2.72"/>
    <n v="2026"/>
    <x v="1"/>
    <n v="18"/>
    <n v="3"/>
    <n v="13"/>
    <n v="0.22500000000000001"/>
    <n v="0.30222222222222223"/>
    <x v="2"/>
  </r>
  <r>
    <d v="2026-02-18T14:00:00"/>
    <x v="0"/>
    <s v="R120"/>
    <n v="9"/>
    <n v="30"/>
    <n v="22.289016674171599"/>
    <s v="22–24°C"/>
    <n v="2.48"/>
    <n v="2026"/>
    <x v="1"/>
    <n v="18"/>
    <n v="3"/>
    <n v="14"/>
    <n v="0.3"/>
    <n v="0.27555555555555555"/>
    <x v="2"/>
  </r>
  <r>
    <d v="2026-02-18T15:00:00"/>
    <x v="0"/>
    <s v="R102"/>
    <n v="6"/>
    <n v="20"/>
    <n v="21.42455513346896"/>
    <s v="20–22°C"/>
    <n v="2.4500000000000002"/>
    <n v="2026"/>
    <x v="1"/>
    <n v="18"/>
    <n v="3"/>
    <n v="15"/>
    <n v="0.3"/>
    <n v="0.40833333333333338"/>
    <x v="2"/>
  </r>
  <r>
    <d v="2026-02-18T16:00:00"/>
    <x v="3"/>
    <s v="R103"/>
    <n v="11"/>
    <n v="20"/>
    <n v="25.86800200746092"/>
    <s v="24–26°C"/>
    <n v="3.86"/>
    <n v="2026"/>
    <x v="1"/>
    <n v="18"/>
    <n v="3"/>
    <n v="16"/>
    <n v="0.55000000000000004"/>
    <n v="0.35090909090909089"/>
    <x v="2"/>
  </r>
  <r>
    <d v="2026-02-18T17:00:00"/>
    <x v="3"/>
    <s v="R114"/>
    <n v="4"/>
    <n v="30"/>
    <n v="23.181167846962989"/>
    <s v="22–24°C"/>
    <n v="2.2000000000000002"/>
    <n v="2026"/>
    <x v="1"/>
    <n v="18"/>
    <n v="3"/>
    <n v="17"/>
    <n v="0.13333333333333333"/>
    <n v="0.55000000000000004"/>
    <x v="3"/>
  </r>
  <r>
    <d v="2026-02-18T18:00:00"/>
    <x v="4"/>
    <s v="R114"/>
    <n v="11"/>
    <n v="20"/>
    <n v="21.7914211367817"/>
    <s v="20–22°C"/>
    <n v="3.11"/>
    <n v="2026"/>
    <x v="1"/>
    <n v="18"/>
    <n v="3"/>
    <n v="18"/>
    <n v="0.55000000000000004"/>
    <n v="0.28272727272727272"/>
    <x v="3"/>
  </r>
  <r>
    <d v="2026-02-18T19:00:00"/>
    <x v="1"/>
    <s v="R104"/>
    <n v="8"/>
    <n v="20"/>
    <n v="22.640739254548969"/>
    <s v="22–24°C"/>
    <n v="3.13"/>
    <n v="2026"/>
    <x v="1"/>
    <n v="18"/>
    <n v="3"/>
    <n v="19"/>
    <n v="0.4"/>
    <n v="0.39124999999999999"/>
    <x v="3"/>
  </r>
  <r>
    <d v="2026-02-18T20:00:00"/>
    <x v="1"/>
    <s v="R102"/>
    <n v="10"/>
    <n v="30"/>
    <n v="22.525712181127648"/>
    <s v="22–24°C"/>
    <n v="3.48"/>
    <n v="2026"/>
    <x v="1"/>
    <n v="18"/>
    <n v="3"/>
    <n v="20"/>
    <n v="0.33333333333333331"/>
    <n v="0.34799999999999998"/>
    <x v="3"/>
  </r>
  <r>
    <d v="2026-02-18T21:00:00"/>
    <x v="2"/>
    <s v="R118"/>
    <n v="10"/>
    <n v="25"/>
    <n v="24.176314528871728"/>
    <s v="24–26°C"/>
    <n v="3.41"/>
    <n v="2026"/>
    <x v="1"/>
    <n v="18"/>
    <n v="3"/>
    <n v="21"/>
    <n v="0.4"/>
    <n v="0.34100000000000003"/>
    <x v="0"/>
  </r>
  <r>
    <d v="2026-02-18T22:00:00"/>
    <x v="2"/>
    <s v="R117"/>
    <n v="6"/>
    <n v="20"/>
    <n v="20.072747083935429"/>
    <s v="20–22°C"/>
    <n v="2.48"/>
    <n v="2026"/>
    <x v="1"/>
    <n v="18"/>
    <n v="3"/>
    <n v="22"/>
    <n v="0.3"/>
    <n v="0.41333333333333333"/>
    <x v="0"/>
  </r>
  <r>
    <d v="2026-02-18T23:00:00"/>
    <x v="1"/>
    <s v="R106"/>
    <n v="8"/>
    <n v="20"/>
    <n v="22.61368955030084"/>
    <s v="22–24°C"/>
    <n v="2.2999999999999998"/>
    <n v="2026"/>
    <x v="1"/>
    <n v="18"/>
    <n v="3"/>
    <n v="23"/>
    <n v="0.4"/>
    <n v="0.28749999999999998"/>
    <x v="0"/>
  </r>
  <r>
    <d v="2026-02-19T00:00:00"/>
    <x v="3"/>
    <s v="R116"/>
    <n v="7"/>
    <n v="20"/>
    <n v="22.12989479952828"/>
    <s v="22–24°C"/>
    <n v="2.13"/>
    <n v="2026"/>
    <x v="1"/>
    <n v="19"/>
    <n v="4"/>
    <n v="0"/>
    <n v="0.35"/>
    <n v="0.30428571428571427"/>
    <x v="0"/>
  </r>
  <r>
    <d v="2026-02-19T01:00:00"/>
    <x v="0"/>
    <s v="R116"/>
    <n v="8"/>
    <n v="30"/>
    <n v="22.74245149043151"/>
    <s v="22–24°C"/>
    <n v="2.4900000000000002"/>
    <n v="2026"/>
    <x v="1"/>
    <n v="19"/>
    <n v="4"/>
    <n v="1"/>
    <n v="0.26666666666666666"/>
    <n v="0.31125000000000003"/>
    <x v="0"/>
  </r>
  <r>
    <d v="2026-02-19T02:00:00"/>
    <x v="2"/>
    <s v="R117"/>
    <n v="5"/>
    <n v="30"/>
    <n v="26.06961961220772"/>
    <s v="26–28°C"/>
    <n v="2.04"/>
    <n v="2026"/>
    <x v="1"/>
    <n v="19"/>
    <n v="4"/>
    <n v="2"/>
    <n v="0.16666666666666666"/>
    <n v="0.40800000000000003"/>
    <x v="0"/>
  </r>
  <r>
    <d v="2026-02-19T03:00:00"/>
    <x v="0"/>
    <s v="R120"/>
    <n v="7"/>
    <n v="30"/>
    <n v="22.961679004836721"/>
    <s v="22–24°C"/>
    <n v="2.54"/>
    <n v="2026"/>
    <x v="1"/>
    <n v="19"/>
    <n v="4"/>
    <n v="3"/>
    <n v="0.23333333333333334"/>
    <n v="0.36285714285714288"/>
    <x v="0"/>
  </r>
  <r>
    <d v="2026-02-19T04:00:00"/>
    <x v="0"/>
    <s v="R110"/>
    <n v="9"/>
    <n v="30"/>
    <n v="25.509489674675311"/>
    <s v="24–26°C"/>
    <n v="3.95"/>
    <n v="2026"/>
    <x v="1"/>
    <n v="19"/>
    <n v="4"/>
    <n v="4"/>
    <n v="0.3"/>
    <n v="0.43888888888888888"/>
    <x v="0"/>
  </r>
  <r>
    <d v="2026-02-19T05:00:00"/>
    <x v="0"/>
    <s v="R109"/>
    <n v="15"/>
    <n v="20"/>
    <n v="27.121377867455841"/>
    <s v="26–28°C"/>
    <n v="5.73"/>
    <n v="2026"/>
    <x v="1"/>
    <n v="19"/>
    <n v="4"/>
    <n v="5"/>
    <n v="0.75"/>
    <n v="0.38200000000000001"/>
    <x v="0"/>
  </r>
  <r>
    <d v="2026-02-19T06:00:00"/>
    <x v="2"/>
    <s v="R108"/>
    <n v="7"/>
    <n v="25"/>
    <n v="22.404177344003859"/>
    <s v="22–24°C"/>
    <n v="3.19"/>
    <n v="2026"/>
    <x v="1"/>
    <n v="19"/>
    <n v="4"/>
    <n v="6"/>
    <n v="0.28000000000000003"/>
    <n v="0.45571428571428568"/>
    <x v="0"/>
  </r>
  <r>
    <d v="2026-02-19T07:00:00"/>
    <x v="1"/>
    <s v="R109"/>
    <n v="7"/>
    <n v="40"/>
    <n v="18.897955022947809"/>
    <s v="18–20°C"/>
    <n v="3.3"/>
    <n v="2026"/>
    <x v="1"/>
    <n v="19"/>
    <n v="4"/>
    <n v="7"/>
    <n v="0.17499999999999999"/>
    <n v="0.47142857142857142"/>
    <x v="1"/>
  </r>
  <r>
    <d v="2026-02-19T08:00:00"/>
    <x v="0"/>
    <s v="R112"/>
    <n v="14"/>
    <n v="20"/>
    <n v="21.7197069898126"/>
    <s v="20–22°C"/>
    <n v="4.49"/>
    <n v="2026"/>
    <x v="1"/>
    <n v="19"/>
    <n v="4"/>
    <n v="8"/>
    <n v="0.7"/>
    <n v="0.32071428571428573"/>
    <x v="1"/>
  </r>
  <r>
    <d v="2026-02-19T09:00:00"/>
    <x v="4"/>
    <s v="R113"/>
    <n v="7"/>
    <n v="25"/>
    <n v="22.99159616921769"/>
    <s v="22–24°C"/>
    <n v="3.21"/>
    <n v="2026"/>
    <x v="1"/>
    <n v="19"/>
    <n v="4"/>
    <n v="9"/>
    <n v="0.28000000000000003"/>
    <n v="0.45857142857142857"/>
    <x v="1"/>
  </r>
  <r>
    <d v="2026-02-19T10:00:00"/>
    <x v="1"/>
    <s v="R104"/>
    <n v="8"/>
    <n v="30"/>
    <n v="22.625383276783921"/>
    <s v="22–24°C"/>
    <n v="2.83"/>
    <n v="2026"/>
    <x v="1"/>
    <n v="19"/>
    <n v="4"/>
    <n v="10"/>
    <n v="0.26666666666666666"/>
    <n v="0.35375000000000001"/>
    <x v="1"/>
  </r>
  <r>
    <d v="2026-02-19T11:00:00"/>
    <x v="0"/>
    <s v="R111"/>
    <n v="7"/>
    <n v="30"/>
    <n v="21.964389469339771"/>
    <s v="20–22°C"/>
    <n v="2.71"/>
    <n v="2026"/>
    <x v="1"/>
    <n v="19"/>
    <n v="4"/>
    <n v="11"/>
    <n v="0.23333333333333334"/>
    <n v="0.38714285714285712"/>
    <x v="1"/>
  </r>
  <r>
    <d v="2026-02-19T12:00:00"/>
    <x v="2"/>
    <s v="R102"/>
    <n v="9"/>
    <n v="30"/>
    <n v="22.222380429081259"/>
    <s v="22–24°C"/>
    <n v="3.27"/>
    <n v="2026"/>
    <x v="1"/>
    <n v="19"/>
    <n v="4"/>
    <n v="12"/>
    <n v="0.3"/>
    <n v="0.36333333333333334"/>
    <x v="2"/>
  </r>
  <r>
    <d v="2026-02-19T13:00:00"/>
    <x v="4"/>
    <s v="R113"/>
    <n v="8"/>
    <n v="40"/>
    <n v="22.590585532955419"/>
    <s v="22–24°C"/>
    <n v="2.77"/>
    <n v="2026"/>
    <x v="1"/>
    <n v="19"/>
    <n v="4"/>
    <n v="13"/>
    <n v="0.2"/>
    <n v="0.34625"/>
    <x v="2"/>
  </r>
  <r>
    <d v="2026-02-19T14:00:00"/>
    <x v="1"/>
    <s v="R115"/>
    <n v="6"/>
    <n v="20"/>
    <n v="22.36848398356581"/>
    <s v="22–24°C"/>
    <n v="2.35"/>
    <n v="2026"/>
    <x v="1"/>
    <n v="19"/>
    <n v="4"/>
    <n v="14"/>
    <n v="0.3"/>
    <n v="0.39166666666666666"/>
    <x v="2"/>
  </r>
  <r>
    <d v="2026-02-19T15:00:00"/>
    <x v="4"/>
    <s v="R101"/>
    <n v="8"/>
    <n v="40"/>
    <n v="25.59738658198685"/>
    <s v="24–26°C"/>
    <n v="3.42"/>
    <n v="2026"/>
    <x v="1"/>
    <n v="19"/>
    <n v="4"/>
    <n v="15"/>
    <n v="0.2"/>
    <n v="0.42749999999999999"/>
    <x v="2"/>
  </r>
  <r>
    <d v="2026-02-19T16:00:00"/>
    <x v="1"/>
    <s v="R101"/>
    <n v="10"/>
    <n v="20"/>
    <n v="21.056565641446149"/>
    <s v="20–22°C"/>
    <n v="3.17"/>
    <n v="2026"/>
    <x v="1"/>
    <n v="19"/>
    <n v="4"/>
    <n v="16"/>
    <n v="0.5"/>
    <n v="0.317"/>
    <x v="2"/>
  </r>
  <r>
    <d v="2026-02-19T17:00:00"/>
    <x v="0"/>
    <s v="R109"/>
    <n v="7"/>
    <n v="30"/>
    <n v="23.96288692462366"/>
    <s v="22–24°C"/>
    <n v="2.95"/>
    <n v="2026"/>
    <x v="1"/>
    <n v="19"/>
    <n v="4"/>
    <n v="17"/>
    <n v="0.23333333333333334"/>
    <n v="0.42142857142857143"/>
    <x v="3"/>
  </r>
  <r>
    <d v="2026-02-19T18:00:00"/>
    <x v="2"/>
    <s v="R115"/>
    <n v="10"/>
    <n v="30"/>
    <n v="19.97890789926101"/>
    <s v="18–20°C"/>
    <n v="3.4"/>
    <n v="2026"/>
    <x v="1"/>
    <n v="19"/>
    <n v="4"/>
    <n v="18"/>
    <n v="0.33333333333333331"/>
    <n v="0.33999999999999997"/>
    <x v="3"/>
  </r>
  <r>
    <d v="2026-02-19T19:00:00"/>
    <x v="2"/>
    <s v="R117"/>
    <n v="3"/>
    <n v="40"/>
    <n v="21.146973490440509"/>
    <s v="20–22°C"/>
    <n v="1.52"/>
    <n v="2026"/>
    <x v="1"/>
    <n v="19"/>
    <n v="4"/>
    <n v="19"/>
    <n v="7.4999999999999997E-2"/>
    <n v="0.50666666666666671"/>
    <x v="3"/>
  </r>
  <r>
    <d v="2026-02-19T20:00:00"/>
    <x v="3"/>
    <s v="R108"/>
    <n v="6"/>
    <n v="20"/>
    <n v="26.105658640397689"/>
    <s v="26–28°C"/>
    <n v="2.4300000000000002"/>
    <n v="2026"/>
    <x v="1"/>
    <n v="19"/>
    <n v="4"/>
    <n v="20"/>
    <n v="0.3"/>
    <n v="0.40500000000000003"/>
    <x v="3"/>
  </r>
  <r>
    <d v="2026-02-19T21:00:00"/>
    <x v="4"/>
    <s v="R106"/>
    <n v="3"/>
    <n v="20"/>
    <n v="18.240371435139281"/>
    <s v="18–20°C"/>
    <n v="1.89"/>
    <n v="2026"/>
    <x v="1"/>
    <n v="19"/>
    <n v="4"/>
    <n v="21"/>
    <n v="0.15"/>
    <n v="0.63"/>
    <x v="0"/>
  </r>
  <r>
    <d v="2026-02-19T22:00:00"/>
    <x v="4"/>
    <s v="R105"/>
    <n v="11"/>
    <n v="20"/>
    <n v="22.485567926310608"/>
    <s v="22–24°C"/>
    <n v="3.27"/>
    <n v="2026"/>
    <x v="1"/>
    <n v="19"/>
    <n v="4"/>
    <n v="22"/>
    <n v="0.55000000000000004"/>
    <n v="0.2972727272727273"/>
    <x v="0"/>
  </r>
  <r>
    <d v="2026-02-19T23:00:00"/>
    <x v="1"/>
    <s v="R102"/>
    <n v="6"/>
    <n v="20"/>
    <n v="24.373654990905681"/>
    <s v="24–26°C"/>
    <n v="2.54"/>
    <n v="2026"/>
    <x v="1"/>
    <n v="19"/>
    <n v="4"/>
    <n v="23"/>
    <n v="0.3"/>
    <n v="0.42333333333333334"/>
    <x v="0"/>
  </r>
  <r>
    <d v="2026-02-20T00:00:00"/>
    <x v="1"/>
    <s v="R114"/>
    <n v="8"/>
    <n v="20"/>
    <n v="25.13020573746407"/>
    <s v="24–26°C"/>
    <n v="3.45"/>
    <n v="2026"/>
    <x v="1"/>
    <n v="20"/>
    <n v="5"/>
    <n v="0"/>
    <n v="0.4"/>
    <n v="0.43125000000000002"/>
    <x v="0"/>
  </r>
  <r>
    <d v="2026-02-20T01:00:00"/>
    <x v="1"/>
    <s v="R104"/>
    <n v="8"/>
    <n v="30"/>
    <n v="18.692823774110899"/>
    <s v="18–20°C"/>
    <n v="3.36"/>
    <n v="2026"/>
    <x v="1"/>
    <n v="20"/>
    <n v="5"/>
    <n v="1"/>
    <n v="0.26666666666666666"/>
    <n v="0.42"/>
    <x v="0"/>
  </r>
  <r>
    <d v="2026-02-20T02:00:00"/>
    <x v="0"/>
    <s v="R118"/>
    <n v="9"/>
    <n v="25"/>
    <n v="24.270491073207911"/>
    <s v="24–26°C"/>
    <n v="3.08"/>
    <n v="2026"/>
    <x v="1"/>
    <n v="20"/>
    <n v="5"/>
    <n v="2"/>
    <n v="0.36"/>
    <n v="0.34222222222222221"/>
    <x v="0"/>
  </r>
  <r>
    <d v="2026-02-20T03:00:00"/>
    <x v="4"/>
    <s v="R113"/>
    <n v="10"/>
    <n v="30"/>
    <n v="23.89432682617144"/>
    <s v="22–24°C"/>
    <n v="3.94"/>
    <n v="2026"/>
    <x v="1"/>
    <n v="20"/>
    <n v="5"/>
    <n v="3"/>
    <n v="0.33333333333333331"/>
    <n v="0.39400000000000002"/>
    <x v="0"/>
  </r>
  <r>
    <d v="2026-02-20T04:00:00"/>
    <x v="0"/>
    <s v="R110"/>
    <n v="8"/>
    <n v="40"/>
    <n v="24.888429680503631"/>
    <s v="24–26°C"/>
    <n v="3.29"/>
    <n v="2026"/>
    <x v="1"/>
    <n v="20"/>
    <n v="5"/>
    <n v="4"/>
    <n v="0.2"/>
    <n v="0.41125"/>
    <x v="0"/>
  </r>
  <r>
    <d v="2026-02-20T05:00:00"/>
    <x v="3"/>
    <s v="R120"/>
    <n v="8"/>
    <n v="25"/>
    <n v="23.365231567330792"/>
    <s v="22–24°C"/>
    <n v="2.67"/>
    <n v="2026"/>
    <x v="1"/>
    <n v="20"/>
    <n v="5"/>
    <n v="5"/>
    <n v="0.32"/>
    <n v="0.33374999999999999"/>
    <x v="0"/>
  </r>
  <r>
    <d v="2026-02-20T06:00:00"/>
    <x v="2"/>
    <s v="R119"/>
    <n v="2"/>
    <n v="40"/>
    <n v="23.650503351708689"/>
    <s v="22–24°C"/>
    <n v="1.9"/>
    <n v="2026"/>
    <x v="1"/>
    <n v="20"/>
    <n v="5"/>
    <n v="6"/>
    <n v="0.05"/>
    <n v="0.95"/>
    <x v="0"/>
  </r>
  <r>
    <d v="2026-02-20T07:00:00"/>
    <x v="1"/>
    <s v="R101"/>
    <n v="10"/>
    <n v="40"/>
    <n v="22.02268920677653"/>
    <s v="22–24°C"/>
    <n v="3.22"/>
    <n v="2026"/>
    <x v="1"/>
    <n v="20"/>
    <n v="5"/>
    <n v="7"/>
    <n v="0.25"/>
    <n v="0.32200000000000001"/>
    <x v="1"/>
  </r>
  <r>
    <d v="2026-02-20T08:00:00"/>
    <x v="3"/>
    <s v="R101"/>
    <n v="12"/>
    <n v="40"/>
    <n v="22.651112131429439"/>
    <s v="22–24°C"/>
    <n v="3.67"/>
    <n v="2026"/>
    <x v="1"/>
    <n v="20"/>
    <n v="5"/>
    <n v="8"/>
    <n v="0.3"/>
    <n v="0.30583333333333335"/>
    <x v="1"/>
  </r>
  <r>
    <d v="2026-02-20T09:00:00"/>
    <x v="0"/>
    <s v="R120"/>
    <n v="11"/>
    <n v="30"/>
    <n v="23.433439284245761"/>
    <s v="22–24°C"/>
    <n v="3.34"/>
    <n v="2026"/>
    <x v="1"/>
    <n v="20"/>
    <n v="5"/>
    <n v="9"/>
    <n v="0.36666666666666664"/>
    <n v="0.30363636363636365"/>
    <x v="1"/>
  </r>
  <r>
    <d v="2026-02-20T10:00:00"/>
    <x v="0"/>
    <s v="R106"/>
    <n v="6"/>
    <n v="20"/>
    <n v="22.536151995772759"/>
    <s v="22–24°C"/>
    <n v="2.33"/>
    <n v="2026"/>
    <x v="1"/>
    <n v="20"/>
    <n v="5"/>
    <n v="10"/>
    <n v="0.3"/>
    <n v="0.38833333333333336"/>
    <x v="1"/>
  </r>
  <r>
    <d v="2026-02-20T11:00:00"/>
    <x v="1"/>
    <s v="R110"/>
    <n v="5"/>
    <n v="20"/>
    <n v="21.732013073486971"/>
    <s v="20–22°C"/>
    <n v="1.98"/>
    <n v="2026"/>
    <x v="1"/>
    <n v="20"/>
    <n v="5"/>
    <n v="11"/>
    <n v="0.25"/>
    <n v="0.39600000000000002"/>
    <x v="1"/>
  </r>
  <r>
    <d v="2026-02-20T12:00:00"/>
    <x v="1"/>
    <s v="R109"/>
    <n v="4"/>
    <n v="20"/>
    <n v="22.550640196740261"/>
    <s v="22–24°C"/>
    <n v="2.21"/>
    <n v="2026"/>
    <x v="1"/>
    <n v="20"/>
    <n v="5"/>
    <n v="12"/>
    <n v="0.2"/>
    <n v="0.55249999999999999"/>
    <x v="2"/>
  </r>
  <r>
    <d v="2026-02-20T13:00:00"/>
    <x v="2"/>
    <s v="R109"/>
    <n v="7"/>
    <n v="25"/>
    <n v="25.88868682395989"/>
    <s v="24–26°C"/>
    <n v="2.63"/>
    <n v="2026"/>
    <x v="1"/>
    <n v="20"/>
    <n v="5"/>
    <n v="13"/>
    <n v="0.28000000000000003"/>
    <n v="0.37571428571428572"/>
    <x v="2"/>
  </r>
  <r>
    <d v="2026-02-20T14:00:00"/>
    <x v="0"/>
    <s v="R118"/>
    <n v="9"/>
    <n v="30"/>
    <n v="21.856142907603139"/>
    <s v="20–22°C"/>
    <n v="3.32"/>
    <n v="2026"/>
    <x v="1"/>
    <n v="20"/>
    <n v="5"/>
    <n v="14"/>
    <n v="0.3"/>
    <n v="0.36888888888888888"/>
    <x v="2"/>
  </r>
  <r>
    <d v="2026-02-20T15:00:00"/>
    <x v="1"/>
    <s v="R117"/>
    <n v="5"/>
    <n v="30"/>
    <n v="25.542060198862281"/>
    <s v="24–26°C"/>
    <n v="2.48"/>
    <n v="2026"/>
    <x v="1"/>
    <n v="20"/>
    <n v="5"/>
    <n v="15"/>
    <n v="0.16666666666666666"/>
    <n v="0.496"/>
    <x v="2"/>
  </r>
  <r>
    <d v="2026-02-20T16:00:00"/>
    <x v="3"/>
    <s v="R111"/>
    <n v="8"/>
    <n v="30"/>
    <n v="23.754459173189691"/>
    <s v="22–24°C"/>
    <n v="2.75"/>
    <n v="2026"/>
    <x v="1"/>
    <n v="20"/>
    <n v="5"/>
    <n v="16"/>
    <n v="0.26666666666666666"/>
    <n v="0.34375"/>
    <x v="2"/>
  </r>
  <r>
    <d v="2026-02-20T17:00:00"/>
    <x v="1"/>
    <s v="R115"/>
    <n v="4"/>
    <n v="25"/>
    <n v="20.645936737093859"/>
    <s v="20–22°C"/>
    <n v="2.4700000000000002"/>
    <n v="2026"/>
    <x v="1"/>
    <n v="20"/>
    <n v="5"/>
    <n v="17"/>
    <n v="0.16"/>
    <n v="0.61750000000000005"/>
    <x v="3"/>
  </r>
  <r>
    <d v="2026-02-20T18:00:00"/>
    <x v="3"/>
    <s v="R105"/>
    <n v="17"/>
    <n v="40"/>
    <n v="20.38580331120173"/>
    <s v="20–22°C"/>
    <n v="5.35"/>
    <n v="2026"/>
    <x v="1"/>
    <n v="20"/>
    <n v="5"/>
    <n v="18"/>
    <n v="0.42499999999999999"/>
    <n v="0.31470588235294117"/>
    <x v="3"/>
  </r>
  <r>
    <d v="2026-02-20T19:00:00"/>
    <x v="1"/>
    <s v="R118"/>
    <n v="8"/>
    <n v="40"/>
    <n v="21.795427290663181"/>
    <s v="20–22°C"/>
    <n v="2.67"/>
    <n v="2026"/>
    <x v="1"/>
    <n v="20"/>
    <n v="5"/>
    <n v="19"/>
    <n v="0.2"/>
    <n v="0.33374999999999999"/>
    <x v="3"/>
  </r>
  <r>
    <d v="2026-02-20T20:00:00"/>
    <x v="1"/>
    <s v="R110"/>
    <n v="7"/>
    <n v="40"/>
    <n v="23.975044117391359"/>
    <s v="22–24°C"/>
    <n v="3.36"/>
    <n v="2026"/>
    <x v="1"/>
    <n v="20"/>
    <n v="5"/>
    <n v="20"/>
    <n v="0.17499999999999999"/>
    <n v="0.48"/>
    <x v="3"/>
  </r>
  <r>
    <d v="2026-02-20T21:00:00"/>
    <x v="0"/>
    <s v="R102"/>
    <n v="12"/>
    <n v="25"/>
    <n v="23.725086182185919"/>
    <s v="22–24°C"/>
    <n v="4.41"/>
    <n v="2026"/>
    <x v="1"/>
    <n v="20"/>
    <n v="5"/>
    <n v="21"/>
    <n v="0.48"/>
    <n v="0.36749999999999999"/>
    <x v="0"/>
  </r>
  <r>
    <d v="2026-02-20T22:00:00"/>
    <x v="4"/>
    <s v="R117"/>
    <n v="5"/>
    <n v="25"/>
    <n v="20.669116947557889"/>
    <s v="20–22°C"/>
    <n v="2.69"/>
    <n v="2026"/>
    <x v="1"/>
    <n v="20"/>
    <n v="5"/>
    <n v="22"/>
    <n v="0.2"/>
    <n v="0.53800000000000003"/>
    <x v="0"/>
  </r>
  <r>
    <d v="2026-02-20T23:00:00"/>
    <x v="2"/>
    <s v="R107"/>
    <n v="8"/>
    <n v="30"/>
    <n v="19.954091056087101"/>
    <s v="18–20°C"/>
    <n v="2.52"/>
    <n v="2026"/>
    <x v="1"/>
    <n v="20"/>
    <n v="5"/>
    <n v="23"/>
    <n v="0.26666666666666666"/>
    <n v="0.315"/>
    <x v="0"/>
  </r>
  <r>
    <d v="2026-02-21T00:00:00"/>
    <x v="3"/>
    <s v="R110"/>
    <n v="7"/>
    <n v="40"/>
    <n v="23.669967110995849"/>
    <s v="22–24°C"/>
    <n v="3.35"/>
    <n v="2026"/>
    <x v="1"/>
    <n v="21"/>
    <n v="6"/>
    <n v="0"/>
    <n v="0.17499999999999999"/>
    <n v="0.47857142857142859"/>
    <x v="0"/>
  </r>
  <r>
    <d v="2026-02-21T01:00:00"/>
    <x v="3"/>
    <s v="R115"/>
    <n v="9"/>
    <n v="25"/>
    <n v="24.035455817380161"/>
    <s v="24–26°C"/>
    <n v="3.16"/>
    <n v="2026"/>
    <x v="1"/>
    <n v="21"/>
    <n v="6"/>
    <n v="1"/>
    <n v="0.36"/>
    <n v="0.35111111111111115"/>
    <x v="0"/>
  </r>
  <r>
    <d v="2026-02-21T02:00:00"/>
    <x v="4"/>
    <s v="R108"/>
    <n v="6"/>
    <n v="25"/>
    <n v="22.276566024365469"/>
    <s v="22–24°C"/>
    <n v="2.4"/>
    <n v="2026"/>
    <x v="1"/>
    <n v="21"/>
    <n v="6"/>
    <n v="2"/>
    <n v="0.24"/>
    <n v="0.39999999999999997"/>
    <x v="0"/>
  </r>
  <r>
    <d v="2026-02-21T03:00:00"/>
    <x v="2"/>
    <s v="R119"/>
    <n v="7"/>
    <n v="30"/>
    <n v="25.006731785458289"/>
    <s v="24–26°C"/>
    <n v="3.17"/>
    <n v="2026"/>
    <x v="1"/>
    <n v="21"/>
    <n v="6"/>
    <n v="3"/>
    <n v="0.23333333333333334"/>
    <n v="0.45285714285714285"/>
    <x v="0"/>
  </r>
  <r>
    <d v="2026-02-21T04:00:00"/>
    <x v="2"/>
    <s v="R110"/>
    <n v="6"/>
    <n v="20"/>
    <n v="24.516289778421349"/>
    <s v="24–26°C"/>
    <n v="2.57"/>
    <n v="2026"/>
    <x v="1"/>
    <n v="21"/>
    <n v="6"/>
    <n v="4"/>
    <n v="0.3"/>
    <n v="0.42833333333333329"/>
    <x v="0"/>
  </r>
  <r>
    <d v="2026-02-21T05:00:00"/>
    <x v="0"/>
    <s v="R113"/>
    <n v="8"/>
    <n v="40"/>
    <n v="25.731120740864359"/>
    <s v="24–26°C"/>
    <n v="3.35"/>
    <n v="2026"/>
    <x v="1"/>
    <n v="21"/>
    <n v="6"/>
    <n v="5"/>
    <n v="0.2"/>
    <n v="0.41875000000000001"/>
    <x v="0"/>
  </r>
  <r>
    <d v="2026-02-21T06:00:00"/>
    <x v="0"/>
    <s v="R102"/>
    <n v="5"/>
    <n v="25"/>
    <n v="24.99105338334823"/>
    <s v="24–26°C"/>
    <n v="2.4700000000000002"/>
    <n v="2026"/>
    <x v="1"/>
    <n v="21"/>
    <n v="6"/>
    <n v="6"/>
    <n v="0.2"/>
    <n v="0.49400000000000005"/>
    <x v="0"/>
  </r>
  <r>
    <d v="2026-02-21T07:00:00"/>
    <x v="0"/>
    <s v="R103"/>
    <n v="8"/>
    <n v="30"/>
    <n v="22.429623106512679"/>
    <s v="22–24°C"/>
    <n v="3.15"/>
    <n v="2026"/>
    <x v="1"/>
    <n v="21"/>
    <n v="6"/>
    <n v="7"/>
    <n v="0.26666666666666666"/>
    <n v="0.39374999999999999"/>
    <x v="1"/>
  </r>
  <r>
    <d v="2026-02-21T08:00:00"/>
    <x v="0"/>
    <s v="R110"/>
    <n v="4"/>
    <n v="20"/>
    <n v="24.720665118833441"/>
    <s v="24–26°C"/>
    <n v="1.38"/>
    <n v="2026"/>
    <x v="1"/>
    <n v="21"/>
    <n v="6"/>
    <n v="8"/>
    <n v="0.2"/>
    <n v="0.34499999999999997"/>
    <x v="1"/>
  </r>
  <r>
    <d v="2026-02-21T09:00:00"/>
    <x v="4"/>
    <s v="R105"/>
    <n v="4"/>
    <n v="40"/>
    <n v="21.11084656015818"/>
    <s v="20–22°C"/>
    <n v="2.13"/>
    <n v="2026"/>
    <x v="1"/>
    <n v="21"/>
    <n v="6"/>
    <n v="9"/>
    <n v="0.1"/>
    <n v="0.53249999999999997"/>
    <x v="1"/>
  </r>
  <r>
    <d v="2026-02-21T10:00:00"/>
    <x v="4"/>
    <s v="R104"/>
    <n v="13"/>
    <n v="30"/>
    <n v="22.096216061554319"/>
    <s v="22–24°C"/>
    <n v="4.5199999999999996"/>
    <n v="2026"/>
    <x v="1"/>
    <n v="21"/>
    <n v="6"/>
    <n v="10"/>
    <n v="0.43333333333333335"/>
    <n v="0.34769230769230763"/>
    <x v="1"/>
  </r>
  <r>
    <d v="2026-02-21T11:00:00"/>
    <x v="2"/>
    <s v="R109"/>
    <n v="10"/>
    <n v="40"/>
    <n v="25.4747395871272"/>
    <s v="24–26°C"/>
    <n v="3.74"/>
    <n v="2026"/>
    <x v="1"/>
    <n v="21"/>
    <n v="6"/>
    <n v="11"/>
    <n v="0.25"/>
    <n v="0.374"/>
    <x v="1"/>
  </r>
  <r>
    <d v="2026-02-21T12:00:00"/>
    <x v="0"/>
    <s v="R111"/>
    <n v="9"/>
    <n v="40"/>
    <n v="22.080789402485038"/>
    <s v="22–24°C"/>
    <n v="2.74"/>
    <n v="2026"/>
    <x v="1"/>
    <n v="21"/>
    <n v="6"/>
    <n v="12"/>
    <n v="0.22500000000000001"/>
    <n v="0.30444444444444446"/>
    <x v="2"/>
  </r>
  <r>
    <d v="2026-02-21T13:00:00"/>
    <x v="0"/>
    <s v="R117"/>
    <n v="10"/>
    <n v="40"/>
    <n v="22.090955185963171"/>
    <s v="22–24°C"/>
    <n v="3.37"/>
    <n v="2026"/>
    <x v="1"/>
    <n v="21"/>
    <n v="6"/>
    <n v="13"/>
    <n v="0.25"/>
    <n v="0.33700000000000002"/>
    <x v="2"/>
  </r>
  <r>
    <d v="2026-02-21T14:00:00"/>
    <x v="3"/>
    <s v="R112"/>
    <n v="6"/>
    <n v="20"/>
    <n v="24.4165324393148"/>
    <s v="24–26°C"/>
    <n v="2.9"/>
    <n v="2026"/>
    <x v="1"/>
    <n v="21"/>
    <n v="6"/>
    <n v="14"/>
    <n v="0.3"/>
    <n v="0.48333333333333334"/>
    <x v="2"/>
  </r>
  <r>
    <d v="2026-02-21T15:00:00"/>
    <x v="0"/>
    <s v="R118"/>
    <n v="4"/>
    <n v="20"/>
    <n v="21.679060960083412"/>
    <s v="20–22°C"/>
    <n v="1.92"/>
    <n v="2026"/>
    <x v="1"/>
    <n v="21"/>
    <n v="6"/>
    <n v="15"/>
    <n v="0.2"/>
    <n v="0.48"/>
    <x v="2"/>
  </r>
  <r>
    <d v="2026-02-21T16:00:00"/>
    <x v="0"/>
    <s v="R113"/>
    <n v="5"/>
    <n v="40"/>
    <n v="21.4721051955113"/>
    <s v="20–22°C"/>
    <n v="1.91"/>
    <n v="2026"/>
    <x v="1"/>
    <n v="21"/>
    <n v="6"/>
    <n v="16"/>
    <n v="0.125"/>
    <n v="0.38200000000000001"/>
    <x v="2"/>
  </r>
  <r>
    <d v="2026-02-21T17:00:00"/>
    <x v="2"/>
    <s v="R118"/>
    <n v="8"/>
    <n v="20"/>
    <n v="25.354417574833828"/>
    <s v="24–26°C"/>
    <n v="3.85"/>
    <n v="2026"/>
    <x v="1"/>
    <n v="21"/>
    <n v="6"/>
    <n v="17"/>
    <n v="0.4"/>
    <n v="0.48125000000000001"/>
    <x v="3"/>
  </r>
  <r>
    <d v="2026-02-21T18:00:00"/>
    <x v="0"/>
    <s v="R114"/>
    <n v="7"/>
    <n v="30"/>
    <n v="22.398861218829499"/>
    <s v="22–24°C"/>
    <n v="2.48"/>
    <n v="2026"/>
    <x v="1"/>
    <n v="21"/>
    <n v="6"/>
    <n v="18"/>
    <n v="0.23333333333333334"/>
    <n v="0.35428571428571426"/>
    <x v="3"/>
  </r>
  <r>
    <d v="2026-02-21T19:00:00"/>
    <x v="1"/>
    <s v="R120"/>
    <n v="8"/>
    <n v="40"/>
    <n v="20.429824060266949"/>
    <s v="20–22°C"/>
    <n v="2.94"/>
    <n v="2026"/>
    <x v="1"/>
    <n v="21"/>
    <n v="6"/>
    <n v="19"/>
    <n v="0.2"/>
    <n v="0.36749999999999999"/>
    <x v="3"/>
  </r>
  <r>
    <d v="2026-02-21T20:00:00"/>
    <x v="3"/>
    <s v="R104"/>
    <n v="5"/>
    <n v="20"/>
    <n v="23.60158542062895"/>
    <s v="22–24°C"/>
    <n v="2.2799999999999998"/>
    <n v="2026"/>
    <x v="1"/>
    <n v="21"/>
    <n v="6"/>
    <n v="20"/>
    <n v="0.25"/>
    <n v="0.45599999999999996"/>
    <x v="3"/>
  </r>
  <r>
    <d v="2026-02-21T22:00:00"/>
    <x v="4"/>
    <s v="R106"/>
    <n v="8"/>
    <n v="25"/>
    <n v="20.150057656369171"/>
    <s v="20–22°C"/>
    <n v="2.79"/>
    <n v="2026"/>
    <x v="1"/>
    <n v="21"/>
    <n v="6"/>
    <n v="22"/>
    <n v="0.32"/>
    <n v="0.34875"/>
    <x v="0"/>
  </r>
  <r>
    <d v="2026-02-21T23:00:00"/>
    <x v="4"/>
    <s v="R108"/>
    <n v="4"/>
    <n v="25"/>
    <n v="24.579542057273411"/>
    <s v="24–26°C"/>
    <n v="2.2000000000000002"/>
    <n v="2026"/>
    <x v="1"/>
    <n v="21"/>
    <n v="6"/>
    <n v="23"/>
    <n v="0.16"/>
    <n v="0.55000000000000004"/>
    <x v="0"/>
  </r>
  <r>
    <d v="2026-02-22T00:00:00"/>
    <x v="0"/>
    <s v="R108"/>
    <n v="3"/>
    <n v="25"/>
    <n v="21.619921428014759"/>
    <s v="20–22°C"/>
    <n v="1.57"/>
    <n v="2026"/>
    <x v="1"/>
    <n v="22"/>
    <n v="0"/>
    <n v="0"/>
    <n v="0.12"/>
    <n v="0.52333333333333332"/>
    <x v="0"/>
  </r>
  <r>
    <d v="2026-02-22T01:00:00"/>
    <x v="1"/>
    <s v="R115"/>
    <n v="4"/>
    <n v="40"/>
    <n v="22.453695506960202"/>
    <s v="22–24°C"/>
    <n v="2.27"/>
    <n v="2026"/>
    <x v="1"/>
    <n v="22"/>
    <n v="0"/>
    <n v="1"/>
    <n v="0.1"/>
    <n v="0.5675"/>
    <x v="0"/>
  </r>
  <r>
    <d v="2026-02-22T02:00:00"/>
    <x v="3"/>
    <s v="R102"/>
    <n v="13"/>
    <n v="25"/>
    <n v="25.659068487941049"/>
    <s v="24–26°C"/>
    <n v="4.42"/>
    <n v="2026"/>
    <x v="1"/>
    <n v="22"/>
    <n v="0"/>
    <n v="2"/>
    <n v="0.52"/>
    <n v="0.33999999999999997"/>
    <x v="0"/>
  </r>
  <r>
    <d v="2026-02-22T03:00:00"/>
    <x v="1"/>
    <s v="R111"/>
    <n v="6"/>
    <n v="30"/>
    <n v="25.660113196424099"/>
    <s v="24–26°C"/>
    <n v="2.58"/>
    <n v="2026"/>
    <x v="1"/>
    <n v="22"/>
    <n v="0"/>
    <n v="3"/>
    <n v="0.2"/>
    <n v="0.43"/>
    <x v="0"/>
  </r>
  <r>
    <d v="2026-02-22T04:00:00"/>
    <x v="2"/>
    <s v="R106"/>
    <n v="8"/>
    <n v="30"/>
    <n v="22.98327842545709"/>
    <s v="22–24°C"/>
    <n v="3.24"/>
    <n v="2026"/>
    <x v="1"/>
    <n v="22"/>
    <n v="0"/>
    <n v="4"/>
    <n v="0.26666666666666666"/>
    <n v="0.40500000000000003"/>
    <x v="0"/>
  </r>
  <r>
    <d v="2026-02-22T05:00:00"/>
    <x v="2"/>
    <s v="R101"/>
    <n v="9"/>
    <n v="40"/>
    <n v="24.701965357013531"/>
    <s v="24–26°C"/>
    <n v="3.68"/>
    <n v="2026"/>
    <x v="1"/>
    <n v="22"/>
    <n v="0"/>
    <n v="5"/>
    <n v="0.22500000000000001"/>
    <n v="0.40888888888888891"/>
    <x v="0"/>
  </r>
  <r>
    <d v="2026-02-22T06:00:00"/>
    <x v="4"/>
    <s v="R111"/>
    <n v="9"/>
    <n v="25"/>
    <n v="24.05033862652434"/>
    <s v="24–26°C"/>
    <n v="2.64"/>
    <n v="2026"/>
    <x v="1"/>
    <n v="22"/>
    <n v="0"/>
    <n v="6"/>
    <n v="0.36"/>
    <n v="0.29333333333333333"/>
    <x v="0"/>
  </r>
  <r>
    <d v="2026-02-22T07:00:00"/>
    <x v="2"/>
    <s v="R117"/>
    <n v="6"/>
    <n v="20"/>
    <n v="21.545605102813852"/>
    <s v="20–22°C"/>
    <n v="2.3199999999999998"/>
    <n v="2026"/>
    <x v="1"/>
    <n v="22"/>
    <n v="0"/>
    <n v="7"/>
    <n v="0.3"/>
    <n v="0.38666666666666666"/>
    <x v="1"/>
  </r>
  <r>
    <d v="2026-02-22T08:00:00"/>
    <x v="3"/>
    <s v="R118"/>
    <n v="7"/>
    <n v="40"/>
    <n v="23.369517625576879"/>
    <s v="22–24°C"/>
    <n v="2.65"/>
    <n v="2026"/>
    <x v="1"/>
    <n v="22"/>
    <n v="0"/>
    <n v="8"/>
    <n v="0.17499999999999999"/>
    <n v="0.37857142857142856"/>
    <x v="1"/>
  </r>
  <r>
    <d v="2026-02-22T09:00:00"/>
    <x v="0"/>
    <s v="R103"/>
    <n v="9"/>
    <n v="20"/>
    <n v="25.0221261757858"/>
    <s v="24–26°C"/>
    <n v="3.48"/>
    <n v="2026"/>
    <x v="1"/>
    <n v="22"/>
    <n v="0"/>
    <n v="9"/>
    <n v="0.45"/>
    <n v="0.38666666666666666"/>
    <x v="1"/>
  </r>
  <r>
    <d v="2026-02-22T10:00:00"/>
    <x v="1"/>
    <s v="R108"/>
    <n v="8"/>
    <n v="25"/>
    <n v="16.357770888821719"/>
    <s v="16–18°C"/>
    <n v="3.47"/>
    <n v="2026"/>
    <x v="1"/>
    <n v="22"/>
    <n v="0"/>
    <n v="10"/>
    <n v="0.32"/>
    <n v="0.43375000000000002"/>
    <x v="1"/>
  </r>
  <r>
    <d v="2026-02-22T11:00:00"/>
    <x v="0"/>
    <s v="R104"/>
    <n v="12"/>
    <n v="25"/>
    <n v="26.096148797088219"/>
    <s v="26–28°C"/>
    <n v="4.3899999999999997"/>
    <n v="2026"/>
    <x v="1"/>
    <n v="22"/>
    <n v="0"/>
    <n v="11"/>
    <n v="0.48"/>
    <n v="0.36583333333333329"/>
    <x v="1"/>
  </r>
  <r>
    <d v="2026-02-22T12:00:00"/>
    <x v="2"/>
    <s v="R118"/>
    <n v="7"/>
    <n v="30"/>
    <n v="21.7287367682768"/>
    <s v="20–22°C"/>
    <n v="2.1"/>
    <n v="2026"/>
    <x v="1"/>
    <n v="22"/>
    <n v="0"/>
    <n v="12"/>
    <n v="0.23333333333333334"/>
    <n v="0.3"/>
    <x v="2"/>
  </r>
  <r>
    <d v="2026-02-22T13:00:00"/>
    <x v="2"/>
    <s v="R108"/>
    <n v="9"/>
    <n v="30"/>
    <n v="22.92009840479308"/>
    <s v="22–24°C"/>
    <n v="2.41"/>
    <n v="2026"/>
    <x v="1"/>
    <n v="22"/>
    <n v="0"/>
    <n v="13"/>
    <n v="0.3"/>
    <n v="0.26777777777777778"/>
    <x v="2"/>
  </r>
  <r>
    <d v="2026-02-22T14:00:00"/>
    <x v="0"/>
    <s v="R120"/>
    <n v="5"/>
    <n v="40"/>
    <n v="22.622078992667142"/>
    <s v="22–24°C"/>
    <n v="2.52"/>
    <n v="2026"/>
    <x v="1"/>
    <n v="22"/>
    <n v="0"/>
    <n v="14"/>
    <n v="0.125"/>
    <n v="0.504"/>
    <x v="2"/>
  </r>
  <r>
    <d v="2026-02-22T15:00:00"/>
    <x v="4"/>
    <s v="R115"/>
    <n v="12"/>
    <n v="30"/>
    <n v="22.250754361347891"/>
    <s v="22–24°C"/>
    <n v="3.69"/>
    <n v="2026"/>
    <x v="1"/>
    <n v="22"/>
    <n v="0"/>
    <n v="15"/>
    <n v="0.4"/>
    <n v="0.3075"/>
    <x v="2"/>
  </r>
  <r>
    <d v="2026-02-22T16:00:00"/>
    <x v="2"/>
    <s v="R119"/>
    <n v="7"/>
    <n v="30"/>
    <n v="21.372372716142142"/>
    <s v="20–22°C"/>
    <n v="2.7"/>
    <n v="2026"/>
    <x v="1"/>
    <n v="22"/>
    <n v="0"/>
    <n v="16"/>
    <n v="0.23333333333333334"/>
    <n v="0.38571428571428573"/>
    <x v="2"/>
  </r>
  <r>
    <d v="2026-02-22T17:00:00"/>
    <x v="4"/>
    <s v="R114"/>
    <n v="12"/>
    <n v="40"/>
    <n v="24.80398690550027"/>
    <s v="24–26°C"/>
    <n v="3.99"/>
    <n v="2026"/>
    <x v="1"/>
    <n v="22"/>
    <n v="0"/>
    <n v="17"/>
    <n v="0.3"/>
    <n v="0.33250000000000002"/>
    <x v="3"/>
  </r>
  <r>
    <d v="2026-02-22T18:00:00"/>
    <x v="4"/>
    <s v="R106"/>
    <n v="16"/>
    <n v="30"/>
    <n v="24.687902801037861"/>
    <s v="24–26°C"/>
    <n v="5.12"/>
    <n v="2026"/>
    <x v="1"/>
    <n v="22"/>
    <n v="0"/>
    <n v="18"/>
    <n v="0.53333333333333333"/>
    <n v="0.32"/>
    <x v="3"/>
  </r>
  <r>
    <d v="2026-02-22T19:00:00"/>
    <x v="2"/>
    <s v="R103"/>
    <n v="8"/>
    <n v="40"/>
    <n v="24.69707589468398"/>
    <s v="24–26°C"/>
    <n v="3.69"/>
    <n v="2026"/>
    <x v="1"/>
    <n v="22"/>
    <n v="0"/>
    <n v="19"/>
    <n v="0.2"/>
    <n v="0.46124999999999999"/>
    <x v="3"/>
  </r>
  <r>
    <d v="2026-02-22T20:00:00"/>
    <x v="3"/>
    <s v="R109"/>
    <n v="12"/>
    <n v="30"/>
    <n v="23.372186041751871"/>
    <s v="22–24°C"/>
    <n v="4.3899999999999997"/>
    <n v="2026"/>
    <x v="1"/>
    <n v="22"/>
    <n v="0"/>
    <n v="20"/>
    <n v="0.4"/>
    <n v="0.36583333333333329"/>
    <x v="3"/>
  </r>
  <r>
    <d v="2026-02-22T21:00:00"/>
    <x v="4"/>
    <s v="R114"/>
    <n v="12"/>
    <n v="20"/>
    <n v="20.763295547999039"/>
    <s v="20–22°C"/>
    <n v="4.0199999999999996"/>
    <n v="2026"/>
    <x v="1"/>
    <n v="22"/>
    <n v="0"/>
    <n v="21"/>
    <n v="0.6"/>
    <n v="0.33499999999999996"/>
    <x v="0"/>
  </r>
  <r>
    <d v="2026-02-22T22:00:00"/>
    <x v="3"/>
    <s v="R117"/>
    <n v="9"/>
    <n v="20"/>
    <n v="21.978284648795231"/>
    <s v="20–22°C"/>
    <n v="3.48"/>
    <n v="2026"/>
    <x v="1"/>
    <n v="22"/>
    <n v="0"/>
    <n v="22"/>
    <n v="0.45"/>
    <n v="0.38666666666666666"/>
    <x v="0"/>
  </r>
  <r>
    <d v="2026-02-22T23:00:00"/>
    <x v="1"/>
    <s v="R118"/>
    <n v="6"/>
    <n v="20"/>
    <n v="25.432013077822951"/>
    <s v="24–26°C"/>
    <n v="2.6"/>
    <n v="2026"/>
    <x v="1"/>
    <n v="22"/>
    <n v="0"/>
    <n v="23"/>
    <n v="0.3"/>
    <n v="0.43333333333333335"/>
    <x v="0"/>
  </r>
  <r>
    <d v="2026-02-23T00:00:00"/>
    <x v="2"/>
    <s v="R107"/>
    <n v="8"/>
    <n v="30"/>
    <n v="20.502623029142821"/>
    <s v="20–22°C"/>
    <n v="2.88"/>
    <n v="2026"/>
    <x v="1"/>
    <n v="23"/>
    <n v="1"/>
    <n v="0"/>
    <n v="0.26666666666666666"/>
    <n v="0.36"/>
    <x v="0"/>
  </r>
  <r>
    <d v="2026-02-23T01:00:00"/>
    <x v="3"/>
    <s v="R108"/>
    <n v="8"/>
    <n v="40"/>
    <n v="21.819570775599018"/>
    <s v="20–22°C"/>
    <n v="2.79"/>
    <n v="2026"/>
    <x v="1"/>
    <n v="23"/>
    <n v="1"/>
    <n v="1"/>
    <n v="0.2"/>
    <n v="0.34875"/>
    <x v="0"/>
  </r>
  <r>
    <d v="2026-02-23T02:00:00"/>
    <x v="1"/>
    <s v="R110"/>
    <n v="9"/>
    <n v="40"/>
    <n v="20.437018054262349"/>
    <s v="20–22°C"/>
    <n v="3.06"/>
    <n v="2026"/>
    <x v="1"/>
    <n v="23"/>
    <n v="1"/>
    <n v="2"/>
    <n v="0.22500000000000001"/>
    <n v="0.34"/>
    <x v="0"/>
  </r>
  <r>
    <d v="2026-02-23T03:00:00"/>
    <x v="0"/>
    <s v="R105"/>
    <n v="11"/>
    <n v="25"/>
    <n v="22.301150098728581"/>
    <s v="22–24°C"/>
    <n v="3.87"/>
    <n v="2026"/>
    <x v="1"/>
    <n v="23"/>
    <n v="1"/>
    <n v="3"/>
    <n v="0.44"/>
    <n v="0.35181818181818181"/>
    <x v="0"/>
  </r>
  <r>
    <d v="2026-02-23T04:00:00"/>
    <x v="2"/>
    <s v="R119"/>
    <n v="8"/>
    <n v="40"/>
    <n v="23.251017748964379"/>
    <s v="22–24°C"/>
    <n v="2.56"/>
    <n v="2026"/>
    <x v="1"/>
    <n v="23"/>
    <n v="1"/>
    <n v="4"/>
    <n v="0.2"/>
    <n v="0.32"/>
    <x v="0"/>
  </r>
  <r>
    <d v="2026-02-23T05:00:00"/>
    <x v="4"/>
    <s v="R115"/>
    <n v="9"/>
    <n v="20"/>
    <n v="24.43719304650007"/>
    <s v="24–26°C"/>
    <n v="3.37"/>
    <n v="2026"/>
    <x v="1"/>
    <n v="23"/>
    <n v="1"/>
    <n v="5"/>
    <n v="0.45"/>
    <n v="0.37444444444444447"/>
    <x v="0"/>
  </r>
  <r>
    <d v="2026-02-23T06:00:00"/>
    <x v="2"/>
    <s v="R116"/>
    <n v="9"/>
    <n v="30"/>
    <n v="21.222579298786549"/>
    <s v="20–22°C"/>
    <n v="3.44"/>
    <n v="2026"/>
    <x v="1"/>
    <n v="23"/>
    <n v="1"/>
    <n v="6"/>
    <n v="0.3"/>
    <n v="0.38222222222222224"/>
    <x v="0"/>
  </r>
  <r>
    <d v="2026-02-23T07:00:00"/>
    <x v="1"/>
    <s v="R114"/>
    <n v="11"/>
    <n v="40"/>
    <n v="22.837012268081011"/>
    <s v="22–24°C"/>
    <n v="3.91"/>
    <n v="2026"/>
    <x v="1"/>
    <n v="23"/>
    <n v="1"/>
    <n v="7"/>
    <n v="0.27500000000000002"/>
    <n v="0.35545454545454547"/>
    <x v="1"/>
  </r>
  <r>
    <d v="2026-02-23T08:00:00"/>
    <x v="3"/>
    <s v="R119"/>
    <n v="11"/>
    <n v="40"/>
    <n v="19.481301022432739"/>
    <s v="18–20°C"/>
    <n v="4.07"/>
    <n v="2026"/>
    <x v="1"/>
    <n v="23"/>
    <n v="1"/>
    <n v="8"/>
    <n v="0.27500000000000002"/>
    <n v="0.37000000000000005"/>
    <x v="1"/>
  </r>
  <r>
    <d v="2026-02-23T09:00:00"/>
    <x v="1"/>
    <s v="R104"/>
    <n v="11"/>
    <n v="30"/>
    <n v="18.839624054716261"/>
    <s v="18–20°C"/>
    <n v="4.1100000000000003"/>
    <n v="2026"/>
    <x v="1"/>
    <n v="23"/>
    <n v="1"/>
    <n v="9"/>
    <n v="0.36666666666666664"/>
    <n v="0.37363636363636366"/>
    <x v="1"/>
  </r>
  <r>
    <d v="2026-02-23T10:00:00"/>
    <x v="3"/>
    <s v="R108"/>
    <n v="2"/>
    <n v="40"/>
    <n v="21.01869184500152"/>
    <s v="20–22°C"/>
    <n v="1.36"/>
    <n v="2026"/>
    <x v="1"/>
    <n v="23"/>
    <n v="1"/>
    <n v="10"/>
    <n v="0.05"/>
    <n v="0.68"/>
    <x v="1"/>
  </r>
  <r>
    <d v="2026-02-23T11:00:00"/>
    <x v="4"/>
    <s v="R109"/>
    <n v="12"/>
    <n v="40"/>
    <n v="20.690354264547441"/>
    <s v="20–22°C"/>
    <n v="3.79"/>
    <n v="2026"/>
    <x v="1"/>
    <n v="23"/>
    <n v="1"/>
    <n v="11"/>
    <n v="0.3"/>
    <n v="0.31583333333333335"/>
    <x v="1"/>
  </r>
  <r>
    <d v="2026-02-23T12:00:00"/>
    <x v="3"/>
    <s v="R103"/>
    <n v="12"/>
    <n v="20"/>
    <n v="25.252786899444128"/>
    <s v="24–26°C"/>
    <n v="4.26"/>
    <n v="2026"/>
    <x v="1"/>
    <n v="23"/>
    <n v="1"/>
    <n v="12"/>
    <n v="0.6"/>
    <n v="0.35499999999999998"/>
    <x v="2"/>
  </r>
  <r>
    <d v="2026-02-23T13:00:00"/>
    <x v="0"/>
    <s v="R118"/>
    <n v="9"/>
    <n v="25"/>
    <n v="21.30720338844462"/>
    <s v="20–22°C"/>
    <n v="3.68"/>
    <n v="2026"/>
    <x v="1"/>
    <n v="23"/>
    <n v="1"/>
    <n v="13"/>
    <n v="0.36"/>
    <n v="0.40888888888888891"/>
    <x v="2"/>
  </r>
  <r>
    <d v="2026-02-23T14:00:00"/>
    <x v="2"/>
    <s v="R111"/>
    <n v="8"/>
    <n v="40"/>
    <n v="23.397791344698351"/>
    <s v="22–24°C"/>
    <n v="3.15"/>
    <n v="2026"/>
    <x v="1"/>
    <n v="23"/>
    <n v="1"/>
    <n v="14"/>
    <n v="0.2"/>
    <n v="0.39374999999999999"/>
    <x v="2"/>
  </r>
  <r>
    <d v="2026-02-23T15:00:00"/>
    <x v="3"/>
    <s v="R120"/>
    <n v="7"/>
    <n v="30"/>
    <n v="23.468719381457969"/>
    <s v="22–24°C"/>
    <n v="2.93"/>
    <n v="2026"/>
    <x v="1"/>
    <n v="23"/>
    <n v="1"/>
    <n v="15"/>
    <n v="0.23333333333333334"/>
    <n v="0.41857142857142859"/>
    <x v="2"/>
  </r>
  <r>
    <d v="2026-02-23T16:00:00"/>
    <x v="0"/>
    <s v="R105"/>
    <n v="4"/>
    <n v="40"/>
    <n v="20.548930555570191"/>
    <s v="20–22°C"/>
    <n v="2.06"/>
    <n v="2026"/>
    <x v="1"/>
    <n v="23"/>
    <n v="1"/>
    <n v="16"/>
    <n v="0.1"/>
    <n v="0.51500000000000001"/>
    <x v="2"/>
  </r>
  <r>
    <d v="2026-02-23T17:00:00"/>
    <x v="3"/>
    <s v="R114"/>
    <n v="3"/>
    <n v="20"/>
    <n v="24.746132132664201"/>
    <s v="24–26°C"/>
    <n v="2.14"/>
    <n v="2026"/>
    <x v="1"/>
    <n v="23"/>
    <n v="1"/>
    <n v="17"/>
    <n v="0.15"/>
    <n v="0.71333333333333337"/>
    <x v="3"/>
  </r>
  <r>
    <d v="2026-02-23T18:00:00"/>
    <x v="3"/>
    <s v="R119"/>
    <n v="4"/>
    <n v="20"/>
    <n v="26.33695632866802"/>
    <s v="26–28°C"/>
    <n v="2.54"/>
    <n v="2026"/>
    <x v="1"/>
    <n v="23"/>
    <n v="1"/>
    <n v="18"/>
    <n v="0.2"/>
    <n v="0.63500000000000001"/>
    <x v="3"/>
  </r>
  <r>
    <d v="2026-02-23T19:00:00"/>
    <x v="1"/>
    <s v="R113"/>
    <n v="12"/>
    <n v="25"/>
    <n v="22.859907112544072"/>
    <s v="22–24°C"/>
    <n v="4.1500000000000004"/>
    <n v="2026"/>
    <x v="1"/>
    <n v="23"/>
    <n v="1"/>
    <n v="19"/>
    <n v="0.48"/>
    <n v="0.34583333333333338"/>
    <x v="3"/>
  </r>
  <r>
    <d v="2026-02-23T20:00:00"/>
    <x v="4"/>
    <s v="R117"/>
    <n v="6"/>
    <n v="25"/>
    <n v="22.176257201513732"/>
    <s v="22–24°C"/>
    <n v="2.64"/>
    <n v="2026"/>
    <x v="1"/>
    <n v="23"/>
    <n v="1"/>
    <n v="20"/>
    <n v="0.24"/>
    <n v="0.44"/>
    <x v="3"/>
  </r>
  <r>
    <d v="2026-02-23T21:00:00"/>
    <x v="4"/>
    <s v="R120"/>
    <n v="7"/>
    <n v="40"/>
    <n v="19.532859543157091"/>
    <s v="18–20°C"/>
    <n v="2.2799999999999998"/>
    <n v="2026"/>
    <x v="1"/>
    <n v="23"/>
    <n v="1"/>
    <n v="21"/>
    <n v="0.17499999999999999"/>
    <n v="0.32571428571428568"/>
    <x v="0"/>
  </r>
  <r>
    <d v="2026-02-23T22:00:00"/>
    <x v="2"/>
    <s v="R118"/>
    <n v="11"/>
    <n v="20"/>
    <n v="23.898216181380771"/>
    <s v="22–24°C"/>
    <n v="3.93"/>
    <n v="2026"/>
    <x v="1"/>
    <n v="23"/>
    <n v="1"/>
    <n v="22"/>
    <n v="0.55000000000000004"/>
    <n v="0.3572727272727273"/>
    <x v="0"/>
  </r>
  <r>
    <d v="2026-02-23T23:00:00"/>
    <x v="4"/>
    <s v="R114"/>
    <n v="9"/>
    <n v="20"/>
    <n v="26.34170105888732"/>
    <s v="26–28°C"/>
    <n v="4.3600000000000003"/>
    <n v="2026"/>
    <x v="1"/>
    <n v="23"/>
    <n v="1"/>
    <n v="23"/>
    <n v="0.45"/>
    <n v="0.48444444444444446"/>
    <x v="0"/>
  </r>
  <r>
    <d v="2026-02-24T00:00:00"/>
    <x v="3"/>
    <s v="R120"/>
    <n v="14"/>
    <n v="40"/>
    <n v="21.907667791563959"/>
    <s v="20–22°C"/>
    <n v="3.89"/>
    <n v="2026"/>
    <x v="1"/>
    <n v="24"/>
    <n v="2"/>
    <n v="0"/>
    <n v="0.35"/>
    <n v="0.27785714285714286"/>
    <x v="0"/>
  </r>
  <r>
    <d v="2026-02-24T01:00:00"/>
    <x v="3"/>
    <s v="R120"/>
    <n v="7"/>
    <n v="25"/>
    <n v="21.363995630516509"/>
    <s v="20–22°C"/>
    <n v="2.68"/>
    <n v="2026"/>
    <x v="1"/>
    <n v="24"/>
    <n v="2"/>
    <n v="1"/>
    <n v="0.28000000000000003"/>
    <n v="0.3828571428571429"/>
    <x v="0"/>
  </r>
  <r>
    <d v="2026-02-24T02:00:00"/>
    <x v="1"/>
    <s v="R101"/>
    <n v="6"/>
    <n v="30"/>
    <n v="25.19976654710694"/>
    <s v="24–26°C"/>
    <n v="2.75"/>
    <n v="2026"/>
    <x v="1"/>
    <n v="24"/>
    <n v="2"/>
    <n v="2"/>
    <n v="0.2"/>
    <n v="0.45833333333333331"/>
    <x v="0"/>
  </r>
  <r>
    <d v="2026-02-24T03:00:00"/>
    <x v="1"/>
    <s v="R118"/>
    <n v="9"/>
    <n v="30"/>
    <n v="22.282247830263739"/>
    <s v="22–24°C"/>
    <n v="3.3"/>
    <n v="2026"/>
    <x v="1"/>
    <n v="24"/>
    <n v="2"/>
    <n v="3"/>
    <n v="0.3"/>
    <n v="0.36666666666666664"/>
    <x v="0"/>
  </r>
  <r>
    <d v="2026-02-24T04:00:00"/>
    <x v="1"/>
    <s v="R101"/>
    <n v="10"/>
    <n v="40"/>
    <n v="22.525375531609559"/>
    <s v="22–24°C"/>
    <n v="3.69"/>
    <n v="2026"/>
    <x v="1"/>
    <n v="24"/>
    <n v="2"/>
    <n v="4"/>
    <n v="0.25"/>
    <n v="0.36899999999999999"/>
    <x v="0"/>
  </r>
  <r>
    <d v="2026-02-24T05:00:00"/>
    <x v="1"/>
    <s v="R110"/>
    <n v="6"/>
    <n v="25"/>
    <n v="18.947432977265521"/>
    <s v="18–20°C"/>
    <n v="2.5299999999999998"/>
    <n v="2026"/>
    <x v="1"/>
    <n v="24"/>
    <n v="2"/>
    <n v="5"/>
    <n v="0.24"/>
    <n v="0.42166666666666663"/>
    <x v="0"/>
  </r>
  <r>
    <d v="2026-02-24T06:00:00"/>
    <x v="4"/>
    <s v="R114"/>
    <n v="9"/>
    <n v="25"/>
    <n v="22.35725779629562"/>
    <s v="22–24°C"/>
    <n v="3.09"/>
    <n v="2026"/>
    <x v="1"/>
    <n v="24"/>
    <n v="2"/>
    <n v="6"/>
    <n v="0.36"/>
    <n v="0.34333333333333332"/>
    <x v="0"/>
  </r>
  <r>
    <d v="2026-02-24T07:00:00"/>
    <x v="3"/>
    <s v="R108"/>
    <n v="3"/>
    <n v="25"/>
    <n v="20.990547544709091"/>
    <s v="20–22°C"/>
    <n v="1.8"/>
    <n v="2026"/>
    <x v="1"/>
    <n v="24"/>
    <n v="2"/>
    <n v="7"/>
    <n v="0.12"/>
    <n v="0.6"/>
    <x v="1"/>
  </r>
  <r>
    <d v="2026-02-24T08:00:00"/>
    <x v="3"/>
    <s v="R103"/>
    <n v="7"/>
    <n v="40"/>
    <n v="21.802703723601329"/>
    <s v="20–22°C"/>
    <n v="2.5099999999999998"/>
    <n v="2026"/>
    <x v="1"/>
    <n v="24"/>
    <n v="2"/>
    <n v="8"/>
    <n v="0.17499999999999999"/>
    <n v="0.35857142857142854"/>
    <x v="1"/>
  </r>
  <r>
    <d v="2026-02-24T09:00:00"/>
    <x v="4"/>
    <s v="R111"/>
    <n v="6"/>
    <n v="25"/>
    <n v="22.33752138224321"/>
    <s v="22–24°C"/>
    <n v="2.4300000000000002"/>
    <n v="2026"/>
    <x v="1"/>
    <n v="24"/>
    <n v="2"/>
    <n v="9"/>
    <n v="0.24"/>
    <n v="0.40500000000000003"/>
    <x v="1"/>
  </r>
  <r>
    <d v="2026-02-24T10:00:00"/>
    <x v="1"/>
    <s v="R116"/>
    <n v="9"/>
    <n v="20"/>
    <n v="21.620688990198111"/>
    <s v="20–22°C"/>
    <n v="3.09"/>
    <n v="2026"/>
    <x v="1"/>
    <n v="24"/>
    <n v="2"/>
    <n v="10"/>
    <n v="0.45"/>
    <n v="0.34333333333333332"/>
    <x v="1"/>
  </r>
  <r>
    <d v="2026-02-24T11:00:00"/>
    <x v="3"/>
    <s v="R102"/>
    <n v="7"/>
    <n v="25"/>
    <n v="24.54775434688564"/>
    <s v="24–26°C"/>
    <n v="3.18"/>
    <n v="2026"/>
    <x v="1"/>
    <n v="24"/>
    <n v="2"/>
    <n v="11"/>
    <n v="0.28000000000000003"/>
    <n v="0.45428571428571429"/>
    <x v="1"/>
  </r>
  <r>
    <d v="2026-02-24T12:00:00"/>
    <x v="4"/>
    <s v="R113"/>
    <n v="6"/>
    <n v="25"/>
    <n v="25.779585159523659"/>
    <s v="24–26°C"/>
    <n v="3.45"/>
    <n v="2026"/>
    <x v="1"/>
    <n v="24"/>
    <n v="2"/>
    <n v="12"/>
    <n v="0.24"/>
    <n v="0.57500000000000007"/>
    <x v="2"/>
  </r>
  <r>
    <d v="2026-02-24T13:00:00"/>
    <x v="4"/>
    <s v="R108"/>
    <n v="6"/>
    <n v="30"/>
    <n v="22.201486708108071"/>
    <s v="22–24°C"/>
    <n v="2.6"/>
    <n v="2026"/>
    <x v="1"/>
    <n v="24"/>
    <n v="2"/>
    <n v="13"/>
    <n v="0.2"/>
    <n v="0.43333333333333335"/>
    <x v="2"/>
  </r>
  <r>
    <d v="2026-02-24T14:00:00"/>
    <x v="4"/>
    <s v="R114"/>
    <n v="6"/>
    <n v="40"/>
    <n v="21.113514474712449"/>
    <s v="20–22°C"/>
    <n v="2.16"/>
    <n v="2026"/>
    <x v="1"/>
    <n v="24"/>
    <n v="2"/>
    <n v="14"/>
    <n v="0.15"/>
    <n v="0.36000000000000004"/>
    <x v="2"/>
  </r>
  <r>
    <d v="2026-02-24T15:00:00"/>
    <x v="4"/>
    <s v="R112"/>
    <n v="16"/>
    <n v="20"/>
    <n v="24.154524734401839"/>
    <s v="24–26°C"/>
    <n v="4.6900000000000004"/>
    <n v="2026"/>
    <x v="1"/>
    <n v="24"/>
    <n v="2"/>
    <n v="15"/>
    <n v="0.8"/>
    <n v="0.29312500000000002"/>
    <x v="2"/>
  </r>
  <r>
    <d v="2026-02-24T16:00:00"/>
    <x v="1"/>
    <s v="R103"/>
    <n v="7"/>
    <n v="30"/>
    <n v="25.76974218758809"/>
    <s v="24–26°C"/>
    <n v="3.23"/>
    <n v="2026"/>
    <x v="1"/>
    <n v="24"/>
    <n v="2"/>
    <n v="16"/>
    <n v="0.23333333333333334"/>
    <n v="0.46142857142857141"/>
    <x v="2"/>
  </r>
  <r>
    <d v="2026-02-24T17:00:00"/>
    <x v="0"/>
    <s v="R108"/>
    <n v="7"/>
    <n v="30"/>
    <n v="21.349805400108949"/>
    <s v="20–22°C"/>
    <n v="2.66"/>
    <n v="2026"/>
    <x v="1"/>
    <n v="24"/>
    <n v="2"/>
    <n v="17"/>
    <n v="0.23333333333333334"/>
    <n v="0.38"/>
    <x v="3"/>
  </r>
  <r>
    <d v="2026-02-24T18:00:00"/>
    <x v="2"/>
    <s v="R107"/>
    <n v="4"/>
    <n v="25"/>
    <n v="21.414104994027809"/>
    <s v="20–22°C"/>
    <n v="2.4300000000000002"/>
    <n v="2026"/>
    <x v="1"/>
    <n v="24"/>
    <n v="2"/>
    <n v="18"/>
    <n v="0.16"/>
    <n v="0.60750000000000004"/>
    <x v="3"/>
  </r>
  <r>
    <d v="2026-02-24T19:00:00"/>
    <x v="2"/>
    <s v="R110"/>
    <n v="6"/>
    <n v="30"/>
    <n v="21.673323352975391"/>
    <s v="20–22°C"/>
    <n v="1.94"/>
    <n v="2026"/>
    <x v="1"/>
    <n v="24"/>
    <n v="2"/>
    <n v="19"/>
    <n v="0.2"/>
    <n v="0.32333333333333331"/>
    <x v="3"/>
  </r>
  <r>
    <d v="2026-02-24T20:00:00"/>
    <x v="0"/>
    <s v="R114"/>
    <n v="11"/>
    <n v="20"/>
    <n v="23.154727460568189"/>
    <s v="22–24°C"/>
    <n v="3.99"/>
    <n v="2026"/>
    <x v="1"/>
    <n v="24"/>
    <n v="2"/>
    <n v="20"/>
    <n v="0.55000000000000004"/>
    <n v="0.36272727272727273"/>
    <x v="3"/>
  </r>
  <r>
    <d v="2026-02-24T21:00:00"/>
    <x v="3"/>
    <s v="R119"/>
    <n v="6"/>
    <n v="25"/>
    <n v="25.053651191174112"/>
    <s v="24–26°C"/>
    <n v="2.68"/>
    <n v="2026"/>
    <x v="1"/>
    <n v="24"/>
    <n v="2"/>
    <n v="21"/>
    <n v="0.24"/>
    <n v="0.44666666666666671"/>
    <x v="0"/>
  </r>
  <r>
    <d v="2026-02-24T22:00:00"/>
    <x v="3"/>
    <s v="R116"/>
    <n v="4"/>
    <n v="20"/>
    <n v="22.187697166852391"/>
    <s v="22–24°C"/>
    <n v="1.54"/>
    <n v="2026"/>
    <x v="1"/>
    <n v="24"/>
    <n v="2"/>
    <n v="22"/>
    <n v="0.2"/>
    <n v="0.38500000000000001"/>
    <x v="0"/>
  </r>
  <r>
    <d v="2026-02-24T23:00:00"/>
    <x v="2"/>
    <s v="R120"/>
    <n v="10"/>
    <n v="40"/>
    <n v="19.86793876796677"/>
    <s v="18–20°C"/>
    <n v="4.4000000000000004"/>
    <n v="2026"/>
    <x v="1"/>
    <n v="24"/>
    <n v="2"/>
    <n v="23"/>
    <n v="0.25"/>
    <n v="0.44000000000000006"/>
    <x v="0"/>
  </r>
  <r>
    <d v="2026-02-25T00:00:00"/>
    <x v="1"/>
    <s v="R110"/>
    <n v="7"/>
    <n v="30"/>
    <n v="20.180902239184778"/>
    <s v="20–22°C"/>
    <n v="2.85"/>
    <n v="2026"/>
    <x v="1"/>
    <n v="25"/>
    <n v="3"/>
    <n v="0"/>
    <n v="0.23333333333333334"/>
    <n v="0.40714285714285714"/>
    <x v="0"/>
  </r>
  <r>
    <d v="2026-02-25T01:00:00"/>
    <x v="2"/>
    <s v="R117"/>
    <n v="13"/>
    <n v="40"/>
    <n v="20.300699940068309"/>
    <s v="20–22°C"/>
    <n v="4.4800000000000004"/>
    <n v="2026"/>
    <x v="1"/>
    <n v="25"/>
    <n v="3"/>
    <n v="1"/>
    <n v="0.32500000000000001"/>
    <n v="0.34461538461538466"/>
    <x v="0"/>
  </r>
  <r>
    <d v="2026-02-25T02:00:00"/>
    <x v="2"/>
    <s v="R105"/>
    <n v="1"/>
    <n v="20"/>
    <n v="19.780193597312621"/>
    <s v="18–20°C"/>
    <n v="1.76"/>
    <n v="2026"/>
    <x v="1"/>
    <n v="25"/>
    <n v="3"/>
    <n v="2"/>
    <n v="0.05"/>
    <n v="1.76"/>
    <x v="0"/>
  </r>
  <r>
    <d v="2026-02-25T03:00:00"/>
    <x v="0"/>
    <s v="R105"/>
    <n v="17"/>
    <n v="40"/>
    <n v="24.032110029551131"/>
    <s v="24–26°C"/>
    <n v="5.62"/>
    <n v="2026"/>
    <x v="1"/>
    <n v="25"/>
    <n v="3"/>
    <n v="3"/>
    <n v="0.42499999999999999"/>
    <n v="0.33058823529411763"/>
    <x v="0"/>
  </r>
  <r>
    <d v="2026-02-25T04:00:00"/>
    <x v="0"/>
    <s v="R112"/>
    <n v="11"/>
    <n v="25"/>
    <n v="23.35030888133295"/>
    <s v="22–24°C"/>
    <n v="3.54"/>
    <n v="2026"/>
    <x v="1"/>
    <n v="25"/>
    <n v="3"/>
    <n v="4"/>
    <n v="0.44"/>
    <n v="0.32181818181818184"/>
    <x v="0"/>
  </r>
  <r>
    <d v="2026-02-25T05:00:00"/>
    <x v="0"/>
    <s v="R112"/>
    <n v="6"/>
    <n v="40"/>
    <n v="23.6934480324839"/>
    <s v="22–24°C"/>
    <n v="2.4500000000000002"/>
    <n v="2026"/>
    <x v="1"/>
    <n v="25"/>
    <n v="3"/>
    <n v="5"/>
    <n v="0.15"/>
    <n v="0.40833333333333338"/>
    <x v="0"/>
  </r>
  <r>
    <d v="2026-02-25T06:00:00"/>
    <x v="2"/>
    <s v="R112"/>
    <n v="6"/>
    <n v="20"/>
    <n v="22.516644070973459"/>
    <s v="22–24°C"/>
    <n v="2.48"/>
    <n v="2026"/>
    <x v="1"/>
    <n v="25"/>
    <n v="3"/>
    <n v="6"/>
    <n v="0.3"/>
    <n v="0.41333333333333333"/>
    <x v="0"/>
  </r>
  <r>
    <d v="2026-02-25T07:00:00"/>
    <x v="3"/>
    <s v="R103"/>
    <n v="9"/>
    <n v="30"/>
    <n v="22.546627142597661"/>
    <s v="22–24°C"/>
    <n v="2.61"/>
    <n v="2026"/>
    <x v="1"/>
    <n v="25"/>
    <n v="3"/>
    <n v="7"/>
    <n v="0.3"/>
    <n v="0.28999999999999998"/>
    <x v="1"/>
  </r>
  <r>
    <d v="2026-02-25T08:00:00"/>
    <x v="2"/>
    <s v="R120"/>
    <n v="4"/>
    <n v="20"/>
    <n v="24.580782153070938"/>
    <s v="24–26°C"/>
    <n v="2.34"/>
    <n v="2026"/>
    <x v="1"/>
    <n v="25"/>
    <n v="3"/>
    <n v="8"/>
    <n v="0.2"/>
    <n v="0.58499999999999996"/>
    <x v="1"/>
  </r>
  <r>
    <d v="2026-02-25T09:00:00"/>
    <x v="4"/>
    <s v="R116"/>
    <n v="5"/>
    <n v="30"/>
    <n v="24.323473224193901"/>
    <s v="24–26°C"/>
    <n v="2.4700000000000002"/>
    <n v="2026"/>
    <x v="1"/>
    <n v="25"/>
    <n v="3"/>
    <n v="9"/>
    <n v="0.16666666666666666"/>
    <n v="0.49400000000000005"/>
    <x v="1"/>
  </r>
  <r>
    <d v="2026-02-25T10:00:00"/>
    <x v="3"/>
    <s v="R108"/>
    <n v="8"/>
    <n v="40"/>
    <n v="22.77203962003594"/>
    <s v="22–24°C"/>
    <n v="2.91"/>
    <n v="2026"/>
    <x v="1"/>
    <n v="25"/>
    <n v="3"/>
    <n v="10"/>
    <n v="0.2"/>
    <n v="0.36375000000000002"/>
    <x v="1"/>
  </r>
  <r>
    <d v="2026-02-25T11:00:00"/>
    <x v="1"/>
    <s v="R112"/>
    <n v="8"/>
    <n v="30"/>
    <n v="22.087663305039879"/>
    <s v="22–24°C"/>
    <n v="2.96"/>
    <n v="2026"/>
    <x v="1"/>
    <n v="25"/>
    <n v="3"/>
    <n v="11"/>
    <n v="0.26666666666666666"/>
    <n v="0.37"/>
    <x v="1"/>
  </r>
  <r>
    <d v="2026-02-25T12:00:00"/>
    <x v="0"/>
    <s v="R120"/>
    <n v="7"/>
    <n v="20"/>
    <n v="24.890994609318788"/>
    <s v="24–26°C"/>
    <n v="2.96"/>
    <n v="2026"/>
    <x v="1"/>
    <n v="25"/>
    <n v="3"/>
    <n v="12"/>
    <n v="0.35"/>
    <n v="0.42285714285714288"/>
    <x v="2"/>
  </r>
  <r>
    <d v="2026-02-25T13:00:00"/>
    <x v="3"/>
    <s v="R103"/>
    <n v="11"/>
    <n v="30"/>
    <n v="22.23400157103308"/>
    <s v="22–24°C"/>
    <n v="3.72"/>
    <n v="2026"/>
    <x v="1"/>
    <n v="25"/>
    <n v="3"/>
    <n v="13"/>
    <n v="0.36666666666666664"/>
    <n v="0.33818181818181819"/>
    <x v="2"/>
  </r>
  <r>
    <d v="2026-02-25T14:00:00"/>
    <x v="2"/>
    <s v="R112"/>
    <n v="11"/>
    <n v="20"/>
    <n v="22.377583421652641"/>
    <s v="22–24°C"/>
    <n v="3.28"/>
    <n v="2026"/>
    <x v="1"/>
    <n v="25"/>
    <n v="3"/>
    <n v="14"/>
    <n v="0.55000000000000004"/>
    <n v="0.29818181818181816"/>
    <x v="2"/>
  </r>
  <r>
    <d v="2026-02-25T15:00:00"/>
    <x v="3"/>
    <s v="R110"/>
    <n v="9"/>
    <n v="20"/>
    <n v="22.169817326549339"/>
    <s v="22–24°C"/>
    <n v="3.29"/>
    <n v="2026"/>
    <x v="1"/>
    <n v="25"/>
    <n v="3"/>
    <n v="15"/>
    <n v="0.45"/>
    <n v="0.36555555555555558"/>
    <x v="2"/>
  </r>
  <r>
    <d v="2026-02-25T16:00:00"/>
    <x v="1"/>
    <s v="R120"/>
    <n v="7"/>
    <n v="30"/>
    <n v="22.848202429840679"/>
    <s v="22–24°C"/>
    <n v="2.7"/>
    <n v="2026"/>
    <x v="1"/>
    <n v="25"/>
    <n v="3"/>
    <n v="16"/>
    <n v="0.23333333333333334"/>
    <n v="0.38571428571428573"/>
    <x v="2"/>
  </r>
  <r>
    <d v="2026-02-25T17:00:00"/>
    <x v="0"/>
    <s v="R107"/>
    <n v="9"/>
    <n v="40"/>
    <n v="23.001078725257759"/>
    <s v="22–24°C"/>
    <n v="3.29"/>
    <n v="2026"/>
    <x v="1"/>
    <n v="25"/>
    <n v="3"/>
    <n v="17"/>
    <n v="0.22500000000000001"/>
    <n v="0.36555555555555558"/>
    <x v="3"/>
  </r>
  <r>
    <d v="2026-02-25T18:00:00"/>
    <x v="3"/>
    <s v="R106"/>
    <n v="6"/>
    <n v="30"/>
    <n v="22.06440507204773"/>
    <s v="22–24°C"/>
    <n v="2.65"/>
    <n v="2026"/>
    <x v="1"/>
    <n v="25"/>
    <n v="3"/>
    <n v="18"/>
    <n v="0.2"/>
    <n v="0.44166666666666665"/>
    <x v="3"/>
  </r>
  <r>
    <d v="2026-02-25T19:00:00"/>
    <x v="3"/>
    <s v="R115"/>
    <n v="10"/>
    <n v="25"/>
    <n v="21.303244392235719"/>
    <s v="20–22°C"/>
    <n v="3.41"/>
    <n v="2026"/>
    <x v="1"/>
    <n v="25"/>
    <n v="3"/>
    <n v="19"/>
    <n v="0.4"/>
    <n v="0.34100000000000003"/>
    <x v="3"/>
  </r>
  <r>
    <d v="2026-02-25T20:00:00"/>
    <x v="1"/>
    <s v="R113"/>
    <n v="11"/>
    <n v="40"/>
    <n v="25.596668979550831"/>
    <s v="24–26°C"/>
    <n v="3.76"/>
    <n v="2026"/>
    <x v="1"/>
    <n v="25"/>
    <n v="3"/>
    <n v="20"/>
    <n v="0.27500000000000002"/>
    <n v="0.3418181818181818"/>
    <x v="3"/>
  </r>
  <r>
    <d v="2026-02-25T21:00:00"/>
    <x v="2"/>
    <s v="R109"/>
    <n v="7"/>
    <n v="25"/>
    <n v="23.104041300879238"/>
    <s v="22–24°C"/>
    <n v="2.75"/>
    <n v="2026"/>
    <x v="1"/>
    <n v="25"/>
    <n v="3"/>
    <n v="21"/>
    <n v="0.28000000000000003"/>
    <n v="0.39285714285714285"/>
    <x v="0"/>
  </r>
  <r>
    <d v="2026-02-25T22:00:00"/>
    <x v="2"/>
    <s v="R110"/>
    <n v="13"/>
    <n v="20"/>
    <n v="22.686992339581579"/>
    <s v="22–24°C"/>
    <n v="3.99"/>
    <n v="2026"/>
    <x v="1"/>
    <n v="25"/>
    <n v="3"/>
    <n v="22"/>
    <n v="0.65"/>
    <n v="0.30692307692307697"/>
    <x v="0"/>
  </r>
  <r>
    <d v="2026-02-25T23:00:00"/>
    <x v="3"/>
    <s v="R112"/>
    <n v="6"/>
    <n v="20"/>
    <n v="23.574321755205549"/>
    <s v="22–24°C"/>
    <n v="2.4300000000000002"/>
    <n v="2026"/>
    <x v="1"/>
    <n v="25"/>
    <n v="3"/>
    <n v="23"/>
    <n v="0.3"/>
    <n v="0.40500000000000003"/>
    <x v="0"/>
  </r>
  <r>
    <d v="2026-02-26T00:00:00"/>
    <x v="3"/>
    <s v="R107"/>
    <n v="7"/>
    <n v="20"/>
    <n v="22.42961105061643"/>
    <s v="22–24°C"/>
    <n v="2.77"/>
    <n v="2026"/>
    <x v="1"/>
    <n v="26"/>
    <n v="4"/>
    <n v="0"/>
    <n v="0.35"/>
    <n v="0.39571428571428574"/>
    <x v="0"/>
  </r>
  <r>
    <d v="2026-02-26T01:00:00"/>
    <x v="2"/>
    <s v="R115"/>
    <n v="9"/>
    <n v="40"/>
    <n v="22.92033800943204"/>
    <s v="22–24°C"/>
    <n v="3.6"/>
    <n v="2026"/>
    <x v="1"/>
    <n v="26"/>
    <n v="4"/>
    <n v="1"/>
    <n v="0.22500000000000001"/>
    <n v="0.4"/>
    <x v="0"/>
  </r>
  <r>
    <d v="2026-02-26T02:00:00"/>
    <x v="3"/>
    <s v="R114"/>
    <n v="9"/>
    <n v="25"/>
    <n v="24.302691954903299"/>
    <s v="24–26°C"/>
    <n v="3.21"/>
    <n v="2026"/>
    <x v="1"/>
    <n v="26"/>
    <n v="4"/>
    <n v="2"/>
    <n v="0.36"/>
    <n v="0.35666666666666669"/>
    <x v="0"/>
  </r>
  <r>
    <d v="2026-02-26T03:00:00"/>
    <x v="4"/>
    <s v="R109"/>
    <n v="6"/>
    <n v="25"/>
    <n v="23.387597427534189"/>
    <s v="22–24°C"/>
    <n v="2.82"/>
    <n v="2026"/>
    <x v="1"/>
    <n v="26"/>
    <n v="4"/>
    <n v="3"/>
    <n v="0.24"/>
    <n v="0.47"/>
    <x v="0"/>
  </r>
  <r>
    <d v="2026-02-26T04:00:00"/>
    <x v="1"/>
    <s v="R118"/>
    <n v="10"/>
    <n v="40"/>
    <n v="21.04933264461955"/>
    <s v="20–22°C"/>
    <n v="3.48"/>
    <n v="2026"/>
    <x v="1"/>
    <n v="26"/>
    <n v="4"/>
    <n v="4"/>
    <n v="0.25"/>
    <n v="0.34799999999999998"/>
    <x v="0"/>
  </r>
  <r>
    <d v="2026-02-26T05:00:00"/>
    <x v="0"/>
    <s v="R103"/>
    <n v="4"/>
    <n v="20"/>
    <n v="25.25286743349206"/>
    <s v="24–26°C"/>
    <n v="2.77"/>
    <n v="2026"/>
    <x v="1"/>
    <n v="26"/>
    <n v="4"/>
    <n v="5"/>
    <n v="0.2"/>
    <n v="0.6925"/>
    <x v="0"/>
  </r>
  <r>
    <d v="2026-02-26T06:00:00"/>
    <x v="3"/>
    <s v="R111"/>
    <n v="7"/>
    <n v="25"/>
    <n v="23.4541261062883"/>
    <s v="22–24°C"/>
    <n v="2.74"/>
    <n v="2026"/>
    <x v="1"/>
    <n v="26"/>
    <n v="4"/>
    <n v="6"/>
    <n v="0.28000000000000003"/>
    <n v="0.39142857142857146"/>
    <x v="0"/>
  </r>
  <r>
    <d v="2026-02-26T07:00:00"/>
    <x v="2"/>
    <s v="R116"/>
    <n v="11"/>
    <n v="30"/>
    <n v="22.225236509970571"/>
    <s v="22–24°C"/>
    <n v="3.81"/>
    <n v="2026"/>
    <x v="1"/>
    <n v="26"/>
    <n v="4"/>
    <n v="7"/>
    <n v="0.36666666666666664"/>
    <n v="0.34636363636363637"/>
    <x v="1"/>
  </r>
  <r>
    <d v="2026-02-26T08:00:00"/>
    <x v="2"/>
    <s v="R108"/>
    <n v="13"/>
    <n v="40"/>
    <n v="20.606969903698129"/>
    <s v="20–22°C"/>
    <n v="3.53"/>
    <n v="2026"/>
    <x v="1"/>
    <n v="26"/>
    <n v="4"/>
    <n v="8"/>
    <n v="0.32500000000000001"/>
    <n v="0.27153846153846151"/>
    <x v="1"/>
  </r>
  <r>
    <d v="2026-02-26T09:00:00"/>
    <x v="2"/>
    <s v="R120"/>
    <n v="6"/>
    <n v="25"/>
    <n v="22.49372010107939"/>
    <s v="22–24°C"/>
    <n v="2.86"/>
    <n v="2026"/>
    <x v="1"/>
    <n v="26"/>
    <n v="4"/>
    <n v="9"/>
    <n v="0.24"/>
    <n v="0.47666666666666663"/>
    <x v="1"/>
  </r>
  <r>
    <d v="2026-02-26T10:00:00"/>
    <x v="1"/>
    <s v="R113"/>
    <n v="9"/>
    <n v="20"/>
    <n v="24.51306380197342"/>
    <s v="24–26°C"/>
    <n v="3.21"/>
    <n v="2026"/>
    <x v="1"/>
    <n v="26"/>
    <n v="4"/>
    <n v="10"/>
    <n v="0.45"/>
    <n v="0.35666666666666669"/>
    <x v="1"/>
  </r>
  <r>
    <d v="2026-02-26T11:00:00"/>
    <x v="4"/>
    <s v="R103"/>
    <n v="8"/>
    <n v="25"/>
    <n v="18.261951376837501"/>
    <s v="18–20°C"/>
    <n v="3.3"/>
    <n v="2026"/>
    <x v="1"/>
    <n v="26"/>
    <n v="4"/>
    <n v="11"/>
    <n v="0.32"/>
    <n v="0.41249999999999998"/>
    <x v="1"/>
  </r>
  <r>
    <d v="2026-02-26T12:00:00"/>
    <x v="4"/>
    <s v="R117"/>
    <n v="6"/>
    <n v="25"/>
    <n v="20.99838161191461"/>
    <s v="20–22°C"/>
    <n v="2.63"/>
    <n v="2026"/>
    <x v="1"/>
    <n v="26"/>
    <n v="4"/>
    <n v="12"/>
    <n v="0.24"/>
    <n v="0.4383333333333333"/>
    <x v="2"/>
  </r>
  <r>
    <d v="2026-02-26T13:00:00"/>
    <x v="4"/>
    <s v="R112"/>
    <n v="8"/>
    <n v="30"/>
    <n v="24.480842428095499"/>
    <s v="24–26°C"/>
    <n v="3.37"/>
    <n v="2026"/>
    <x v="1"/>
    <n v="26"/>
    <n v="4"/>
    <n v="13"/>
    <n v="0.26666666666666666"/>
    <n v="0.42125000000000001"/>
    <x v="2"/>
  </r>
  <r>
    <d v="2026-02-26T14:00:00"/>
    <x v="2"/>
    <s v="R118"/>
    <n v="7"/>
    <n v="25"/>
    <n v="23.34639528541749"/>
    <s v="22–24°C"/>
    <n v="2.2000000000000002"/>
    <n v="2026"/>
    <x v="1"/>
    <n v="26"/>
    <n v="4"/>
    <n v="14"/>
    <n v="0.28000000000000003"/>
    <n v="0.31428571428571433"/>
    <x v="2"/>
  </r>
  <r>
    <d v="2026-02-26T15:00:00"/>
    <x v="2"/>
    <s v="R114"/>
    <n v="7"/>
    <n v="30"/>
    <n v="22.342550374067422"/>
    <s v="22–24°C"/>
    <n v="2.1800000000000002"/>
    <n v="2026"/>
    <x v="1"/>
    <n v="26"/>
    <n v="4"/>
    <n v="15"/>
    <n v="0.23333333333333334"/>
    <n v="0.31142857142857144"/>
    <x v="2"/>
  </r>
  <r>
    <d v="2026-02-26T16:00:00"/>
    <x v="0"/>
    <s v="R118"/>
    <n v="6"/>
    <n v="25"/>
    <n v="21.61570589924786"/>
    <s v="20–22°C"/>
    <n v="2.74"/>
    <n v="2026"/>
    <x v="1"/>
    <n v="26"/>
    <n v="4"/>
    <n v="16"/>
    <n v="0.24"/>
    <n v="0.45666666666666672"/>
    <x v="2"/>
  </r>
  <r>
    <d v="2026-02-26T17:00:00"/>
    <x v="3"/>
    <s v="R109"/>
    <n v="6"/>
    <n v="25"/>
    <n v="26.56911777770717"/>
    <s v="26–28°C"/>
    <n v="2.94"/>
    <n v="2026"/>
    <x v="1"/>
    <n v="26"/>
    <n v="4"/>
    <n v="17"/>
    <n v="0.24"/>
    <n v="0.49"/>
    <x v="3"/>
  </r>
  <r>
    <d v="2026-02-26T18:00:00"/>
    <x v="3"/>
    <s v="R103"/>
    <n v="10"/>
    <n v="40"/>
    <n v="19.171626654518391"/>
    <s v="18–20°C"/>
    <n v="3.3"/>
    <n v="2026"/>
    <x v="1"/>
    <n v="26"/>
    <n v="4"/>
    <n v="18"/>
    <n v="0.25"/>
    <n v="0.32999999999999996"/>
    <x v="3"/>
  </r>
  <r>
    <d v="2026-02-26T19:00:00"/>
    <x v="4"/>
    <s v="R104"/>
    <n v="8"/>
    <n v="30"/>
    <n v="25.568160553084571"/>
    <s v="24–26°C"/>
    <n v="3.28"/>
    <n v="2026"/>
    <x v="1"/>
    <n v="26"/>
    <n v="4"/>
    <n v="19"/>
    <n v="0.26666666666666666"/>
    <n v="0.41"/>
    <x v="3"/>
  </r>
  <r>
    <d v="2026-02-26T20:00:00"/>
    <x v="3"/>
    <s v="R101"/>
    <n v="7"/>
    <n v="20"/>
    <n v="22.358751047386381"/>
    <s v="22–24°C"/>
    <n v="2.42"/>
    <n v="2026"/>
    <x v="1"/>
    <n v="26"/>
    <n v="4"/>
    <n v="20"/>
    <n v="0.35"/>
    <n v="0.3457142857142857"/>
    <x v="3"/>
  </r>
  <r>
    <d v="2026-02-26T21:00:00"/>
    <x v="3"/>
    <s v="R104"/>
    <n v="6"/>
    <n v="40"/>
    <n v="21.60566337036753"/>
    <s v="20–22°C"/>
    <n v="1.95"/>
    <n v="2026"/>
    <x v="1"/>
    <n v="26"/>
    <n v="4"/>
    <n v="21"/>
    <n v="0.15"/>
    <n v="0.32500000000000001"/>
    <x v="0"/>
  </r>
  <r>
    <d v="2026-02-26T22:00:00"/>
    <x v="2"/>
    <s v="R104"/>
    <n v="7"/>
    <n v="20"/>
    <n v="20.75569516978295"/>
    <s v="20–22°C"/>
    <n v="2.99"/>
    <n v="2026"/>
    <x v="1"/>
    <n v="26"/>
    <n v="4"/>
    <n v="22"/>
    <n v="0.35"/>
    <n v="0.42714285714285716"/>
    <x v="0"/>
  </r>
  <r>
    <d v="2026-02-26T23:00:00"/>
    <x v="1"/>
    <s v="R115"/>
    <n v="9"/>
    <n v="25"/>
    <n v="22.177155060687909"/>
    <s v="22–24°C"/>
    <n v="3.19"/>
    <n v="2026"/>
    <x v="1"/>
    <n v="26"/>
    <n v="4"/>
    <n v="23"/>
    <n v="0.36"/>
    <n v="0.35444444444444445"/>
    <x v="0"/>
  </r>
  <r>
    <d v="2026-02-27T00:00:00"/>
    <x v="3"/>
    <s v="R102"/>
    <n v="6"/>
    <n v="25"/>
    <n v="19.925947997744139"/>
    <s v="18–20°C"/>
    <n v="3.27"/>
    <n v="2026"/>
    <x v="1"/>
    <n v="27"/>
    <n v="5"/>
    <n v="0"/>
    <n v="0.24"/>
    <n v="0.54500000000000004"/>
    <x v="0"/>
  </r>
  <r>
    <d v="2026-02-27T01:00:00"/>
    <x v="1"/>
    <s v="R109"/>
    <n v="6"/>
    <n v="30"/>
    <n v="23.27388356693621"/>
    <s v="22–24°C"/>
    <n v="2.3199999999999998"/>
    <n v="2026"/>
    <x v="1"/>
    <n v="27"/>
    <n v="5"/>
    <n v="1"/>
    <n v="0.2"/>
    <n v="0.38666666666666666"/>
    <x v="0"/>
  </r>
  <r>
    <d v="2026-02-27T02:00:00"/>
    <x v="2"/>
    <s v="R104"/>
    <n v="7"/>
    <n v="20"/>
    <n v="23.617792586538599"/>
    <s v="22–24°C"/>
    <n v="2.91"/>
    <n v="2026"/>
    <x v="1"/>
    <n v="27"/>
    <n v="5"/>
    <n v="2"/>
    <n v="0.35"/>
    <n v="0.41571428571428576"/>
    <x v="0"/>
  </r>
  <r>
    <d v="2026-02-27T03:00:00"/>
    <x v="2"/>
    <s v="R111"/>
    <n v="6"/>
    <n v="40"/>
    <n v="21.159282767386149"/>
    <s v="20–22°C"/>
    <n v="2.74"/>
    <n v="2026"/>
    <x v="1"/>
    <n v="27"/>
    <n v="5"/>
    <n v="3"/>
    <n v="0.15"/>
    <n v="0.45666666666666672"/>
    <x v="0"/>
  </r>
  <r>
    <d v="2026-02-27T04:00:00"/>
    <x v="3"/>
    <s v="R103"/>
    <n v="12"/>
    <n v="20"/>
    <n v="26.187047997218961"/>
    <s v="26–28°C"/>
    <n v="4.62"/>
    <n v="2026"/>
    <x v="1"/>
    <n v="27"/>
    <n v="5"/>
    <n v="4"/>
    <n v="0.6"/>
    <n v="0.38500000000000001"/>
    <x v="0"/>
  </r>
  <r>
    <d v="2026-02-27T05:00:00"/>
    <x v="1"/>
    <s v="R115"/>
    <n v="7"/>
    <n v="20"/>
    <n v="24.548359037086449"/>
    <s v="24–26°C"/>
    <n v="2.79"/>
    <n v="2026"/>
    <x v="1"/>
    <n v="27"/>
    <n v="5"/>
    <n v="5"/>
    <n v="0.35"/>
    <n v="0.39857142857142858"/>
    <x v="0"/>
  </r>
  <r>
    <d v="2026-02-27T06:00:00"/>
    <x v="0"/>
    <s v="R120"/>
    <n v="5"/>
    <n v="40"/>
    <n v="23.839100883827829"/>
    <s v="22–24°C"/>
    <n v="1.84"/>
    <n v="2026"/>
    <x v="1"/>
    <n v="27"/>
    <n v="5"/>
    <n v="6"/>
    <n v="0.125"/>
    <n v="0.36799999999999999"/>
    <x v="0"/>
  </r>
  <r>
    <d v="2026-02-27T07:00:00"/>
    <x v="3"/>
    <s v="R105"/>
    <n v="6"/>
    <n v="20"/>
    <n v="23.971494294910919"/>
    <s v="22–24°C"/>
    <n v="3.23"/>
    <n v="2026"/>
    <x v="1"/>
    <n v="27"/>
    <n v="5"/>
    <n v="7"/>
    <n v="0.3"/>
    <n v="0.53833333333333333"/>
    <x v="1"/>
  </r>
  <r>
    <d v="2026-02-27T08:00:00"/>
    <x v="3"/>
    <s v="R117"/>
    <n v="4"/>
    <n v="40"/>
    <n v="19.02206186450832"/>
    <s v="18–20°C"/>
    <n v="2.2599999999999998"/>
    <n v="2026"/>
    <x v="1"/>
    <n v="27"/>
    <n v="5"/>
    <n v="8"/>
    <n v="0.1"/>
    <n v="0.56499999999999995"/>
    <x v="1"/>
  </r>
  <r>
    <d v="2026-02-27T09:00:00"/>
    <x v="2"/>
    <s v="R115"/>
    <n v="7"/>
    <n v="25"/>
    <n v="25.346458182587"/>
    <s v="24–26°C"/>
    <n v="3.05"/>
    <n v="2026"/>
    <x v="1"/>
    <n v="27"/>
    <n v="5"/>
    <n v="9"/>
    <n v="0.28000000000000003"/>
    <n v="0.43571428571428567"/>
    <x v="1"/>
  </r>
  <r>
    <d v="2026-02-27T10:00:00"/>
    <x v="2"/>
    <s v="R101"/>
    <n v="6"/>
    <n v="25"/>
    <n v="20.759602397117639"/>
    <s v="20–22°C"/>
    <n v="2.27"/>
    <n v="2026"/>
    <x v="1"/>
    <n v="27"/>
    <n v="5"/>
    <n v="10"/>
    <n v="0.24"/>
    <n v="0.37833333333333335"/>
    <x v="1"/>
  </r>
  <r>
    <d v="2026-02-27T11:00:00"/>
    <x v="1"/>
    <s v="R108"/>
    <n v="5"/>
    <n v="20"/>
    <n v="21.69841268986308"/>
    <s v="20–22°C"/>
    <n v="1.87"/>
    <n v="2026"/>
    <x v="1"/>
    <n v="27"/>
    <n v="5"/>
    <n v="11"/>
    <n v="0.25"/>
    <n v="0.374"/>
    <x v="1"/>
  </r>
  <r>
    <d v="2026-02-27T12:00:00"/>
    <x v="3"/>
    <s v="R102"/>
    <n v="13"/>
    <n v="25"/>
    <n v="23.016133518822269"/>
    <s v="22–24°C"/>
    <n v="4.2"/>
    <n v="2026"/>
    <x v="1"/>
    <n v="27"/>
    <n v="5"/>
    <n v="12"/>
    <n v="0.52"/>
    <n v="0.32307692307692309"/>
    <x v="2"/>
  </r>
  <r>
    <d v="2026-02-27T13:00:00"/>
    <x v="0"/>
    <s v="R108"/>
    <n v="5"/>
    <n v="25"/>
    <n v="22.16546926935521"/>
    <s v="22–24°C"/>
    <n v="2.0499999999999998"/>
    <n v="2026"/>
    <x v="1"/>
    <n v="27"/>
    <n v="5"/>
    <n v="13"/>
    <n v="0.2"/>
    <n v="0.41"/>
    <x v="2"/>
  </r>
  <r>
    <d v="2026-02-27T14:00:00"/>
    <x v="1"/>
    <s v="R105"/>
    <n v="7"/>
    <n v="20"/>
    <n v="23.637674806760849"/>
    <s v="22–24°C"/>
    <n v="2.2999999999999998"/>
    <n v="2026"/>
    <x v="1"/>
    <n v="27"/>
    <n v="5"/>
    <n v="14"/>
    <n v="0.35"/>
    <n v="0.32857142857142857"/>
    <x v="2"/>
  </r>
  <r>
    <d v="2026-02-27T15:00:00"/>
    <x v="4"/>
    <s v="R114"/>
    <n v="8"/>
    <n v="20"/>
    <n v="24.18065324888336"/>
    <s v="24–26°C"/>
    <n v="3.34"/>
    <n v="2026"/>
    <x v="1"/>
    <n v="27"/>
    <n v="5"/>
    <n v="15"/>
    <n v="0.4"/>
    <n v="0.41749999999999998"/>
    <x v="2"/>
  </r>
  <r>
    <d v="2026-02-27T16:00:00"/>
    <x v="4"/>
    <s v="R114"/>
    <n v="8"/>
    <n v="30"/>
    <n v="21.354264790004041"/>
    <s v="20–22°C"/>
    <n v="3.79"/>
    <n v="2026"/>
    <x v="1"/>
    <n v="27"/>
    <n v="5"/>
    <n v="16"/>
    <n v="0.26666666666666666"/>
    <n v="0.47375"/>
    <x v="2"/>
  </r>
  <r>
    <d v="2026-02-27T17:00:00"/>
    <x v="4"/>
    <s v="R117"/>
    <n v="8"/>
    <n v="25"/>
    <n v="22.251734637017929"/>
    <s v="22–24°C"/>
    <n v="2.95"/>
    <n v="2026"/>
    <x v="1"/>
    <n v="27"/>
    <n v="5"/>
    <n v="17"/>
    <n v="0.32"/>
    <n v="0.36875000000000002"/>
    <x v="3"/>
  </r>
  <r>
    <d v="2026-02-27T18:00:00"/>
    <x v="2"/>
    <s v="R105"/>
    <n v="12"/>
    <n v="20"/>
    <n v="23.15081825784933"/>
    <s v="22–24°C"/>
    <n v="4.12"/>
    <n v="2026"/>
    <x v="1"/>
    <n v="27"/>
    <n v="5"/>
    <n v="18"/>
    <n v="0.6"/>
    <n v="0.34333333333333332"/>
    <x v="3"/>
  </r>
  <r>
    <d v="2026-02-27T19:00:00"/>
    <x v="4"/>
    <s v="R110"/>
    <n v="6"/>
    <n v="20"/>
    <n v="22.701211572795149"/>
    <s v="22–24°C"/>
    <n v="1.95"/>
    <n v="2026"/>
    <x v="1"/>
    <n v="27"/>
    <n v="5"/>
    <n v="19"/>
    <n v="0.3"/>
    <n v="0.32500000000000001"/>
    <x v="3"/>
  </r>
  <r>
    <d v="2026-02-27T20:00:00"/>
    <x v="4"/>
    <s v="R102"/>
    <n v="4"/>
    <n v="30"/>
    <n v="23.439516167880289"/>
    <s v="22–24°C"/>
    <n v="1.59"/>
    <n v="2026"/>
    <x v="1"/>
    <n v="27"/>
    <n v="5"/>
    <n v="20"/>
    <n v="0.13333333333333333"/>
    <n v="0.39750000000000002"/>
    <x v="3"/>
  </r>
  <r>
    <d v="2026-02-27T21:00:00"/>
    <x v="3"/>
    <s v="R119"/>
    <n v="14"/>
    <n v="25"/>
    <n v="23.826692577376409"/>
    <s v="22–24°C"/>
    <n v="4.4800000000000004"/>
    <n v="2026"/>
    <x v="1"/>
    <n v="27"/>
    <n v="5"/>
    <n v="21"/>
    <n v="0.56000000000000005"/>
    <n v="0.32"/>
    <x v="0"/>
  </r>
  <r>
    <d v="2026-02-27T22:00:00"/>
    <x v="2"/>
    <s v="R107"/>
    <n v="9"/>
    <n v="40"/>
    <n v="22.279916452335101"/>
    <s v="22–24°C"/>
    <n v="3.37"/>
    <n v="2026"/>
    <x v="1"/>
    <n v="27"/>
    <n v="5"/>
    <n v="22"/>
    <n v="0.22500000000000001"/>
    <n v="0.37444444444444447"/>
    <x v="0"/>
  </r>
  <r>
    <d v="2026-02-27T23:00:00"/>
    <x v="4"/>
    <s v="R102"/>
    <n v="14"/>
    <n v="25"/>
    <n v="21.19536569081091"/>
    <s v="20–22°C"/>
    <n v="4.32"/>
    <n v="2026"/>
    <x v="1"/>
    <n v="27"/>
    <n v="5"/>
    <n v="23"/>
    <n v="0.56000000000000005"/>
    <n v="0.30857142857142861"/>
    <x v="0"/>
  </r>
  <r>
    <d v="2026-02-28T00:00:00"/>
    <x v="4"/>
    <s v="R103"/>
    <n v="4"/>
    <n v="40"/>
    <n v="22.806783030286262"/>
    <s v="22–24°C"/>
    <n v="1.87"/>
    <n v="2026"/>
    <x v="1"/>
    <n v="28"/>
    <n v="6"/>
    <n v="0"/>
    <n v="0.1"/>
    <n v="0.46750000000000003"/>
    <x v="0"/>
  </r>
  <r>
    <d v="2026-02-28T01:00:00"/>
    <x v="0"/>
    <s v="R110"/>
    <n v="8"/>
    <n v="40"/>
    <n v="19.829507978540281"/>
    <s v="18–20°C"/>
    <n v="3.23"/>
    <n v="2026"/>
    <x v="1"/>
    <n v="28"/>
    <n v="6"/>
    <n v="1"/>
    <n v="0.2"/>
    <n v="0.40375"/>
    <x v="0"/>
  </r>
  <r>
    <d v="2026-02-28T02:00:00"/>
    <x v="2"/>
    <s v="R118"/>
    <n v="16"/>
    <n v="25"/>
    <n v="23.79293394325769"/>
    <s v="22–24°C"/>
    <n v="5.36"/>
    <n v="2026"/>
    <x v="1"/>
    <n v="28"/>
    <n v="6"/>
    <n v="2"/>
    <n v="0.64"/>
    <n v="0.33500000000000002"/>
    <x v="0"/>
  </r>
  <r>
    <d v="2026-02-28T03:00:00"/>
    <x v="4"/>
    <s v="R102"/>
    <n v="3"/>
    <n v="20"/>
    <n v="22.338607709114449"/>
    <s v="22–24°C"/>
    <n v="0.99"/>
    <n v="2026"/>
    <x v="1"/>
    <n v="28"/>
    <n v="6"/>
    <n v="3"/>
    <n v="0.15"/>
    <n v="0.33"/>
    <x v="0"/>
  </r>
  <r>
    <d v="2026-02-28T04:00:00"/>
    <x v="2"/>
    <s v="R105"/>
    <n v="5"/>
    <n v="30"/>
    <n v="20.438045131122951"/>
    <s v="20–22°C"/>
    <n v="1.98"/>
    <n v="2026"/>
    <x v="1"/>
    <n v="28"/>
    <n v="6"/>
    <n v="4"/>
    <n v="0.16666666666666666"/>
    <n v="0.39600000000000002"/>
    <x v="0"/>
  </r>
  <r>
    <d v="2026-02-28T05:00:00"/>
    <x v="1"/>
    <s v="R116"/>
    <n v="11"/>
    <n v="30"/>
    <n v="17.728322060973589"/>
    <s v="16–18°C"/>
    <n v="3.92"/>
    <n v="2026"/>
    <x v="1"/>
    <n v="28"/>
    <n v="6"/>
    <n v="5"/>
    <n v="0.36666666666666664"/>
    <n v="0.35636363636363638"/>
    <x v="0"/>
  </r>
  <r>
    <d v="2026-02-28T06:00:00"/>
    <x v="0"/>
    <s v="R110"/>
    <n v="8"/>
    <n v="25"/>
    <n v="24.375527697123541"/>
    <s v="24–26°C"/>
    <n v="3.45"/>
    <n v="2026"/>
    <x v="1"/>
    <n v="28"/>
    <n v="6"/>
    <n v="6"/>
    <n v="0.32"/>
    <n v="0.43125000000000002"/>
    <x v="0"/>
  </r>
  <r>
    <d v="2026-02-28T07:00:00"/>
    <x v="3"/>
    <s v="R107"/>
    <n v="9"/>
    <n v="20"/>
    <n v="21.460585801524289"/>
    <s v="20–22°C"/>
    <n v="2.94"/>
    <n v="2026"/>
    <x v="1"/>
    <n v="28"/>
    <n v="6"/>
    <n v="7"/>
    <n v="0.45"/>
    <n v="0.32666666666666666"/>
    <x v="1"/>
  </r>
  <r>
    <d v="2026-02-28T08:00:00"/>
    <x v="2"/>
    <s v="R115"/>
    <n v="10"/>
    <n v="40"/>
    <n v="24.888954264397"/>
    <s v="24–26°C"/>
    <n v="3.86"/>
    <n v="2026"/>
    <x v="1"/>
    <n v="28"/>
    <n v="6"/>
    <n v="8"/>
    <n v="0.25"/>
    <n v="0.38600000000000001"/>
    <x v="1"/>
  </r>
  <r>
    <d v="2026-02-28T09:00:00"/>
    <x v="2"/>
    <s v="R101"/>
    <n v="11"/>
    <n v="20"/>
    <n v="20.706789607308959"/>
    <s v="20–22°C"/>
    <n v="4.08"/>
    <n v="2026"/>
    <x v="1"/>
    <n v="28"/>
    <n v="6"/>
    <n v="9"/>
    <n v="0.55000000000000004"/>
    <n v="0.37090909090909091"/>
    <x v="1"/>
  </r>
  <r>
    <d v="2026-02-28T10:00:00"/>
    <x v="0"/>
    <s v="R118"/>
    <n v="10"/>
    <n v="20"/>
    <n v="25.59588038707027"/>
    <s v="24–26°C"/>
    <n v="4.03"/>
    <n v="2026"/>
    <x v="1"/>
    <n v="28"/>
    <n v="6"/>
    <n v="10"/>
    <n v="0.5"/>
    <n v="0.40300000000000002"/>
    <x v="1"/>
  </r>
  <r>
    <d v="2026-02-28T11:00:00"/>
    <x v="3"/>
    <s v="R107"/>
    <n v="11"/>
    <n v="20"/>
    <n v="17.43407913531356"/>
    <s v="16–18°C"/>
    <n v="4.21"/>
    <n v="2026"/>
    <x v="1"/>
    <n v="28"/>
    <n v="6"/>
    <n v="11"/>
    <n v="0.55000000000000004"/>
    <n v="0.38272727272727275"/>
    <x v="1"/>
  </r>
  <r>
    <d v="2026-02-28T12:00:00"/>
    <x v="0"/>
    <s v="R102"/>
    <n v="10"/>
    <n v="20"/>
    <n v="22.32978490934395"/>
    <s v="22–24°C"/>
    <n v="3.44"/>
    <n v="2026"/>
    <x v="1"/>
    <n v="28"/>
    <n v="6"/>
    <n v="12"/>
    <n v="0.5"/>
    <n v="0.34399999999999997"/>
    <x v="2"/>
  </r>
  <r>
    <d v="2026-02-28T13:00:00"/>
    <x v="0"/>
    <s v="R113"/>
    <n v="5"/>
    <n v="20"/>
    <n v="22.835938727381681"/>
    <s v="22–24°C"/>
    <n v="2.4"/>
    <n v="2026"/>
    <x v="1"/>
    <n v="28"/>
    <n v="6"/>
    <n v="13"/>
    <n v="0.25"/>
    <n v="0.48"/>
    <x v="2"/>
  </r>
  <r>
    <d v="2026-02-28T14:00:00"/>
    <x v="0"/>
    <s v="R117"/>
    <n v="10"/>
    <n v="25"/>
    <n v="21.079293895715772"/>
    <s v="20–22°C"/>
    <n v="2.91"/>
    <n v="2026"/>
    <x v="1"/>
    <n v="28"/>
    <n v="6"/>
    <n v="14"/>
    <n v="0.4"/>
    <n v="0.29100000000000004"/>
    <x v="2"/>
  </r>
  <r>
    <d v="2026-02-28T15:00:00"/>
    <x v="4"/>
    <s v="R106"/>
    <n v="5"/>
    <n v="30"/>
    <n v="25.85903931705198"/>
    <s v="24–26°C"/>
    <n v="2.54"/>
    <n v="2026"/>
    <x v="1"/>
    <n v="28"/>
    <n v="6"/>
    <n v="15"/>
    <n v="0.16666666666666666"/>
    <n v="0.50800000000000001"/>
    <x v="2"/>
  </r>
  <r>
    <d v="2026-02-28T16:00:00"/>
    <x v="2"/>
    <s v="R104"/>
    <n v="13"/>
    <n v="30"/>
    <n v="23.326511252584329"/>
    <s v="22–24°C"/>
    <n v="3.81"/>
    <n v="2026"/>
    <x v="1"/>
    <n v="28"/>
    <n v="6"/>
    <n v="16"/>
    <n v="0.43333333333333335"/>
    <n v="0.29307692307692307"/>
    <x v="2"/>
  </r>
  <r>
    <d v="2026-02-28T17:00:00"/>
    <x v="2"/>
    <s v="R108"/>
    <n v="10"/>
    <n v="20"/>
    <n v="24.0570257616119"/>
    <s v="24–26°C"/>
    <n v="3.45"/>
    <n v="2026"/>
    <x v="1"/>
    <n v="28"/>
    <n v="6"/>
    <n v="17"/>
    <n v="0.5"/>
    <n v="0.34500000000000003"/>
    <x v="3"/>
  </r>
  <r>
    <d v="2026-02-28T18:00:00"/>
    <x v="3"/>
    <s v="R119"/>
    <n v="10"/>
    <n v="30"/>
    <n v="25.37825956290693"/>
    <s v="24–26°C"/>
    <n v="4.33"/>
    <n v="2026"/>
    <x v="1"/>
    <n v="28"/>
    <n v="6"/>
    <n v="18"/>
    <n v="0.33333333333333331"/>
    <n v="0.433"/>
    <x v="3"/>
  </r>
  <r>
    <d v="2026-02-28T19:00:00"/>
    <x v="2"/>
    <s v="R111"/>
    <n v="6"/>
    <n v="30"/>
    <n v="21.546122804855941"/>
    <s v="20–22°C"/>
    <n v="2.19"/>
    <n v="2026"/>
    <x v="1"/>
    <n v="28"/>
    <n v="6"/>
    <n v="19"/>
    <n v="0.2"/>
    <n v="0.36499999999999999"/>
    <x v="3"/>
  </r>
  <r>
    <d v="2026-02-28T20:00:00"/>
    <x v="4"/>
    <s v="R102"/>
    <n v="12"/>
    <n v="40"/>
    <n v="23.654150436106619"/>
    <s v="22–24°C"/>
    <n v="4.09"/>
    <n v="2026"/>
    <x v="1"/>
    <n v="28"/>
    <n v="6"/>
    <n v="20"/>
    <n v="0.3"/>
    <n v="0.34083333333333332"/>
    <x v="3"/>
  </r>
  <r>
    <d v="2026-02-28T21:00:00"/>
    <x v="3"/>
    <s v="R110"/>
    <n v="10"/>
    <n v="30"/>
    <n v="24.812277836182751"/>
    <s v="24–26°C"/>
    <n v="3.97"/>
    <n v="2026"/>
    <x v="1"/>
    <n v="28"/>
    <n v="6"/>
    <n v="21"/>
    <n v="0.33333333333333331"/>
    <n v="0.39700000000000002"/>
    <x v="0"/>
  </r>
  <r>
    <d v="2026-02-28T22:00:00"/>
    <x v="4"/>
    <s v="R118"/>
    <n v="6"/>
    <n v="30"/>
    <n v="23.271036005583589"/>
    <s v="22–24°C"/>
    <n v="2.42"/>
    <n v="2026"/>
    <x v="1"/>
    <n v="28"/>
    <n v="6"/>
    <n v="22"/>
    <n v="0.2"/>
    <n v="0.40333333333333332"/>
    <x v="0"/>
  </r>
  <r>
    <d v="2026-02-28T23:00:00"/>
    <x v="1"/>
    <s v="R109"/>
    <n v="4"/>
    <n v="40"/>
    <n v="19.388863492029589"/>
    <s v="18–20°C"/>
    <n v="2.4900000000000002"/>
    <n v="2026"/>
    <x v="1"/>
    <n v="28"/>
    <n v="6"/>
    <n v="23"/>
    <n v="0.1"/>
    <n v="0.62250000000000005"/>
    <x v="0"/>
  </r>
  <r>
    <d v="2026-03-01T00:00:00"/>
    <x v="2"/>
    <s v="R111"/>
    <n v="6"/>
    <n v="40"/>
    <n v="20.502673150474749"/>
    <s v="20–22°C"/>
    <n v="2.76"/>
    <n v="2026"/>
    <x v="2"/>
    <n v="1"/>
    <n v="0"/>
    <n v="0"/>
    <n v="0.15"/>
    <n v="0.45999999999999996"/>
    <x v="0"/>
  </r>
  <r>
    <d v="2026-03-01T01:00:00"/>
    <x v="4"/>
    <s v="R109"/>
    <n v="6"/>
    <n v="40"/>
    <n v="22.08279942762028"/>
    <s v="22–24°C"/>
    <n v="2.19"/>
    <n v="2026"/>
    <x v="2"/>
    <n v="1"/>
    <n v="0"/>
    <n v="1"/>
    <n v="0.15"/>
    <n v="0.36499999999999999"/>
    <x v="0"/>
  </r>
  <r>
    <d v="2026-03-01T02:00:00"/>
    <x v="0"/>
    <s v="R115"/>
    <n v="9"/>
    <n v="40"/>
    <n v="20.654463359749808"/>
    <s v="20–22°C"/>
    <n v="3.64"/>
    <n v="2026"/>
    <x v="2"/>
    <n v="1"/>
    <n v="0"/>
    <n v="2"/>
    <n v="0.22500000000000001"/>
    <n v="0.40444444444444444"/>
    <x v="0"/>
  </r>
  <r>
    <d v="2026-03-01T03:00:00"/>
    <x v="3"/>
    <s v="R104"/>
    <n v="4"/>
    <n v="25"/>
    <n v="21.96065104359273"/>
    <s v="20–22°C"/>
    <n v="1.03"/>
    <n v="2026"/>
    <x v="2"/>
    <n v="1"/>
    <n v="0"/>
    <n v="3"/>
    <n v="0.16"/>
    <n v="0.25750000000000001"/>
    <x v="0"/>
  </r>
  <r>
    <d v="2026-03-01T04:00:00"/>
    <x v="0"/>
    <s v="R108"/>
    <n v="10"/>
    <n v="40"/>
    <n v="22.964307180413019"/>
    <s v="22–24°C"/>
    <n v="3.02"/>
    <n v="2026"/>
    <x v="2"/>
    <n v="1"/>
    <n v="0"/>
    <n v="4"/>
    <n v="0.25"/>
    <n v="0.30199999999999999"/>
    <x v="0"/>
  </r>
  <r>
    <d v="2026-03-01T05:00:00"/>
    <x v="3"/>
    <s v="R111"/>
    <n v="13"/>
    <n v="30"/>
    <n v="23.363553249589511"/>
    <s v="22–24°C"/>
    <n v="4.8"/>
    <n v="2026"/>
    <x v="2"/>
    <n v="1"/>
    <n v="0"/>
    <n v="5"/>
    <n v="0.43333333333333335"/>
    <n v="0.3692307692307692"/>
    <x v="0"/>
  </r>
  <r>
    <d v="2026-03-01T06:00:00"/>
    <x v="2"/>
    <s v="R109"/>
    <n v="10"/>
    <n v="25"/>
    <n v="25.180944338113989"/>
    <s v="24–26°C"/>
    <n v="4.09"/>
    <n v="2026"/>
    <x v="2"/>
    <n v="1"/>
    <n v="0"/>
    <n v="6"/>
    <n v="0.4"/>
    <n v="0.40899999999999997"/>
    <x v="0"/>
  </r>
  <r>
    <d v="2026-03-01T07:00:00"/>
    <x v="2"/>
    <s v="R101"/>
    <n v="6"/>
    <n v="25"/>
    <n v="25.230500986563559"/>
    <s v="24–26°C"/>
    <n v="2.7"/>
    <n v="2026"/>
    <x v="2"/>
    <n v="1"/>
    <n v="0"/>
    <n v="7"/>
    <n v="0.24"/>
    <n v="0.45"/>
    <x v="1"/>
  </r>
  <r>
    <d v="2026-03-01T08:00:00"/>
    <x v="4"/>
    <s v="R104"/>
    <n v="3"/>
    <n v="25"/>
    <n v="21.369365526664279"/>
    <s v="20–22°C"/>
    <n v="1.89"/>
    <n v="2026"/>
    <x v="2"/>
    <n v="1"/>
    <n v="0"/>
    <n v="8"/>
    <n v="0.12"/>
    <n v="0.63"/>
    <x v="1"/>
  </r>
  <r>
    <d v="2026-03-01T09:00:00"/>
    <x v="0"/>
    <s v="R108"/>
    <n v="6"/>
    <n v="40"/>
    <n v="20.437170040443949"/>
    <s v="20–22°C"/>
    <n v="2.5099999999999998"/>
    <n v="2026"/>
    <x v="2"/>
    <n v="1"/>
    <n v="0"/>
    <n v="9"/>
    <n v="0.15"/>
    <n v="0.41833333333333328"/>
    <x v="1"/>
  </r>
  <r>
    <d v="2026-03-01T10:00:00"/>
    <x v="3"/>
    <s v="R117"/>
    <n v="8"/>
    <n v="30"/>
    <n v="21.403054977624819"/>
    <s v="20–22°C"/>
    <n v="2.35"/>
    <n v="2026"/>
    <x v="2"/>
    <n v="1"/>
    <n v="0"/>
    <n v="10"/>
    <n v="0.26666666666666666"/>
    <n v="0.29375000000000001"/>
    <x v="1"/>
  </r>
  <r>
    <d v="2026-03-01T11:00:00"/>
    <x v="4"/>
    <s v="R114"/>
    <n v="8"/>
    <n v="20"/>
    <n v="19.777994464229661"/>
    <s v="18–20°C"/>
    <n v="2.86"/>
    <n v="2026"/>
    <x v="2"/>
    <n v="1"/>
    <n v="0"/>
    <n v="11"/>
    <n v="0.4"/>
    <n v="0.35749999999999998"/>
    <x v="1"/>
  </r>
  <r>
    <d v="2026-03-01T12:00:00"/>
    <x v="1"/>
    <s v="R108"/>
    <n v="6"/>
    <n v="25"/>
    <n v="24.582971854570459"/>
    <s v="24–26°C"/>
    <n v="3.14"/>
    <n v="2026"/>
    <x v="2"/>
    <n v="1"/>
    <n v="0"/>
    <n v="12"/>
    <n v="0.24"/>
    <n v="0.52333333333333332"/>
    <x v="2"/>
  </r>
  <r>
    <d v="2026-03-01T13:00:00"/>
    <x v="3"/>
    <s v="R107"/>
    <n v="6"/>
    <n v="40"/>
    <n v="22.68159657682672"/>
    <s v="22–24°C"/>
    <n v="2.71"/>
    <n v="2026"/>
    <x v="2"/>
    <n v="1"/>
    <n v="0"/>
    <n v="13"/>
    <n v="0.15"/>
    <n v="0.45166666666666666"/>
    <x v="2"/>
  </r>
  <r>
    <d v="2026-03-01T14:00:00"/>
    <x v="2"/>
    <s v="R114"/>
    <n v="11"/>
    <n v="30"/>
    <n v="27.139895478139358"/>
    <s v="26–28°C"/>
    <n v="4.58"/>
    <n v="2026"/>
    <x v="2"/>
    <n v="1"/>
    <n v="0"/>
    <n v="14"/>
    <n v="0.36666666666666664"/>
    <n v="0.41636363636363638"/>
    <x v="2"/>
  </r>
  <r>
    <d v="2026-03-01T15:00:00"/>
    <x v="3"/>
    <s v="R113"/>
    <n v="8"/>
    <n v="20"/>
    <n v="25.377002028069409"/>
    <s v="24–26°C"/>
    <n v="3.74"/>
    <n v="2026"/>
    <x v="2"/>
    <n v="1"/>
    <n v="0"/>
    <n v="15"/>
    <n v="0.4"/>
    <n v="0.46750000000000003"/>
    <x v="2"/>
  </r>
  <r>
    <d v="2026-03-01T16:00:00"/>
    <x v="0"/>
    <s v="R104"/>
    <n v="8"/>
    <n v="20"/>
    <n v="21.20411602871954"/>
    <s v="20–22°C"/>
    <n v="2.91"/>
    <n v="2026"/>
    <x v="2"/>
    <n v="1"/>
    <n v="0"/>
    <n v="16"/>
    <n v="0.4"/>
    <n v="0.36375000000000002"/>
    <x v="2"/>
  </r>
  <r>
    <d v="2026-03-01T17:00:00"/>
    <x v="1"/>
    <s v="R108"/>
    <n v="10"/>
    <n v="25"/>
    <n v="24.56294923772251"/>
    <s v="24–26°C"/>
    <n v="3.93"/>
    <n v="2026"/>
    <x v="2"/>
    <n v="1"/>
    <n v="0"/>
    <n v="17"/>
    <n v="0.4"/>
    <n v="0.39300000000000002"/>
    <x v="3"/>
  </r>
  <r>
    <d v="2026-03-01T18:00:00"/>
    <x v="3"/>
    <s v="R112"/>
    <n v="11"/>
    <n v="40"/>
    <n v="26.84174229987957"/>
    <s v="26–28°C"/>
    <n v="4.29"/>
    <n v="2026"/>
    <x v="2"/>
    <n v="1"/>
    <n v="0"/>
    <n v="18"/>
    <n v="0.27500000000000002"/>
    <n v="0.39"/>
    <x v="3"/>
  </r>
  <r>
    <d v="2026-03-01T19:00:00"/>
    <x v="0"/>
    <s v="R109"/>
    <n v="7"/>
    <n v="30"/>
    <n v="20.32725739344626"/>
    <s v="20–22°C"/>
    <n v="2.35"/>
    <n v="2026"/>
    <x v="2"/>
    <n v="1"/>
    <n v="0"/>
    <n v="19"/>
    <n v="0.23333333333333334"/>
    <n v="0.33571428571428574"/>
    <x v="3"/>
  </r>
  <r>
    <d v="2026-03-01T20:00:00"/>
    <x v="0"/>
    <s v="R104"/>
    <n v="9"/>
    <n v="20"/>
    <n v="24.888432752570399"/>
    <s v="24–26°C"/>
    <n v="3.83"/>
    <n v="2026"/>
    <x v="2"/>
    <n v="1"/>
    <n v="0"/>
    <n v="20"/>
    <n v="0.45"/>
    <n v="0.42555555555555558"/>
    <x v="3"/>
  </r>
  <r>
    <d v="2026-03-01T21:00:00"/>
    <x v="4"/>
    <s v="R114"/>
    <n v="9"/>
    <n v="25"/>
    <n v="23.18725572291061"/>
    <s v="22–24°C"/>
    <n v="3.05"/>
    <n v="2026"/>
    <x v="2"/>
    <n v="1"/>
    <n v="0"/>
    <n v="21"/>
    <n v="0.36"/>
    <n v="0.33888888888888885"/>
    <x v="0"/>
  </r>
  <r>
    <d v="2026-03-01T22:00:00"/>
    <x v="1"/>
    <s v="R119"/>
    <n v="7"/>
    <n v="25"/>
    <n v="22.92352298464381"/>
    <s v="22–24°C"/>
    <n v="2.97"/>
    <n v="2026"/>
    <x v="2"/>
    <n v="1"/>
    <n v="0"/>
    <n v="22"/>
    <n v="0.28000000000000003"/>
    <n v="0.42428571428571432"/>
    <x v="0"/>
  </r>
  <r>
    <d v="2026-03-01T23:00:00"/>
    <x v="2"/>
    <s v="R107"/>
    <n v="8"/>
    <n v="25"/>
    <n v="23.69949563049596"/>
    <s v="22–24°C"/>
    <n v="2.31"/>
    <n v="2026"/>
    <x v="2"/>
    <n v="1"/>
    <n v="0"/>
    <n v="23"/>
    <n v="0.32"/>
    <n v="0.28875000000000001"/>
    <x v="0"/>
  </r>
  <r>
    <d v="2026-03-02T00:00:00"/>
    <x v="2"/>
    <s v="R111"/>
    <n v="11"/>
    <n v="20"/>
    <n v="22.172937482381339"/>
    <s v="22–24°C"/>
    <n v="3.32"/>
    <n v="2026"/>
    <x v="2"/>
    <n v="2"/>
    <n v="1"/>
    <n v="0"/>
    <n v="0.55000000000000004"/>
    <n v="0.30181818181818182"/>
    <x v="0"/>
  </r>
  <r>
    <d v="2026-03-02T01:00:00"/>
    <x v="4"/>
    <s v="R113"/>
    <n v="2"/>
    <n v="20"/>
    <n v="28.601753895218781"/>
    <s v="28–30°C"/>
    <n v="2.44"/>
    <n v="2026"/>
    <x v="2"/>
    <n v="2"/>
    <n v="1"/>
    <n v="1"/>
    <n v="0.1"/>
    <n v="1.22"/>
    <x v="0"/>
  </r>
  <r>
    <d v="2026-03-02T02:00:00"/>
    <x v="2"/>
    <s v="R120"/>
    <n v="2"/>
    <n v="40"/>
    <n v="21.800700977098131"/>
    <s v="20–22°C"/>
    <n v="1.46"/>
    <n v="2026"/>
    <x v="2"/>
    <n v="2"/>
    <n v="1"/>
    <n v="2"/>
    <n v="0.05"/>
    <n v="0.73"/>
    <x v="0"/>
  </r>
  <r>
    <d v="2026-03-02T03:00:00"/>
    <x v="4"/>
    <s v="R107"/>
    <n v="12"/>
    <n v="30"/>
    <n v="26.775373158016091"/>
    <s v="26–28°C"/>
    <n v="4.1500000000000004"/>
    <n v="2026"/>
    <x v="2"/>
    <n v="2"/>
    <n v="1"/>
    <n v="3"/>
    <n v="0.4"/>
    <n v="0.34583333333333338"/>
    <x v="0"/>
  </r>
  <r>
    <d v="2026-03-02T04:00:00"/>
    <x v="4"/>
    <s v="R119"/>
    <n v="5"/>
    <n v="30"/>
    <n v="22.324995867685072"/>
    <s v="22–24°C"/>
    <n v="2.27"/>
    <n v="2026"/>
    <x v="2"/>
    <n v="2"/>
    <n v="1"/>
    <n v="4"/>
    <n v="0.16666666666666666"/>
    <n v="0.45400000000000001"/>
    <x v="0"/>
  </r>
  <r>
    <d v="2026-03-02T05:00:00"/>
    <x v="3"/>
    <s v="R101"/>
    <n v="9"/>
    <n v="20"/>
    <n v="25.513008235880221"/>
    <s v="24–26°C"/>
    <n v="3.91"/>
    <n v="2026"/>
    <x v="2"/>
    <n v="2"/>
    <n v="1"/>
    <n v="5"/>
    <n v="0.45"/>
    <n v="0.43444444444444447"/>
    <x v="0"/>
  </r>
  <r>
    <d v="2026-03-02T06:00:00"/>
    <x v="1"/>
    <s v="R106"/>
    <n v="5"/>
    <n v="30"/>
    <n v="26.158067402183999"/>
    <s v="26–28°C"/>
    <n v="2.83"/>
    <n v="2026"/>
    <x v="2"/>
    <n v="2"/>
    <n v="1"/>
    <n v="6"/>
    <n v="0.16666666666666666"/>
    <n v="0.56600000000000006"/>
    <x v="0"/>
  </r>
  <r>
    <d v="2026-03-02T07:00:00"/>
    <x v="0"/>
    <s v="R104"/>
    <n v="12"/>
    <n v="25"/>
    <n v="21.96406540156698"/>
    <s v="20–22°C"/>
    <n v="3.27"/>
    <n v="2026"/>
    <x v="2"/>
    <n v="2"/>
    <n v="1"/>
    <n v="7"/>
    <n v="0.48"/>
    <n v="0.27250000000000002"/>
    <x v="1"/>
  </r>
  <r>
    <d v="2026-03-02T08:00:00"/>
    <x v="0"/>
    <s v="R102"/>
    <n v="7"/>
    <n v="20"/>
    <n v="23.333935246668329"/>
    <s v="22–24°C"/>
    <n v="3.19"/>
    <n v="2026"/>
    <x v="2"/>
    <n v="2"/>
    <n v="1"/>
    <n v="8"/>
    <n v="0.35"/>
    <n v="0.45571428571428568"/>
    <x v="1"/>
  </r>
  <r>
    <d v="2026-03-02T09:00:00"/>
    <x v="4"/>
    <s v="R117"/>
    <n v="10"/>
    <n v="40"/>
    <n v="23.141717809640632"/>
    <s v="22–24°C"/>
    <n v="3.5"/>
    <n v="2026"/>
    <x v="2"/>
    <n v="2"/>
    <n v="1"/>
    <n v="9"/>
    <n v="0.25"/>
    <n v="0.35"/>
    <x v="1"/>
  </r>
  <r>
    <d v="2026-03-02T10:00:00"/>
    <x v="1"/>
    <s v="R117"/>
    <n v="9"/>
    <n v="20"/>
    <n v="26.958768942828598"/>
    <s v="26–28°C"/>
    <n v="3.71"/>
    <n v="2026"/>
    <x v="2"/>
    <n v="2"/>
    <n v="1"/>
    <n v="10"/>
    <n v="0.45"/>
    <n v="0.41222222222222221"/>
    <x v="1"/>
  </r>
  <r>
    <d v="2026-03-02T11:00:00"/>
    <x v="2"/>
    <s v="R104"/>
    <n v="9"/>
    <n v="20"/>
    <n v="23.28640438499276"/>
    <s v="22–24°C"/>
    <n v="2.8"/>
    <n v="2026"/>
    <x v="2"/>
    <n v="2"/>
    <n v="1"/>
    <n v="11"/>
    <n v="0.45"/>
    <n v="0.31111111111111112"/>
    <x v="1"/>
  </r>
  <r>
    <d v="2026-03-02T12:00:00"/>
    <x v="4"/>
    <s v="R105"/>
    <n v="13"/>
    <n v="40"/>
    <n v="21.47959084248923"/>
    <s v="20–22°C"/>
    <n v="4.09"/>
    <n v="2026"/>
    <x v="2"/>
    <n v="2"/>
    <n v="1"/>
    <n v="12"/>
    <n v="0.32500000000000001"/>
    <n v="0.31461538461538463"/>
    <x v="2"/>
  </r>
  <r>
    <d v="2026-03-02T13:00:00"/>
    <x v="2"/>
    <s v="R111"/>
    <n v="11"/>
    <n v="30"/>
    <n v="23.186042576442858"/>
    <s v="22–24°C"/>
    <n v="4"/>
    <n v="2026"/>
    <x v="2"/>
    <n v="2"/>
    <n v="1"/>
    <n v="13"/>
    <n v="0.36666666666666664"/>
    <n v="0.36363636363636365"/>
    <x v="2"/>
  </r>
  <r>
    <d v="2026-03-02T14:00:00"/>
    <x v="2"/>
    <s v="R116"/>
    <n v="14"/>
    <n v="25"/>
    <n v="22.0529532368916"/>
    <s v="22–24°C"/>
    <n v="4.25"/>
    <n v="2026"/>
    <x v="2"/>
    <n v="2"/>
    <n v="1"/>
    <n v="14"/>
    <n v="0.56000000000000005"/>
    <n v="0.30357142857142855"/>
    <x v="2"/>
  </r>
  <r>
    <d v="2026-03-02T15:00:00"/>
    <x v="0"/>
    <s v="R101"/>
    <n v="7"/>
    <n v="30"/>
    <n v="22.141635419544691"/>
    <s v="22–24°C"/>
    <n v="2.6"/>
    <n v="2026"/>
    <x v="2"/>
    <n v="2"/>
    <n v="1"/>
    <n v="15"/>
    <n v="0.23333333333333334"/>
    <n v="0.37142857142857144"/>
    <x v="2"/>
  </r>
  <r>
    <d v="2026-03-02T16:00:00"/>
    <x v="2"/>
    <s v="R102"/>
    <n v="7"/>
    <n v="25"/>
    <n v="26.415097778643521"/>
    <s v="26–28°C"/>
    <n v="3.49"/>
    <n v="2026"/>
    <x v="2"/>
    <n v="2"/>
    <n v="1"/>
    <n v="16"/>
    <n v="0.28000000000000003"/>
    <n v="0.49857142857142861"/>
    <x v="2"/>
  </r>
  <r>
    <d v="2026-03-02T17:00:00"/>
    <x v="2"/>
    <s v="R102"/>
    <n v="13"/>
    <n v="40"/>
    <n v="23.31419730128766"/>
    <s v="22–24°C"/>
    <n v="4.2699999999999996"/>
    <n v="2026"/>
    <x v="2"/>
    <n v="2"/>
    <n v="1"/>
    <n v="17"/>
    <n v="0.32500000000000001"/>
    <n v="0.32846153846153842"/>
    <x v="3"/>
  </r>
  <r>
    <d v="2026-03-02T18:00:00"/>
    <x v="2"/>
    <s v="R108"/>
    <n v="8"/>
    <n v="20"/>
    <n v="19.064339753814838"/>
    <s v="18–20°C"/>
    <n v="2.91"/>
    <n v="2026"/>
    <x v="2"/>
    <n v="2"/>
    <n v="1"/>
    <n v="18"/>
    <n v="0.4"/>
    <n v="0.36375000000000002"/>
    <x v="3"/>
  </r>
  <r>
    <d v="2026-03-02T19:00:00"/>
    <x v="2"/>
    <s v="R105"/>
    <n v="7"/>
    <n v="20"/>
    <n v="23.139775991738819"/>
    <s v="22–24°C"/>
    <n v="3.07"/>
    <n v="2026"/>
    <x v="2"/>
    <n v="2"/>
    <n v="1"/>
    <n v="19"/>
    <n v="0.35"/>
    <n v="0.43857142857142856"/>
    <x v="3"/>
  </r>
  <r>
    <d v="2026-03-02T20:00:00"/>
    <x v="2"/>
    <s v="R104"/>
    <n v="8"/>
    <n v="40"/>
    <n v="18.28307171558507"/>
    <s v="18–20°C"/>
    <n v="3.74"/>
    <n v="2026"/>
    <x v="2"/>
    <n v="2"/>
    <n v="1"/>
    <n v="20"/>
    <n v="0.2"/>
    <n v="0.46750000000000003"/>
    <x v="3"/>
  </r>
  <r>
    <d v="2026-03-02T21:00:00"/>
    <x v="3"/>
    <s v="R109"/>
    <n v="6"/>
    <n v="40"/>
    <n v="24.05905088865612"/>
    <s v="24–26°C"/>
    <n v="2.87"/>
    <n v="2026"/>
    <x v="2"/>
    <n v="2"/>
    <n v="1"/>
    <n v="21"/>
    <n v="0.15"/>
    <n v="0.47833333333333333"/>
    <x v="0"/>
  </r>
  <r>
    <d v="2026-03-02T22:00:00"/>
    <x v="2"/>
    <s v="R101"/>
    <n v="7"/>
    <n v="40"/>
    <n v="25.7460846587696"/>
    <s v="24–26°C"/>
    <n v="2.79"/>
    <n v="2026"/>
    <x v="2"/>
    <n v="2"/>
    <n v="1"/>
    <n v="22"/>
    <n v="0.17499999999999999"/>
    <n v="0.39857142857142858"/>
    <x v="0"/>
  </r>
  <r>
    <d v="2026-03-02T23:00:00"/>
    <x v="2"/>
    <s v="R108"/>
    <n v="8"/>
    <n v="25"/>
    <n v="22.97014925511408"/>
    <s v="22–24°C"/>
    <n v="2.77"/>
    <n v="2026"/>
    <x v="2"/>
    <n v="2"/>
    <n v="1"/>
    <n v="23"/>
    <n v="0.32"/>
    <n v="0.34625"/>
    <x v="0"/>
  </r>
  <r>
    <d v="2026-03-03T00:00:00"/>
    <x v="1"/>
    <s v="R120"/>
    <n v="11"/>
    <n v="30"/>
    <n v="19.985002166796502"/>
    <s v="18–20°C"/>
    <n v="4.1500000000000004"/>
    <n v="2026"/>
    <x v="2"/>
    <n v="3"/>
    <n v="2"/>
    <n v="0"/>
    <n v="0.36666666666666664"/>
    <n v="0.37727272727272732"/>
    <x v="0"/>
  </r>
  <r>
    <d v="2026-03-03T01:00:00"/>
    <x v="1"/>
    <s v="R115"/>
    <n v="4"/>
    <n v="40"/>
    <n v="24.135186729217921"/>
    <s v="24–26°C"/>
    <n v="2.0099999999999998"/>
    <n v="2026"/>
    <x v="2"/>
    <n v="3"/>
    <n v="2"/>
    <n v="1"/>
    <n v="0.1"/>
    <n v="0.50249999999999995"/>
    <x v="0"/>
  </r>
  <r>
    <d v="2026-03-03T02:00:00"/>
    <x v="4"/>
    <s v="R101"/>
    <n v="6"/>
    <n v="25"/>
    <n v="22.550159538128959"/>
    <s v="22–24°C"/>
    <n v="2.19"/>
    <n v="2026"/>
    <x v="2"/>
    <n v="3"/>
    <n v="2"/>
    <n v="2"/>
    <n v="0.24"/>
    <n v="0.36499999999999999"/>
    <x v="0"/>
  </r>
  <r>
    <d v="2026-03-03T03:00:00"/>
    <x v="2"/>
    <s v="R111"/>
    <n v="11"/>
    <n v="20"/>
    <n v="24.653892121885601"/>
    <s v="24–26°C"/>
    <n v="4.32"/>
    <n v="2026"/>
    <x v="2"/>
    <n v="3"/>
    <n v="2"/>
    <n v="3"/>
    <n v="0.55000000000000004"/>
    <n v="0.39272727272727276"/>
    <x v="0"/>
  </r>
  <r>
    <d v="2026-03-03T04:00:00"/>
    <x v="1"/>
    <s v="R115"/>
    <n v="12"/>
    <n v="30"/>
    <n v="25.269372039855121"/>
    <s v="24–26°C"/>
    <n v="4.47"/>
    <n v="2026"/>
    <x v="2"/>
    <n v="3"/>
    <n v="2"/>
    <n v="4"/>
    <n v="0.4"/>
    <n v="0.3725"/>
    <x v="0"/>
  </r>
  <r>
    <d v="2026-03-03T05:00:00"/>
    <x v="1"/>
    <s v="R116"/>
    <n v="5"/>
    <n v="30"/>
    <n v="24.16669389948304"/>
    <s v="24–26°C"/>
    <n v="2.2799999999999998"/>
    <n v="2026"/>
    <x v="2"/>
    <n v="3"/>
    <n v="2"/>
    <n v="5"/>
    <n v="0.16666666666666666"/>
    <n v="0.45599999999999996"/>
    <x v="0"/>
  </r>
  <r>
    <d v="2026-03-03T06:00:00"/>
    <x v="2"/>
    <s v="R105"/>
    <n v="6"/>
    <n v="40"/>
    <n v="27.108191165847291"/>
    <s v="26–28°C"/>
    <n v="3.2"/>
    <n v="2026"/>
    <x v="2"/>
    <n v="3"/>
    <n v="2"/>
    <n v="6"/>
    <n v="0.15"/>
    <n v="0.53333333333333333"/>
    <x v="0"/>
  </r>
  <r>
    <d v="2026-03-03T07:00:00"/>
    <x v="0"/>
    <s v="R101"/>
    <n v="15"/>
    <n v="30"/>
    <n v="21.752319502625479"/>
    <s v="20–22°C"/>
    <n v="4.5"/>
    <n v="2026"/>
    <x v="2"/>
    <n v="3"/>
    <n v="2"/>
    <n v="7"/>
    <n v="0.5"/>
    <n v="0.3"/>
    <x v="1"/>
  </r>
  <r>
    <d v="2026-03-03T08:00:00"/>
    <x v="1"/>
    <s v="R113"/>
    <n v="7"/>
    <n v="25"/>
    <n v="23.69477968341711"/>
    <s v="22–24°C"/>
    <n v="2.93"/>
    <n v="2026"/>
    <x v="2"/>
    <n v="3"/>
    <n v="2"/>
    <n v="8"/>
    <n v="0.28000000000000003"/>
    <n v="0.41857142857142859"/>
    <x v="1"/>
  </r>
  <r>
    <d v="2026-03-03T09:00:00"/>
    <x v="0"/>
    <s v="R117"/>
    <n v="9"/>
    <n v="25"/>
    <n v="23.124863406654889"/>
    <s v="22–24°C"/>
    <n v="3.32"/>
    <n v="2026"/>
    <x v="2"/>
    <n v="3"/>
    <n v="2"/>
    <n v="9"/>
    <n v="0.36"/>
    <n v="0.36888888888888888"/>
    <x v="1"/>
  </r>
  <r>
    <d v="2026-03-03T10:00:00"/>
    <x v="2"/>
    <s v="R116"/>
    <n v="9"/>
    <n v="25"/>
    <n v="21.301165060567389"/>
    <s v="20–22°C"/>
    <n v="3.2"/>
    <n v="2026"/>
    <x v="2"/>
    <n v="3"/>
    <n v="2"/>
    <n v="10"/>
    <n v="0.36"/>
    <n v="0.35555555555555557"/>
    <x v="1"/>
  </r>
  <r>
    <d v="2026-03-03T11:00:00"/>
    <x v="3"/>
    <s v="R118"/>
    <n v="3"/>
    <n v="30"/>
    <n v="24.500939723870189"/>
    <s v="24–26°C"/>
    <n v="1.91"/>
    <n v="2026"/>
    <x v="2"/>
    <n v="3"/>
    <n v="2"/>
    <n v="11"/>
    <n v="0.1"/>
    <n v="0.6366666666666666"/>
    <x v="1"/>
  </r>
  <r>
    <d v="2026-03-03T12:00:00"/>
    <x v="4"/>
    <s v="R108"/>
    <n v="5"/>
    <n v="30"/>
    <n v="23.521312309410401"/>
    <s v="22–24°C"/>
    <n v="2.67"/>
    <n v="2026"/>
    <x v="2"/>
    <n v="3"/>
    <n v="2"/>
    <n v="12"/>
    <n v="0.16666666666666666"/>
    <n v="0.53400000000000003"/>
    <x v="2"/>
  </r>
  <r>
    <d v="2026-03-03T13:00:00"/>
    <x v="3"/>
    <s v="R116"/>
    <n v="10"/>
    <n v="40"/>
    <n v="25.774381426372681"/>
    <s v="24–26°C"/>
    <n v="3.65"/>
    <n v="2026"/>
    <x v="2"/>
    <n v="3"/>
    <n v="2"/>
    <n v="13"/>
    <n v="0.25"/>
    <n v="0.36499999999999999"/>
    <x v="2"/>
  </r>
  <r>
    <d v="2026-03-03T14:00:00"/>
    <x v="3"/>
    <s v="R119"/>
    <n v="11"/>
    <n v="40"/>
    <n v="23.279324255372991"/>
    <s v="22–24°C"/>
    <n v="3.76"/>
    <n v="2026"/>
    <x v="2"/>
    <n v="3"/>
    <n v="2"/>
    <n v="14"/>
    <n v="0.27500000000000002"/>
    <n v="0.3418181818181818"/>
    <x v="2"/>
  </r>
  <r>
    <d v="2026-03-03T15:00:00"/>
    <x v="2"/>
    <s v="R119"/>
    <n v="9"/>
    <n v="30"/>
    <n v="21.750180075153839"/>
    <s v="20–22°C"/>
    <n v="3.02"/>
    <n v="2026"/>
    <x v="2"/>
    <n v="3"/>
    <n v="2"/>
    <n v="15"/>
    <n v="0.3"/>
    <n v="0.33555555555555555"/>
    <x v="2"/>
  </r>
  <r>
    <d v="2026-03-03T16:00:00"/>
    <x v="2"/>
    <s v="R106"/>
    <n v="13"/>
    <n v="40"/>
    <n v="21.197719897596262"/>
    <s v="20–22°C"/>
    <n v="3.95"/>
    <n v="2026"/>
    <x v="2"/>
    <n v="3"/>
    <n v="2"/>
    <n v="16"/>
    <n v="0.32500000000000001"/>
    <n v="0.30384615384615388"/>
    <x v="2"/>
  </r>
  <r>
    <d v="2026-03-03T17:00:00"/>
    <x v="3"/>
    <s v="R120"/>
    <n v="8"/>
    <n v="30"/>
    <n v="21.550171692469011"/>
    <s v="20–22°C"/>
    <n v="3.08"/>
    <n v="2026"/>
    <x v="2"/>
    <n v="3"/>
    <n v="2"/>
    <n v="17"/>
    <n v="0.26666666666666666"/>
    <n v="0.38500000000000001"/>
    <x v="3"/>
  </r>
  <r>
    <d v="2026-03-03T18:00:00"/>
    <x v="3"/>
    <s v="R110"/>
    <n v="16"/>
    <n v="25"/>
    <n v="23.038615058452262"/>
    <s v="22–24°C"/>
    <n v="4.5999999999999996"/>
    <n v="2026"/>
    <x v="2"/>
    <n v="3"/>
    <n v="2"/>
    <n v="18"/>
    <n v="0.64"/>
    <n v="0.28749999999999998"/>
    <x v="3"/>
  </r>
  <r>
    <d v="2026-03-03T20:00:00"/>
    <x v="4"/>
    <s v="R103"/>
    <n v="2"/>
    <n v="30"/>
    <n v="21.875812379703628"/>
    <s v="20–22°C"/>
    <n v="1.82"/>
    <n v="2026"/>
    <x v="2"/>
    <n v="3"/>
    <n v="2"/>
    <n v="20"/>
    <n v="6.6666666666666666E-2"/>
    <n v="0.91"/>
    <x v="3"/>
  </r>
  <r>
    <d v="2026-03-03T21:00:00"/>
    <x v="0"/>
    <s v="R111"/>
    <n v="11"/>
    <n v="20"/>
    <n v="21.92497945830991"/>
    <s v="20–22°C"/>
    <n v="3.4"/>
    <n v="2026"/>
    <x v="2"/>
    <n v="3"/>
    <n v="2"/>
    <n v="21"/>
    <n v="0.55000000000000004"/>
    <n v="0.30909090909090908"/>
    <x v="0"/>
  </r>
  <r>
    <d v="2026-03-03T22:00:00"/>
    <x v="3"/>
    <s v="R104"/>
    <n v="7"/>
    <n v="25"/>
    <n v="23.642926174605961"/>
    <s v="22–24°C"/>
    <n v="3.22"/>
    <n v="2026"/>
    <x v="2"/>
    <n v="3"/>
    <n v="2"/>
    <n v="22"/>
    <n v="0.28000000000000003"/>
    <n v="0.46"/>
    <x v="0"/>
  </r>
  <r>
    <d v="2026-03-03T23:00:00"/>
    <x v="2"/>
    <s v="R103"/>
    <n v="10"/>
    <n v="20"/>
    <n v="21.591279351558239"/>
    <s v="20–22°C"/>
    <n v="3.42"/>
    <n v="2026"/>
    <x v="2"/>
    <n v="3"/>
    <n v="2"/>
    <n v="23"/>
    <n v="0.5"/>
    <n v="0.34199999999999997"/>
    <x v="0"/>
  </r>
  <r>
    <d v="2026-03-04T00:00:00"/>
    <x v="0"/>
    <s v="R114"/>
    <n v="6"/>
    <n v="20"/>
    <n v="24.607858559169749"/>
    <s v="24–26°C"/>
    <n v="2.71"/>
    <n v="2026"/>
    <x v="2"/>
    <n v="4"/>
    <n v="3"/>
    <n v="0"/>
    <n v="0.3"/>
    <n v="0.45166666666666666"/>
    <x v="0"/>
  </r>
  <r>
    <d v="2026-03-04T01:00:00"/>
    <x v="0"/>
    <s v="R119"/>
    <n v="11"/>
    <n v="30"/>
    <n v="20.74725920771003"/>
    <s v="20–22°C"/>
    <n v="3.93"/>
    <n v="2026"/>
    <x v="2"/>
    <n v="4"/>
    <n v="3"/>
    <n v="1"/>
    <n v="0.36666666666666664"/>
    <n v="0.3572727272727273"/>
    <x v="0"/>
  </r>
  <r>
    <d v="2026-03-04T02:00:00"/>
    <x v="3"/>
    <s v="R113"/>
    <n v="8"/>
    <n v="25"/>
    <n v="23.72381567272198"/>
    <s v="22–24°C"/>
    <n v="2.69"/>
    <n v="2026"/>
    <x v="2"/>
    <n v="4"/>
    <n v="3"/>
    <n v="2"/>
    <n v="0.32"/>
    <n v="0.33624999999999999"/>
    <x v="0"/>
  </r>
  <r>
    <d v="2026-03-04T03:00:00"/>
    <x v="4"/>
    <s v="R106"/>
    <n v="9"/>
    <n v="40"/>
    <n v="21.734384801555631"/>
    <s v="20–22°C"/>
    <n v="3.51"/>
    <n v="2026"/>
    <x v="2"/>
    <n v="4"/>
    <n v="3"/>
    <n v="3"/>
    <n v="0.22500000000000001"/>
    <n v="0.38999999999999996"/>
    <x v="0"/>
  </r>
  <r>
    <d v="2026-03-04T04:00:00"/>
    <x v="4"/>
    <s v="R104"/>
    <n v="9"/>
    <n v="30"/>
    <n v="21.925671475223361"/>
    <s v="20–22°C"/>
    <n v="2.62"/>
    <n v="2026"/>
    <x v="2"/>
    <n v="4"/>
    <n v="3"/>
    <n v="4"/>
    <n v="0.3"/>
    <n v="0.2911111111111111"/>
    <x v="0"/>
  </r>
  <r>
    <d v="2026-03-04T05:00:00"/>
    <x v="2"/>
    <s v="R104"/>
    <n v="8"/>
    <n v="25"/>
    <n v="27.723781406340429"/>
    <s v="26–28°C"/>
    <n v="3.67"/>
    <n v="2026"/>
    <x v="2"/>
    <n v="4"/>
    <n v="3"/>
    <n v="5"/>
    <n v="0.32"/>
    <n v="0.45874999999999999"/>
    <x v="0"/>
  </r>
  <r>
    <d v="2026-03-04T06:00:00"/>
    <x v="3"/>
    <s v="R115"/>
    <n v="14"/>
    <n v="30"/>
    <n v="23.922456522997599"/>
    <s v="22–24°C"/>
    <n v="4.43"/>
    <n v="2026"/>
    <x v="2"/>
    <n v="4"/>
    <n v="3"/>
    <n v="6"/>
    <n v="0.46666666666666667"/>
    <n v="0.31642857142857139"/>
    <x v="0"/>
  </r>
  <r>
    <d v="2026-03-04T07:00:00"/>
    <x v="2"/>
    <s v="R101"/>
    <n v="1"/>
    <n v="25"/>
    <n v="26.512755975255981"/>
    <s v="26–28°C"/>
    <n v="2.19"/>
    <n v="2026"/>
    <x v="2"/>
    <n v="4"/>
    <n v="3"/>
    <n v="7"/>
    <n v="0.04"/>
    <n v="2.19"/>
    <x v="1"/>
  </r>
  <r>
    <d v="2026-03-04T08:00:00"/>
    <x v="0"/>
    <s v="R110"/>
    <n v="9"/>
    <n v="20"/>
    <n v="22.292418537715371"/>
    <s v="22–24°C"/>
    <n v="3.12"/>
    <n v="2026"/>
    <x v="2"/>
    <n v="4"/>
    <n v="3"/>
    <n v="8"/>
    <n v="0.45"/>
    <n v="0.34666666666666668"/>
    <x v="1"/>
  </r>
  <r>
    <d v="2026-03-04T09:00:00"/>
    <x v="4"/>
    <s v="R103"/>
    <n v="10"/>
    <n v="30"/>
    <n v="21.370994815435161"/>
    <s v="20–22°C"/>
    <n v="3.2"/>
    <n v="2026"/>
    <x v="2"/>
    <n v="4"/>
    <n v="3"/>
    <n v="9"/>
    <n v="0.33333333333333331"/>
    <n v="0.32"/>
    <x v="1"/>
  </r>
  <r>
    <d v="2026-03-04T10:00:00"/>
    <x v="3"/>
    <s v="R102"/>
    <n v="7"/>
    <n v="40"/>
    <n v="24.933080829998829"/>
    <s v="24–26°C"/>
    <n v="3.42"/>
    <n v="2026"/>
    <x v="2"/>
    <n v="4"/>
    <n v="3"/>
    <n v="10"/>
    <n v="0.17499999999999999"/>
    <n v="0.48857142857142855"/>
    <x v="1"/>
  </r>
  <r>
    <d v="2026-03-04T11:00:00"/>
    <x v="3"/>
    <s v="R108"/>
    <n v="7"/>
    <n v="25"/>
    <n v="24.337837752687449"/>
    <s v="24–26°C"/>
    <n v="2.72"/>
    <n v="2026"/>
    <x v="2"/>
    <n v="4"/>
    <n v="3"/>
    <n v="11"/>
    <n v="0.28000000000000003"/>
    <n v="0.3885714285714286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2954D-9994-418B-A3F9-4A8B5DB7083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2:B36" firstHeaderRow="1" firstDataRow="1" firstDataCol="1"/>
  <pivotFields count="16"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n="January" x="0"/>
        <item n="February" x="1"/>
        <item n="March"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nergy_kWh" fld="7" subtotal="average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1F3F2-F39E-4F11-B090-4667D7C76B9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6">
    <pivotField numFmtId="22"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Energy_kWh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183E9-5E43-45BD-B65D-311CD43FF1E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F29" firstHeaderRow="1" firstDataRow="2" firstDataCol="1"/>
  <pivotFields count="16">
    <pivotField numFmtId="22"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nergy_kWh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35311-8F78-4463-9909-9AFC7A4001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3:B18" firstHeaderRow="1" firstDataRow="1" firstDataCol="1"/>
  <pivotFields count="16"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ergy_kWh" fld="7" subtotal="average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preserveFormatting="0" connectionId="1" xr16:uid="{41E4F1B0-E9BE-40F7-BEC3-62EB09F18F32}" autoFormatId="1" applyNumberFormats="0" applyBorderFormats="1" applyFontFormats="1" applyPatternFormats="1" applyAlignmentFormats="1" applyWidthHeightFormats="0">
  <queryTableRefresh nextId="25">
    <queryTableFields count="16">
      <queryTableField id="1" name="Timestamp" tableColumnId="1"/>
      <queryTableField id="2" name="BuildingID" tableColumnId="2"/>
      <queryTableField id="3" name="RoomID" tableColumnId="3"/>
      <queryTableField id="4" name="Occupancy" tableColumnId="4"/>
      <queryTableField id="5" name="RoomCapacity" tableColumnId="5"/>
      <queryTableField id="6" name="Temperature_C" tableColumnId="6"/>
      <queryTableField id="18" dataBound="0" tableColumnId="18"/>
      <queryTableField id="7" name="Energy_kWh" tableColumnId="7"/>
      <queryTableField id="8" name="Year" tableColumnId="8"/>
      <queryTableField id="9" name="Month" tableColumnId="9"/>
      <queryTableField id="10" name="Day" tableColumnId="10"/>
      <queryTableField id="11" name="Day of Week" tableColumnId="11"/>
      <queryTableField id="12" name="Hour" tableColumnId="12"/>
      <queryTableField id="13" name="Occupancy_Rate" tableColumnId="13"/>
      <queryTableField id="14" name="Energy_Per_Person" tableColumnId="14"/>
      <queryTableField id="15" name="ShiftPerio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99493-D22D-40F4-9096-FAF23D13E427}" name="FinalData" displayName="FinalData" ref="A1:P1499" tableType="queryTable" totalsRowShown="0">
  <autoFilter ref="A1:P1499" xr:uid="{27099493-D22D-40F4-9096-FAF23D13E427}">
    <filterColumn colId="1">
      <filters>
        <filter val="B01"/>
      </filters>
    </filterColumn>
    <filterColumn colId="15">
      <filters>
        <filter val="Morning"/>
      </filters>
    </filterColumn>
  </autoFilter>
  <tableColumns count="16">
    <tableColumn id="1" xr3:uid="{6671A9F0-1D18-4788-BBAA-9BA5DDF2774E}" uniqueName="1" name="Timestamp" queryTableFieldId="1" dataDxfId="3"/>
    <tableColumn id="2" xr3:uid="{F4A042B2-9902-47C0-A419-B8702F123DB4}" uniqueName="2" name="BuildingID" queryTableFieldId="2" dataDxfId="2"/>
    <tableColumn id="3" xr3:uid="{516EFA2C-CFAA-45AB-8405-5C0136CC8308}" uniqueName="3" name="RoomID" queryTableFieldId="3" dataDxfId="1"/>
    <tableColumn id="4" xr3:uid="{045FEEAC-F3A0-42D5-A0CC-E9284F55D807}" uniqueName="4" name="Occupancy" queryTableFieldId="4"/>
    <tableColumn id="5" xr3:uid="{CC996E22-173D-4D13-922E-9EEE77F17AA4}" uniqueName="5" name="RoomCapacity" queryTableFieldId="5"/>
    <tableColumn id="6" xr3:uid="{524B579F-1038-429F-9FEE-B38B657ACF56}" uniqueName="6" name="Temperature_C" queryTableFieldId="6"/>
    <tableColumn id="18" xr3:uid="{27620B2F-A241-4E2A-B9EC-F8E4E08BFC71}" uniqueName="18" name="Temp_Bin" queryTableFieldId="18" dataDxfId="0">
      <calculatedColumnFormula>FLOOR(FinalData[[#This Row],[Temperature_C]],2)&amp;"–"&amp;(FLOOR(FinalData[[#This Row],[Temperature_C]],2)+2)&amp;"°C"</calculatedColumnFormula>
    </tableColumn>
    <tableColumn id="7" xr3:uid="{22977611-5210-43F9-AA21-19C93AF5AC14}" uniqueName="7" name="Energy_kWh" queryTableFieldId="7"/>
    <tableColumn id="8" xr3:uid="{772C7ACF-7237-446B-8516-2F1BBBAFCB43}" uniqueName="8" name="Year" queryTableFieldId="8"/>
    <tableColumn id="9" xr3:uid="{97C21C11-EDBA-4806-82B5-0F8DA7B588EE}" uniqueName="9" name="Month" queryTableFieldId="9"/>
    <tableColumn id="10" xr3:uid="{2C8C3F6F-E401-41ED-A382-82F1CE2BBE94}" uniqueName="10" name="Day" queryTableFieldId="10"/>
    <tableColumn id="11" xr3:uid="{3B6223D8-A9C5-4D76-99C5-1A0318BD5142}" uniqueName="11" name="Day of Week" queryTableFieldId="11"/>
    <tableColumn id="12" xr3:uid="{785EE157-1D6A-44A8-AB59-D04FD8CBCD59}" uniqueName="12" name="Hour" queryTableFieldId="12"/>
    <tableColumn id="13" xr3:uid="{C36FC478-60DF-4B20-BB1E-241FB3798F4C}" uniqueName="13" name="Occupancy_Rate" queryTableFieldId="13"/>
    <tableColumn id="14" xr3:uid="{9786932E-C83F-4BB2-9597-6F6DB57AC44E}" uniqueName="14" name="Energy_Per_Person" queryTableFieldId="14"/>
    <tableColumn id="15" xr3:uid="{01498874-5C5F-43CF-B82A-92357AB9DBD6}" uniqueName="15" name="ShiftPeriod" queryTableFieldId="1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3C4A-2BC0-43E6-BF7A-5EE1D886BC4B}">
  <dimension ref="A1"/>
  <sheetViews>
    <sheetView topLeftCell="A2" workbookViewId="0">
      <selection activeCell="A18" sqref="A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D509-A305-4DC8-A27B-DF8034DBE2AF}">
  <dimension ref="A1:S1499"/>
  <sheetViews>
    <sheetView zoomScaleNormal="100" workbookViewId="0">
      <selection activeCell="A1500" sqref="A1500"/>
    </sheetView>
  </sheetViews>
  <sheetFormatPr defaultRowHeight="15" x14ac:dyDescent="0.25"/>
  <cols>
    <col min="1" max="1" width="15.85546875" bestFit="1" customWidth="1"/>
    <col min="2" max="2" width="15" bestFit="1" customWidth="1"/>
    <col min="3" max="3" width="13.140625" bestFit="1" customWidth="1"/>
    <col min="4" max="4" width="15.7109375" bestFit="1" customWidth="1"/>
    <col min="5" max="5" width="19" bestFit="1" customWidth="1"/>
    <col min="6" max="6" width="19.7109375" bestFit="1" customWidth="1"/>
    <col min="7" max="7" width="14.7109375" bestFit="1" customWidth="1"/>
    <col min="8" max="8" width="17.140625" bestFit="1" customWidth="1"/>
    <col min="9" max="9" width="10" bestFit="1" customWidth="1"/>
    <col min="10" max="10" width="12.140625" bestFit="1" customWidth="1"/>
    <col min="11" max="11" width="9.5703125" bestFit="1" customWidth="1"/>
    <col min="12" max="12" width="17.140625" bestFit="1" customWidth="1"/>
    <col min="13" max="13" width="10.42578125" bestFit="1" customWidth="1"/>
    <col min="14" max="14" width="20.85546875" bestFit="1" customWidth="1"/>
    <col min="15" max="15" width="23.28515625" bestFit="1" customWidth="1"/>
    <col min="16" max="16" width="15.710937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44</v>
      </c>
      <c r="H1" s="2" t="s">
        <v>6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S1" s="2"/>
    </row>
    <row r="2" spans="1:19" hidden="1" x14ac:dyDescent="0.25">
      <c r="A2" s="12">
        <v>46023</v>
      </c>
      <c r="B2" t="s">
        <v>7</v>
      </c>
      <c r="C2" t="s">
        <v>8</v>
      </c>
      <c r="D2">
        <v>6</v>
      </c>
      <c r="E2">
        <v>30</v>
      </c>
      <c r="F2">
        <v>23.558082584400271</v>
      </c>
      <c r="G2" t="str">
        <f>FLOOR(FinalData[[#This Row],[Temperature_C]],2)&amp;"–"&amp;(FLOOR(FinalData[[#This Row],[Temperature_C]],2)+2)&amp;"°C"</f>
        <v>22–24°C</v>
      </c>
      <c r="H2">
        <v>2.84</v>
      </c>
      <c r="I2">
        <v>2026</v>
      </c>
      <c r="J2">
        <v>1</v>
      </c>
      <c r="K2">
        <v>1</v>
      </c>
      <c r="L2">
        <v>4</v>
      </c>
      <c r="M2">
        <v>0</v>
      </c>
      <c r="N2">
        <v>0.2</v>
      </c>
      <c r="O2">
        <v>0.47333333333333333</v>
      </c>
      <c r="P2" t="s">
        <v>40</v>
      </c>
      <c r="S2">
        <v>7</v>
      </c>
    </row>
    <row r="3" spans="1:19" hidden="1" x14ac:dyDescent="0.25">
      <c r="A3" s="12">
        <v>46023.041666666664</v>
      </c>
      <c r="B3" t="s">
        <v>9</v>
      </c>
      <c r="C3" t="s">
        <v>10</v>
      </c>
      <c r="D3">
        <v>6</v>
      </c>
      <c r="E3">
        <v>30</v>
      </c>
      <c r="F3">
        <v>23.483924543132069</v>
      </c>
      <c r="G3" t="str">
        <f>FLOOR(FinalData[[#This Row],[Temperature_C]],2)&amp;"–"&amp;(FLOOR(FinalData[[#This Row],[Temperature_C]],2)+2)&amp;"°C"</f>
        <v>22–24°C</v>
      </c>
      <c r="H3">
        <v>1.95</v>
      </c>
      <c r="I3">
        <v>2026</v>
      </c>
      <c r="J3">
        <v>1</v>
      </c>
      <c r="K3">
        <v>1</v>
      </c>
      <c r="L3">
        <v>4</v>
      </c>
      <c r="M3">
        <v>1</v>
      </c>
      <c r="N3">
        <v>0.2</v>
      </c>
      <c r="O3">
        <v>0.32500000000000001</v>
      </c>
      <c r="P3" t="s">
        <v>40</v>
      </c>
      <c r="S3">
        <v>11</v>
      </c>
    </row>
    <row r="4" spans="1:19" hidden="1" x14ac:dyDescent="0.25">
      <c r="A4" s="12">
        <v>46023.083333333336</v>
      </c>
      <c r="B4" t="s">
        <v>9</v>
      </c>
      <c r="C4" t="s">
        <v>8</v>
      </c>
      <c r="D4">
        <v>8</v>
      </c>
      <c r="E4">
        <v>40</v>
      </c>
      <c r="F4">
        <v>28.118976062075589</v>
      </c>
      <c r="G4" t="str">
        <f>FLOOR(FinalData[[#This Row],[Temperature_C]],2)&amp;"–"&amp;(FLOOR(FinalData[[#This Row],[Temperature_C]],2)+2)&amp;"°C"</f>
        <v>28–30°C</v>
      </c>
      <c r="H4">
        <v>3.84</v>
      </c>
      <c r="I4">
        <v>2026</v>
      </c>
      <c r="J4">
        <v>1</v>
      </c>
      <c r="K4">
        <v>1</v>
      </c>
      <c r="L4">
        <v>4</v>
      </c>
      <c r="M4">
        <v>2</v>
      </c>
      <c r="N4">
        <v>0.2</v>
      </c>
      <c r="O4">
        <v>0.48</v>
      </c>
      <c r="P4" t="s">
        <v>40</v>
      </c>
      <c r="S4">
        <v>10</v>
      </c>
    </row>
    <row r="5" spans="1:19" hidden="1" x14ac:dyDescent="0.25">
      <c r="A5" s="12">
        <v>46023.125</v>
      </c>
      <c r="B5" t="s">
        <v>11</v>
      </c>
      <c r="C5" t="s">
        <v>8</v>
      </c>
      <c r="D5">
        <v>3</v>
      </c>
      <c r="E5">
        <v>30</v>
      </c>
      <c r="F5">
        <v>21.799492299788181</v>
      </c>
      <c r="G5" t="str">
        <f>FLOOR(FinalData[[#This Row],[Temperature_C]],2)&amp;"–"&amp;(FLOOR(FinalData[[#This Row],[Temperature_C]],2)+2)&amp;"°C"</f>
        <v>20–22°C</v>
      </c>
      <c r="H5">
        <v>1.86</v>
      </c>
      <c r="I5">
        <v>2026</v>
      </c>
      <c r="J5">
        <v>1</v>
      </c>
      <c r="K5">
        <v>1</v>
      </c>
      <c r="L5">
        <v>4</v>
      </c>
      <c r="M5">
        <v>3</v>
      </c>
      <c r="N5">
        <v>0.1</v>
      </c>
      <c r="O5">
        <v>0.62</v>
      </c>
      <c r="P5" t="s">
        <v>40</v>
      </c>
      <c r="S5">
        <v>7</v>
      </c>
    </row>
    <row r="6" spans="1:19" hidden="1" x14ac:dyDescent="0.25">
      <c r="A6" s="12">
        <v>46023.166666666664</v>
      </c>
      <c r="B6" t="s">
        <v>9</v>
      </c>
      <c r="C6" t="s">
        <v>12</v>
      </c>
      <c r="D6">
        <v>5</v>
      </c>
      <c r="E6">
        <v>25</v>
      </c>
      <c r="F6">
        <v>22.54109909233609</v>
      </c>
      <c r="G6" t="str">
        <f>FLOOR(FinalData[[#This Row],[Temperature_C]],2)&amp;"–"&amp;(FLOOR(FinalData[[#This Row],[Temperature_C]],2)+2)&amp;"°C"</f>
        <v>22–24°C</v>
      </c>
      <c r="H6">
        <v>2.25</v>
      </c>
      <c r="I6">
        <v>2026</v>
      </c>
      <c r="J6">
        <v>1</v>
      </c>
      <c r="K6">
        <v>1</v>
      </c>
      <c r="L6">
        <v>4</v>
      </c>
      <c r="M6">
        <v>4</v>
      </c>
      <c r="N6">
        <v>0.2</v>
      </c>
      <c r="O6">
        <v>0.45</v>
      </c>
      <c r="P6" t="s">
        <v>40</v>
      </c>
      <c r="S6">
        <v>7</v>
      </c>
    </row>
    <row r="7" spans="1:19" hidden="1" x14ac:dyDescent="0.25">
      <c r="A7" s="12">
        <v>46023.208333333336</v>
      </c>
      <c r="B7" t="s">
        <v>13</v>
      </c>
      <c r="C7" t="s">
        <v>14</v>
      </c>
      <c r="D7">
        <v>11</v>
      </c>
      <c r="E7">
        <v>20</v>
      </c>
      <c r="F7">
        <v>20.981829314269781</v>
      </c>
      <c r="G7" t="str">
        <f>FLOOR(FinalData[[#This Row],[Temperature_C]],2)&amp;"–"&amp;(FLOOR(FinalData[[#This Row],[Temperature_C]],2)+2)&amp;"°C"</f>
        <v>20–22°C</v>
      </c>
      <c r="H7">
        <v>3.23</v>
      </c>
      <c r="I7">
        <v>2026</v>
      </c>
      <c r="J7">
        <v>1</v>
      </c>
      <c r="K7">
        <v>1</v>
      </c>
      <c r="L7">
        <v>4</v>
      </c>
      <c r="M7">
        <v>5</v>
      </c>
      <c r="N7">
        <v>0.55000000000000004</v>
      </c>
      <c r="O7">
        <v>0.29363636363636364</v>
      </c>
      <c r="P7" t="s">
        <v>40</v>
      </c>
      <c r="S7">
        <v>6</v>
      </c>
    </row>
    <row r="8" spans="1:19" hidden="1" x14ac:dyDescent="0.25">
      <c r="A8" s="12">
        <v>46023.25</v>
      </c>
      <c r="B8" t="s">
        <v>13</v>
      </c>
      <c r="C8" t="s">
        <v>15</v>
      </c>
      <c r="D8">
        <v>7</v>
      </c>
      <c r="E8">
        <v>20</v>
      </c>
      <c r="F8">
        <v>24.164245589426081</v>
      </c>
      <c r="G8" t="str">
        <f>FLOOR(FinalData[[#This Row],[Temperature_C]],2)&amp;"–"&amp;(FLOOR(FinalData[[#This Row],[Temperature_C]],2)+2)&amp;"°C"</f>
        <v>24–26°C</v>
      </c>
      <c r="H8">
        <v>3.14</v>
      </c>
      <c r="I8">
        <v>2026</v>
      </c>
      <c r="J8">
        <v>1</v>
      </c>
      <c r="K8">
        <v>1</v>
      </c>
      <c r="L8">
        <v>4</v>
      </c>
      <c r="M8">
        <v>6</v>
      </c>
      <c r="N8">
        <v>0.35</v>
      </c>
      <c r="O8">
        <v>0.44857142857142857</v>
      </c>
      <c r="P8" t="s">
        <v>40</v>
      </c>
      <c r="S8">
        <v>5</v>
      </c>
    </row>
    <row r="9" spans="1:19" x14ac:dyDescent="0.25">
      <c r="A9" s="12">
        <v>46023.291666666664</v>
      </c>
      <c r="B9" t="s">
        <v>11</v>
      </c>
      <c r="C9" t="s">
        <v>16</v>
      </c>
      <c r="D9">
        <v>7</v>
      </c>
      <c r="E9">
        <v>20</v>
      </c>
      <c r="F9">
        <v>22.644535757458691</v>
      </c>
      <c r="G9" t="str">
        <f>FLOOR(FinalData[[#This Row],[Temperature_C]],2)&amp;"–"&amp;(FLOOR(FinalData[[#This Row],[Temperature_C]],2)+2)&amp;"°C"</f>
        <v>22–24°C</v>
      </c>
      <c r="H9">
        <v>2.52</v>
      </c>
      <c r="I9">
        <v>2026</v>
      </c>
      <c r="J9">
        <v>1</v>
      </c>
      <c r="K9">
        <v>1</v>
      </c>
      <c r="L9">
        <v>4</v>
      </c>
      <c r="M9">
        <v>7</v>
      </c>
      <c r="N9">
        <v>0.35</v>
      </c>
      <c r="O9">
        <v>0.36</v>
      </c>
      <c r="P9" t="s">
        <v>41</v>
      </c>
      <c r="S9">
        <v>7</v>
      </c>
    </row>
    <row r="10" spans="1:19" hidden="1" x14ac:dyDescent="0.25">
      <c r="A10" s="12">
        <v>46023.333333333336</v>
      </c>
      <c r="B10" t="s">
        <v>7</v>
      </c>
      <c r="C10" t="s">
        <v>17</v>
      </c>
      <c r="D10">
        <v>12</v>
      </c>
      <c r="E10">
        <v>20</v>
      </c>
      <c r="F10">
        <v>23.174094136476342</v>
      </c>
      <c r="G10" t="str">
        <f>FLOOR(FinalData[[#This Row],[Temperature_C]],2)&amp;"–"&amp;(FLOOR(FinalData[[#This Row],[Temperature_C]],2)+2)&amp;"°C"</f>
        <v>22–24°C</v>
      </c>
      <c r="H10">
        <v>3.89</v>
      </c>
      <c r="I10">
        <v>2026</v>
      </c>
      <c r="J10">
        <v>1</v>
      </c>
      <c r="K10">
        <v>1</v>
      </c>
      <c r="L10">
        <v>4</v>
      </c>
      <c r="M10">
        <v>8</v>
      </c>
      <c r="N10">
        <v>0.6</v>
      </c>
      <c r="O10">
        <v>0.32416666666666666</v>
      </c>
      <c r="P10" t="s">
        <v>41</v>
      </c>
      <c r="S10">
        <v>6</v>
      </c>
    </row>
    <row r="11" spans="1:19" hidden="1" x14ac:dyDescent="0.25">
      <c r="A11" s="12">
        <v>46023.375</v>
      </c>
      <c r="B11" t="s">
        <v>18</v>
      </c>
      <c r="C11" t="s">
        <v>19</v>
      </c>
      <c r="D11">
        <v>7</v>
      </c>
      <c r="E11">
        <v>40</v>
      </c>
      <c r="F11">
        <v>21.38301279421362</v>
      </c>
      <c r="G11" t="str">
        <f>FLOOR(FinalData[[#This Row],[Temperature_C]],2)&amp;"–"&amp;(FLOOR(FinalData[[#This Row],[Temperature_C]],2)+2)&amp;"°C"</f>
        <v>20–22°C</v>
      </c>
      <c r="H11">
        <v>2.4900000000000002</v>
      </c>
      <c r="I11">
        <v>2026</v>
      </c>
      <c r="J11">
        <v>1</v>
      </c>
      <c r="K11">
        <v>1</v>
      </c>
      <c r="L11">
        <v>4</v>
      </c>
      <c r="M11">
        <v>9</v>
      </c>
      <c r="N11">
        <v>0.17499999999999999</v>
      </c>
      <c r="O11">
        <v>0.35571428571428576</v>
      </c>
      <c r="P11" t="s">
        <v>41</v>
      </c>
      <c r="S11">
        <v>7</v>
      </c>
    </row>
    <row r="12" spans="1:19" hidden="1" x14ac:dyDescent="0.25">
      <c r="A12" s="12">
        <v>46023.416666666664</v>
      </c>
      <c r="B12" t="s">
        <v>18</v>
      </c>
      <c r="C12" t="s">
        <v>16</v>
      </c>
      <c r="D12">
        <v>12</v>
      </c>
      <c r="E12">
        <v>30</v>
      </c>
      <c r="F12">
        <v>25.547467240279111</v>
      </c>
      <c r="G12" t="str">
        <f>FLOOR(FinalData[[#This Row],[Temperature_C]],2)&amp;"–"&amp;(FLOOR(FinalData[[#This Row],[Temperature_C]],2)+2)&amp;"°C"</f>
        <v>24–26°C</v>
      </c>
      <c r="H12">
        <v>4.24</v>
      </c>
      <c r="I12">
        <v>2026</v>
      </c>
      <c r="J12">
        <v>1</v>
      </c>
      <c r="K12">
        <v>1</v>
      </c>
      <c r="L12">
        <v>4</v>
      </c>
      <c r="M12">
        <v>10</v>
      </c>
      <c r="N12">
        <v>0.4</v>
      </c>
      <c r="O12">
        <v>0.35333333333333333</v>
      </c>
      <c r="P12" t="s">
        <v>41</v>
      </c>
      <c r="S12">
        <v>5</v>
      </c>
    </row>
    <row r="13" spans="1:19" hidden="1" x14ac:dyDescent="0.25">
      <c r="A13" s="12">
        <v>46023.458333333336</v>
      </c>
      <c r="B13" t="s">
        <v>7</v>
      </c>
      <c r="C13" t="s">
        <v>10</v>
      </c>
      <c r="D13">
        <v>4</v>
      </c>
      <c r="E13">
        <v>25</v>
      </c>
      <c r="F13">
        <v>22.314570966946459</v>
      </c>
      <c r="G13" t="str">
        <f>FLOOR(FinalData[[#This Row],[Temperature_C]],2)&amp;"–"&amp;(FLOOR(FinalData[[#This Row],[Temperature_C]],2)+2)&amp;"°C"</f>
        <v>22–24°C</v>
      </c>
      <c r="H13">
        <v>1.61</v>
      </c>
      <c r="I13">
        <v>2026</v>
      </c>
      <c r="J13">
        <v>1</v>
      </c>
      <c r="K13">
        <v>1</v>
      </c>
      <c r="L13">
        <v>4</v>
      </c>
      <c r="M13">
        <v>11</v>
      </c>
      <c r="N13">
        <v>0.16</v>
      </c>
      <c r="O13">
        <v>0.40250000000000002</v>
      </c>
      <c r="P13" t="s">
        <v>41</v>
      </c>
      <c r="S13">
        <v>9</v>
      </c>
    </row>
    <row r="14" spans="1:19" hidden="1" x14ac:dyDescent="0.25">
      <c r="A14" s="12">
        <v>46023.5</v>
      </c>
      <c r="B14" t="s">
        <v>7</v>
      </c>
      <c r="C14" t="s">
        <v>20</v>
      </c>
      <c r="D14">
        <v>11</v>
      </c>
      <c r="E14">
        <v>30</v>
      </c>
      <c r="F14">
        <v>23.12046041988205</v>
      </c>
      <c r="G14" t="str">
        <f>FLOOR(FinalData[[#This Row],[Temperature_C]],2)&amp;"–"&amp;(FLOOR(FinalData[[#This Row],[Temperature_C]],2)+2)&amp;"°C"</f>
        <v>22–24°C</v>
      </c>
      <c r="H14">
        <v>4.46</v>
      </c>
      <c r="I14">
        <v>2026</v>
      </c>
      <c r="J14">
        <v>1</v>
      </c>
      <c r="K14">
        <v>1</v>
      </c>
      <c r="L14">
        <v>4</v>
      </c>
      <c r="M14">
        <v>12</v>
      </c>
      <c r="N14">
        <v>0.36666666666666664</v>
      </c>
      <c r="O14">
        <v>0.40545454545454546</v>
      </c>
      <c r="P14" t="s">
        <v>42</v>
      </c>
      <c r="S14">
        <v>8</v>
      </c>
    </row>
    <row r="15" spans="1:19" hidden="1" x14ac:dyDescent="0.25">
      <c r="A15" s="12">
        <v>46023.541666666664</v>
      </c>
      <c r="B15" t="s">
        <v>7</v>
      </c>
      <c r="C15" t="s">
        <v>21</v>
      </c>
      <c r="D15">
        <v>5</v>
      </c>
      <c r="E15">
        <v>25</v>
      </c>
      <c r="F15">
        <v>25.285645629030039</v>
      </c>
      <c r="G15" t="str">
        <f>FLOOR(FinalData[[#This Row],[Temperature_C]],2)&amp;"–"&amp;(FLOOR(FinalData[[#This Row],[Temperature_C]],2)+2)&amp;"°C"</f>
        <v>24–26°C</v>
      </c>
      <c r="H15">
        <v>2.77</v>
      </c>
      <c r="I15">
        <v>2026</v>
      </c>
      <c r="J15">
        <v>1</v>
      </c>
      <c r="K15">
        <v>1</v>
      </c>
      <c r="L15">
        <v>4</v>
      </c>
      <c r="M15">
        <v>13</v>
      </c>
      <c r="N15">
        <v>0.2</v>
      </c>
      <c r="O15">
        <v>0.55400000000000005</v>
      </c>
      <c r="P15" t="s">
        <v>42</v>
      </c>
      <c r="S15">
        <v>12</v>
      </c>
    </row>
    <row r="16" spans="1:19" hidden="1" x14ac:dyDescent="0.25">
      <c r="A16" s="12">
        <v>46023.583333333336</v>
      </c>
      <c r="B16" t="s">
        <v>18</v>
      </c>
      <c r="C16" t="s">
        <v>22</v>
      </c>
      <c r="D16">
        <v>8</v>
      </c>
      <c r="E16">
        <v>20</v>
      </c>
      <c r="F16">
        <v>26.413209907356919</v>
      </c>
      <c r="G16" t="str">
        <f>FLOOR(FinalData[[#This Row],[Temperature_C]],2)&amp;"–"&amp;(FLOOR(FinalData[[#This Row],[Temperature_C]],2)+2)&amp;"°C"</f>
        <v>26–28°C</v>
      </c>
      <c r="H16">
        <v>3.72</v>
      </c>
      <c r="I16">
        <v>2026</v>
      </c>
      <c r="J16">
        <v>1</v>
      </c>
      <c r="K16">
        <v>1</v>
      </c>
      <c r="L16">
        <v>4</v>
      </c>
      <c r="M16">
        <v>14</v>
      </c>
      <c r="N16">
        <v>0.4</v>
      </c>
      <c r="O16">
        <v>0.46500000000000002</v>
      </c>
      <c r="P16" t="s">
        <v>42</v>
      </c>
      <c r="S16">
        <v>8</v>
      </c>
    </row>
    <row r="17" spans="1:19" hidden="1" x14ac:dyDescent="0.25">
      <c r="A17" s="12">
        <v>46023.625</v>
      </c>
      <c r="B17" t="s">
        <v>11</v>
      </c>
      <c r="C17" t="s">
        <v>10</v>
      </c>
      <c r="D17">
        <v>4</v>
      </c>
      <c r="E17">
        <v>30</v>
      </c>
      <c r="F17">
        <v>21.16115153153239</v>
      </c>
      <c r="G17" t="str">
        <f>FLOOR(FinalData[[#This Row],[Temperature_C]],2)&amp;"–"&amp;(FLOOR(FinalData[[#This Row],[Temperature_C]],2)+2)&amp;"°C"</f>
        <v>20–22°C</v>
      </c>
      <c r="H17">
        <v>2.39</v>
      </c>
      <c r="I17">
        <v>2026</v>
      </c>
      <c r="J17">
        <v>1</v>
      </c>
      <c r="K17">
        <v>1</v>
      </c>
      <c r="L17">
        <v>4</v>
      </c>
      <c r="M17">
        <v>15</v>
      </c>
      <c r="N17">
        <v>0.13333333333333333</v>
      </c>
      <c r="O17">
        <v>0.59750000000000003</v>
      </c>
      <c r="P17" t="s">
        <v>42</v>
      </c>
      <c r="S17">
        <v>10</v>
      </c>
    </row>
    <row r="18" spans="1:19" hidden="1" x14ac:dyDescent="0.25">
      <c r="A18" s="12">
        <v>46023.666666666664</v>
      </c>
      <c r="B18" t="s">
        <v>13</v>
      </c>
      <c r="C18" t="s">
        <v>23</v>
      </c>
      <c r="D18">
        <v>9</v>
      </c>
      <c r="E18">
        <v>20</v>
      </c>
      <c r="F18">
        <v>19.785033530877541</v>
      </c>
      <c r="G18" t="str">
        <f>FLOOR(FinalData[[#This Row],[Temperature_C]],2)&amp;"–"&amp;(FLOOR(FinalData[[#This Row],[Temperature_C]],2)+2)&amp;"°C"</f>
        <v>18–20°C</v>
      </c>
      <c r="H18">
        <v>3.44</v>
      </c>
      <c r="I18">
        <v>2026</v>
      </c>
      <c r="J18">
        <v>1</v>
      </c>
      <c r="K18">
        <v>1</v>
      </c>
      <c r="L18">
        <v>4</v>
      </c>
      <c r="M18">
        <v>16</v>
      </c>
      <c r="N18">
        <v>0.45</v>
      </c>
      <c r="O18">
        <v>0.38222222222222224</v>
      </c>
      <c r="P18" t="s">
        <v>42</v>
      </c>
      <c r="S18">
        <v>5</v>
      </c>
    </row>
    <row r="19" spans="1:19" hidden="1" x14ac:dyDescent="0.25">
      <c r="A19" s="12">
        <v>46023.708333333336</v>
      </c>
      <c r="B19" t="s">
        <v>7</v>
      </c>
      <c r="C19" t="s">
        <v>24</v>
      </c>
      <c r="D19">
        <v>11</v>
      </c>
      <c r="E19">
        <v>40</v>
      </c>
      <c r="F19">
        <v>23.586144946597361</v>
      </c>
      <c r="G19" t="str">
        <f>FLOOR(FinalData[[#This Row],[Temperature_C]],2)&amp;"–"&amp;(FLOOR(FinalData[[#This Row],[Temperature_C]],2)+2)&amp;"°C"</f>
        <v>22–24°C</v>
      </c>
      <c r="H19">
        <v>3.57</v>
      </c>
      <c r="I19">
        <v>2026</v>
      </c>
      <c r="J19">
        <v>1</v>
      </c>
      <c r="K19">
        <v>1</v>
      </c>
      <c r="L19">
        <v>4</v>
      </c>
      <c r="M19">
        <v>17</v>
      </c>
      <c r="N19">
        <v>0.27500000000000002</v>
      </c>
      <c r="O19">
        <v>0.32454545454545453</v>
      </c>
      <c r="P19" t="s">
        <v>43</v>
      </c>
      <c r="S19">
        <v>9</v>
      </c>
    </row>
    <row r="20" spans="1:19" hidden="1" x14ac:dyDescent="0.25">
      <c r="A20" s="12">
        <v>46023.75</v>
      </c>
      <c r="B20" t="s">
        <v>11</v>
      </c>
      <c r="C20" t="s">
        <v>25</v>
      </c>
      <c r="D20">
        <v>3</v>
      </c>
      <c r="E20">
        <v>30</v>
      </c>
      <c r="F20">
        <v>20.6173930055947</v>
      </c>
      <c r="G20" t="str">
        <f>FLOOR(FinalData[[#This Row],[Temperature_C]],2)&amp;"–"&amp;(FLOOR(FinalData[[#This Row],[Temperature_C]],2)+2)&amp;"°C"</f>
        <v>20–22°C</v>
      </c>
      <c r="H20">
        <v>1.95</v>
      </c>
      <c r="I20">
        <v>2026</v>
      </c>
      <c r="J20">
        <v>1</v>
      </c>
      <c r="K20">
        <v>1</v>
      </c>
      <c r="L20">
        <v>4</v>
      </c>
      <c r="M20">
        <v>18</v>
      </c>
      <c r="N20">
        <v>0.1</v>
      </c>
      <c r="O20">
        <v>0.65</v>
      </c>
      <c r="P20" t="s">
        <v>43</v>
      </c>
      <c r="S20">
        <v>5</v>
      </c>
    </row>
    <row r="21" spans="1:19" hidden="1" x14ac:dyDescent="0.25">
      <c r="A21" s="12">
        <v>46023.791666666664</v>
      </c>
      <c r="B21" t="s">
        <v>9</v>
      </c>
      <c r="C21" t="s">
        <v>15</v>
      </c>
      <c r="D21">
        <v>9</v>
      </c>
      <c r="E21">
        <v>20</v>
      </c>
      <c r="F21">
        <v>21.220971140748951</v>
      </c>
      <c r="G21" t="str">
        <f>FLOOR(FinalData[[#This Row],[Temperature_C]],2)&amp;"–"&amp;(FLOOR(FinalData[[#This Row],[Temperature_C]],2)+2)&amp;"°C"</f>
        <v>20–22°C</v>
      </c>
      <c r="H21">
        <v>2.92</v>
      </c>
      <c r="I21">
        <v>2026</v>
      </c>
      <c r="J21">
        <v>1</v>
      </c>
      <c r="K21">
        <v>1</v>
      </c>
      <c r="L21">
        <v>4</v>
      </c>
      <c r="M21">
        <v>19</v>
      </c>
      <c r="N21">
        <v>0.45</v>
      </c>
      <c r="O21">
        <v>0.32444444444444442</v>
      </c>
      <c r="P21" t="s">
        <v>43</v>
      </c>
      <c r="S21">
        <v>5</v>
      </c>
    </row>
    <row r="22" spans="1:19" hidden="1" x14ac:dyDescent="0.25">
      <c r="A22" s="12">
        <v>46023.833333333336</v>
      </c>
      <c r="B22" t="s">
        <v>7</v>
      </c>
      <c r="C22" t="s">
        <v>24</v>
      </c>
      <c r="D22">
        <v>11</v>
      </c>
      <c r="E22">
        <v>40</v>
      </c>
      <c r="F22">
        <v>20.85821500387777</v>
      </c>
      <c r="G22" t="str">
        <f>FLOOR(FinalData[[#This Row],[Temperature_C]],2)&amp;"–"&amp;(FLOOR(FinalData[[#This Row],[Temperature_C]],2)+2)&amp;"°C"</f>
        <v>20–22°C</v>
      </c>
      <c r="H22">
        <v>3.87</v>
      </c>
      <c r="I22">
        <v>2026</v>
      </c>
      <c r="J22">
        <v>1</v>
      </c>
      <c r="K22">
        <v>1</v>
      </c>
      <c r="L22">
        <v>4</v>
      </c>
      <c r="M22">
        <v>20</v>
      </c>
      <c r="N22">
        <v>0.27500000000000002</v>
      </c>
      <c r="O22">
        <v>0.35181818181818181</v>
      </c>
      <c r="P22" t="s">
        <v>43</v>
      </c>
      <c r="S22">
        <v>8</v>
      </c>
    </row>
    <row r="23" spans="1:19" hidden="1" x14ac:dyDescent="0.25">
      <c r="A23" s="12">
        <v>46023.875</v>
      </c>
      <c r="B23" t="s">
        <v>18</v>
      </c>
      <c r="C23" t="s">
        <v>24</v>
      </c>
      <c r="D23">
        <v>11</v>
      </c>
      <c r="E23">
        <v>40</v>
      </c>
      <c r="F23">
        <v>22.106970095865961</v>
      </c>
      <c r="G23" t="str">
        <f>FLOOR(FinalData[[#This Row],[Temperature_C]],2)&amp;"–"&amp;(FLOOR(FinalData[[#This Row],[Temperature_C]],2)+2)&amp;"°C"</f>
        <v>22–24°C</v>
      </c>
      <c r="H23">
        <v>3.82</v>
      </c>
      <c r="I23">
        <v>2026</v>
      </c>
      <c r="J23">
        <v>1</v>
      </c>
      <c r="K23">
        <v>1</v>
      </c>
      <c r="L23">
        <v>4</v>
      </c>
      <c r="M23">
        <v>21</v>
      </c>
      <c r="N23">
        <v>0.27500000000000002</v>
      </c>
      <c r="O23">
        <v>0.34727272727272723</v>
      </c>
      <c r="P23" t="s">
        <v>40</v>
      </c>
      <c r="S23">
        <v>9</v>
      </c>
    </row>
    <row r="24" spans="1:19" hidden="1" x14ac:dyDescent="0.25">
      <c r="A24" s="12">
        <v>46023.916666666664</v>
      </c>
      <c r="B24" t="s">
        <v>9</v>
      </c>
      <c r="C24" t="s">
        <v>22</v>
      </c>
      <c r="D24">
        <v>8</v>
      </c>
      <c r="E24">
        <v>40</v>
      </c>
      <c r="F24">
        <v>25.114847017724749</v>
      </c>
      <c r="G24" t="str">
        <f>FLOOR(FinalData[[#This Row],[Temperature_C]],2)&amp;"–"&amp;(FLOOR(FinalData[[#This Row],[Temperature_C]],2)+2)&amp;"°C"</f>
        <v>24–26°C</v>
      </c>
      <c r="H24">
        <v>3.28</v>
      </c>
      <c r="I24">
        <v>2026</v>
      </c>
      <c r="J24">
        <v>1</v>
      </c>
      <c r="K24">
        <v>1</v>
      </c>
      <c r="L24">
        <v>4</v>
      </c>
      <c r="M24">
        <v>22</v>
      </c>
      <c r="N24">
        <v>0.2</v>
      </c>
      <c r="O24">
        <v>0.41</v>
      </c>
      <c r="P24" t="s">
        <v>40</v>
      </c>
      <c r="S24">
        <v>12</v>
      </c>
    </row>
    <row r="25" spans="1:19" hidden="1" x14ac:dyDescent="0.25">
      <c r="A25" s="12">
        <v>46023.958333333336</v>
      </c>
      <c r="B25" t="s">
        <v>9</v>
      </c>
      <c r="C25" t="s">
        <v>14</v>
      </c>
      <c r="D25">
        <v>17</v>
      </c>
      <c r="E25">
        <v>40</v>
      </c>
      <c r="F25">
        <v>23.330045596218682</v>
      </c>
      <c r="G25" t="str">
        <f>FLOOR(FinalData[[#This Row],[Temperature_C]],2)&amp;"–"&amp;(FLOOR(FinalData[[#This Row],[Temperature_C]],2)+2)&amp;"°C"</f>
        <v>22–24°C</v>
      </c>
      <c r="H25">
        <v>4.99</v>
      </c>
      <c r="I25">
        <v>2026</v>
      </c>
      <c r="J25">
        <v>1</v>
      </c>
      <c r="K25">
        <v>1</v>
      </c>
      <c r="L25">
        <v>4</v>
      </c>
      <c r="M25">
        <v>23</v>
      </c>
      <c r="N25">
        <v>0.42499999999999999</v>
      </c>
      <c r="O25">
        <v>0.29352941176470587</v>
      </c>
      <c r="P25" t="s">
        <v>40</v>
      </c>
      <c r="S25">
        <v>9</v>
      </c>
    </row>
    <row r="26" spans="1:19" hidden="1" x14ac:dyDescent="0.25">
      <c r="A26" s="12">
        <v>46024</v>
      </c>
      <c r="B26" t="s">
        <v>7</v>
      </c>
      <c r="C26" t="s">
        <v>26</v>
      </c>
      <c r="D26">
        <v>5</v>
      </c>
      <c r="E26">
        <v>25</v>
      </c>
      <c r="F26">
        <v>21.213759452741549</v>
      </c>
      <c r="G26" t="str">
        <f>FLOOR(FinalData[[#This Row],[Temperature_C]],2)&amp;"–"&amp;(FLOOR(FinalData[[#This Row],[Temperature_C]],2)+2)&amp;"°C"</f>
        <v>20–22°C</v>
      </c>
      <c r="H26">
        <v>2.0699999999999998</v>
      </c>
      <c r="I26">
        <v>2026</v>
      </c>
      <c r="J26">
        <v>1</v>
      </c>
      <c r="K26">
        <v>2</v>
      </c>
      <c r="L26">
        <v>5</v>
      </c>
      <c r="M26">
        <v>0</v>
      </c>
      <c r="N26">
        <v>0.2</v>
      </c>
      <c r="O26">
        <v>0.41399999999999998</v>
      </c>
      <c r="P26" t="s">
        <v>40</v>
      </c>
      <c r="S26">
        <v>7</v>
      </c>
    </row>
    <row r="27" spans="1:19" hidden="1" x14ac:dyDescent="0.25">
      <c r="A27" s="12">
        <v>46024.041666666664</v>
      </c>
      <c r="B27" t="s">
        <v>7</v>
      </c>
      <c r="C27" t="s">
        <v>27</v>
      </c>
      <c r="D27">
        <v>5</v>
      </c>
      <c r="E27">
        <v>30</v>
      </c>
      <c r="F27">
        <v>27.77807191478492</v>
      </c>
      <c r="G27" t="str">
        <f>FLOOR(FinalData[[#This Row],[Temperature_C]],2)&amp;"–"&amp;(FLOOR(FinalData[[#This Row],[Temperature_C]],2)+2)&amp;"°C"</f>
        <v>26–28°C</v>
      </c>
      <c r="H27">
        <v>3.47</v>
      </c>
      <c r="I27">
        <v>2026</v>
      </c>
      <c r="J27">
        <v>1</v>
      </c>
      <c r="K27">
        <v>2</v>
      </c>
      <c r="L27">
        <v>5</v>
      </c>
      <c r="M27">
        <v>1</v>
      </c>
      <c r="N27">
        <v>0.16666666666666666</v>
      </c>
      <c r="O27">
        <v>0.69400000000000006</v>
      </c>
      <c r="P27" t="s">
        <v>40</v>
      </c>
      <c r="S27">
        <v>8</v>
      </c>
    </row>
    <row r="28" spans="1:19" hidden="1" x14ac:dyDescent="0.25">
      <c r="A28" s="12">
        <v>46024.083333333336</v>
      </c>
      <c r="B28" t="s">
        <v>11</v>
      </c>
      <c r="C28" t="s">
        <v>23</v>
      </c>
      <c r="D28">
        <v>9</v>
      </c>
      <c r="E28">
        <v>30</v>
      </c>
      <c r="F28">
        <v>21.456361844486491</v>
      </c>
      <c r="G28" t="str">
        <f>FLOOR(FinalData[[#This Row],[Temperature_C]],2)&amp;"–"&amp;(FLOOR(FinalData[[#This Row],[Temperature_C]],2)+2)&amp;"°C"</f>
        <v>20–22°C</v>
      </c>
      <c r="H28">
        <v>3.63</v>
      </c>
      <c r="I28">
        <v>2026</v>
      </c>
      <c r="J28">
        <v>1</v>
      </c>
      <c r="K28">
        <v>2</v>
      </c>
      <c r="L28">
        <v>5</v>
      </c>
      <c r="M28">
        <v>2</v>
      </c>
      <c r="N28">
        <v>0.3</v>
      </c>
      <c r="O28">
        <v>0.40333333333333332</v>
      </c>
      <c r="P28" t="s">
        <v>40</v>
      </c>
      <c r="S28">
        <v>11</v>
      </c>
    </row>
    <row r="29" spans="1:19" hidden="1" x14ac:dyDescent="0.25">
      <c r="A29" s="12">
        <v>46024.125</v>
      </c>
      <c r="B29" t="s">
        <v>13</v>
      </c>
      <c r="C29" t="s">
        <v>12</v>
      </c>
      <c r="D29">
        <v>9</v>
      </c>
      <c r="E29">
        <v>40</v>
      </c>
      <c r="F29">
        <v>20.346336467728211</v>
      </c>
      <c r="G29" t="str">
        <f>FLOOR(FinalData[[#This Row],[Temperature_C]],2)&amp;"–"&amp;(FLOOR(FinalData[[#This Row],[Temperature_C]],2)+2)&amp;"°C"</f>
        <v>20–22°C</v>
      </c>
      <c r="H29">
        <v>3.85</v>
      </c>
      <c r="I29">
        <v>2026</v>
      </c>
      <c r="J29">
        <v>1</v>
      </c>
      <c r="K29">
        <v>2</v>
      </c>
      <c r="L29">
        <v>5</v>
      </c>
      <c r="M29">
        <v>3</v>
      </c>
      <c r="N29">
        <v>0.22500000000000001</v>
      </c>
      <c r="O29">
        <v>0.42777777777777781</v>
      </c>
      <c r="P29" t="s">
        <v>40</v>
      </c>
      <c r="S29">
        <v>8</v>
      </c>
    </row>
    <row r="30" spans="1:19" hidden="1" x14ac:dyDescent="0.25">
      <c r="A30" s="12">
        <v>46024.166666666664</v>
      </c>
      <c r="B30" t="s">
        <v>18</v>
      </c>
      <c r="C30" t="s">
        <v>10</v>
      </c>
      <c r="D30">
        <v>4</v>
      </c>
      <c r="E30">
        <v>40</v>
      </c>
      <c r="F30">
        <v>23.887638856292462</v>
      </c>
      <c r="G30" t="str">
        <f>FLOOR(FinalData[[#This Row],[Temperature_C]],2)&amp;"–"&amp;(FLOOR(FinalData[[#This Row],[Temperature_C]],2)+2)&amp;"°C"</f>
        <v>22–24°C</v>
      </c>
      <c r="H30">
        <v>2.3199999999999998</v>
      </c>
      <c r="I30">
        <v>2026</v>
      </c>
      <c r="J30">
        <v>1</v>
      </c>
      <c r="K30">
        <v>2</v>
      </c>
      <c r="L30">
        <v>5</v>
      </c>
      <c r="M30">
        <v>4</v>
      </c>
      <c r="N30">
        <v>0.1</v>
      </c>
      <c r="O30">
        <v>0.57999999999999996</v>
      </c>
      <c r="P30" t="s">
        <v>40</v>
      </c>
      <c r="S30">
        <v>9</v>
      </c>
    </row>
    <row r="31" spans="1:19" hidden="1" x14ac:dyDescent="0.25">
      <c r="A31" s="12">
        <v>46024.208333333336</v>
      </c>
      <c r="B31" t="s">
        <v>13</v>
      </c>
      <c r="C31" t="s">
        <v>28</v>
      </c>
      <c r="D31">
        <v>6</v>
      </c>
      <c r="E31">
        <v>40</v>
      </c>
      <c r="F31">
        <v>26.086135303718169</v>
      </c>
      <c r="G31" t="str">
        <f>FLOOR(FinalData[[#This Row],[Temperature_C]],2)&amp;"–"&amp;(FLOOR(FinalData[[#This Row],[Temperature_C]],2)+2)&amp;"°C"</f>
        <v>26–28°C</v>
      </c>
      <c r="H31">
        <v>3.31</v>
      </c>
      <c r="I31">
        <v>2026</v>
      </c>
      <c r="J31">
        <v>1</v>
      </c>
      <c r="K31">
        <v>2</v>
      </c>
      <c r="L31">
        <v>5</v>
      </c>
      <c r="M31">
        <v>5</v>
      </c>
      <c r="N31">
        <v>0.15</v>
      </c>
      <c r="O31">
        <v>0.55166666666666664</v>
      </c>
      <c r="P31" t="s">
        <v>40</v>
      </c>
      <c r="S31">
        <v>10</v>
      </c>
    </row>
    <row r="32" spans="1:19" hidden="1" x14ac:dyDescent="0.25">
      <c r="A32" s="12">
        <v>46024.25</v>
      </c>
      <c r="B32" t="s">
        <v>9</v>
      </c>
      <c r="C32" t="s">
        <v>20</v>
      </c>
      <c r="D32">
        <v>7</v>
      </c>
      <c r="E32">
        <v>25</v>
      </c>
      <c r="F32">
        <v>22.595084948336901</v>
      </c>
      <c r="G32" t="str">
        <f>FLOOR(FinalData[[#This Row],[Temperature_C]],2)&amp;"–"&amp;(FLOOR(FinalData[[#This Row],[Temperature_C]],2)+2)&amp;"°C"</f>
        <v>22–24°C</v>
      </c>
      <c r="H32">
        <v>2.66</v>
      </c>
      <c r="I32">
        <v>2026</v>
      </c>
      <c r="J32">
        <v>1</v>
      </c>
      <c r="K32">
        <v>2</v>
      </c>
      <c r="L32">
        <v>5</v>
      </c>
      <c r="M32">
        <v>6</v>
      </c>
      <c r="N32">
        <v>0.28000000000000003</v>
      </c>
      <c r="O32">
        <v>0.38</v>
      </c>
      <c r="P32" t="s">
        <v>40</v>
      </c>
    </row>
    <row r="33" spans="1:16" hidden="1" x14ac:dyDescent="0.25">
      <c r="A33" s="12">
        <v>46024.291666666664</v>
      </c>
      <c r="B33" t="s">
        <v>7</v>
      </c>
      <c r="C33" t="s">
        <v>29</v>
      </c>
      <c r="D33">
        <v>12</v>
      </c>
      <c r="E33">
        <v>20</v>
      </c>
      <c r="F33">
        <v>23.561983735470061</v>
      </c>
      <c r="G33" t="str">
        <f>FLOOR(FinalData[[#This Row],[Temperature_C]],2)&amp;"–"&amp;(FLOOR(FinalData[[#This Row],[Temperature_C]],2)+2)&amp;"°C"</f>
        <v>22–24°C</v>
      </c>
      <c r="H33">
        <v>3.85</v>
      </c>
      <c r="I33">
        <v>2026</v>
      </c>
      <c r="J33">
        <v>1</v>
      </c>
      <c r="K33">
        <v>2</v>
      </c>
      <c r="L33">
        <v>5</v>
      </c>
      <c r="M33">
        <v>7</v>
      </c>
      <c r="N33">
        <v>0.6</v>
      </c>
      <c r="O33">
        <v>0.32083333333333336</v>
      </c>
      <c r="P33" t="s">
        <v>41</v>
      </c>
    </row>
    <row r="34" spans="1:16" hidden="1" x14ac:dyDescent="0.25">
      <c r="A34" s="12">
        <v>46024.333333333336</v>
      </c>
      <c r="B34" t="s">
        <v>7</v>
      </c>
      <c r="C34" t="s">
        <v>22</v>
      </c>
      <c r="D34">
        <v>5</v>
      </c>
      <c r="E34">
        <v>40</v>
      </c>
      <c r="F34">
        <v>23.714030971930089</v>
      </c>
      <c r="G34" t="str">
        <f>FLOOR(FinalData[[#This Row],[Temperature_C]],2)&amp;"–"&amp;(FLOOR(FinalData[[#This Row],[Temperature_C]],2)+2)&amp;"°C"</f>
        <v>22–24°C</v>
      </c>
      <c r="H34">
        <v>2.1</v>
      </c>
      <c r="I34">
        <v>2026</v>
      </c>
      <c r="J34">
        <v>1</v>
      </c>
      <c r="K34">
        <v>2</v>
      </c>
      <c r="L34">
        <v>5</v>
      </c>
      <c r="M34">
        <v>8</v>
      </c>
      <c r="N34">
        <v>0.125</v>
      </c>
      <c r="O34">
        <v>0.42000000000000004</v>
      </c>
      <c r="P34" t="s">
        <v>41</v>
      </c>
    </row>
    <row r="35" spans="1:16" hidden="1" x14ac:dyDescent="0.25">
      <c r="A35" s="12">
        <v>46024.375</v>
      </c>
      <c r="B35" t="s">
        <v>18</v>
      </c>
      <c r="C35" t="s">
        <v>16</v>
      </c>
      <c r="D35">
        <v>14</v>
      </c>
      <c r="E35">
        <v>30</v>
      </c>
      <c r="F35">
        <v>26.10571955167865</v>
      </c>
      <c r="G35" t="str">
        <f>FLOOR(FinalData[[#This Row],[Temperature_C]],2)&amp;"–"&amp;(FLOOR(FinalData[[#This Row],[Temperature_C]],2)+2)&amp;"°C"</f>
        <v>26–28°C</v>
      </c>
      <c r="H35">
        <v>4.78</v>
      </c>
      <c r="I35">
        <v>2026</v>
      </c>
      <c r="J35">
        <v>1</v>
      </c>
      <c r="K35">
        <v>2</v>
      </c>
      <c r="L35">
        <v>5</v>
      </c>
      <c r="M35">
        <v>9</v>
      </c>
      <c r="N35">
        <v>0.46666666666666667</v>
      </c>
      <c r="O35">
        <v>0.34142857142857147</v>
      </c>
      <c r="P35" t="s">
        <v>41</v>
      </c>
    </row>
    <row r="36" spans="1:16" hidden="1" x14ac:dyDescent="0.25">
      <c r="A36" s="12">
        <v>46024.416666666664</v>
      </c>
      <c r="B36" t="s">
        <v>7</v>
      </c>
      <c r="C36" t="s">
        <v>29</v>
      </c>
      <c r="D36">
        <v>8</v>
      </c>
      <c r="E36">
        <v>40</v>
      </c>
      <c r="F36">
        <v>23.64833270497688</v>
      </c>
      <c r="G36" t="str">
        <f>FLOOR(FinalData[[#This Row],[Temperature_C]],2)&amp;"–"&amp;(FLOOR(FinalData[[#This Row],[Temperature_C]],2)+2)&amp;"°C"</f>
        <v>22–24°C</v>
      </c>
      <c r="H36">
        <v>3.01</v>
      </c>
      <c r="I36">
        <v>2026</v>
      </c>
      <c r="J36">
        <v>1</v>
      </c>
      <c r="K36">
        <v>2</v>
      </c>
      <c r="L36">
        <v>5</v>
      </c>
      <c r="M36">
        <v>10</v>
      </c>
      <c r="N36">
        <v>0.2</v>
      </c>
      <c r="O36">
        <v>0.37624999999999997</v>
      </c>
      <c r="P36" t="s">
        <v>41</v>
      </c>
    </row>
    <row r="37" spans="1:16" x14ac:dyDescent="0.25">
      <c r="A37" s="12">
        <v>46024.458333333336</v>
      </c>
      <c r="B37" t="s">
        <v>11</v>
      </c>
      <c r="C37" t="s">
        <v>22</v>
      </c>
      <c r="D37">
        <v>11</v>
      </c>
      <c r="E37">
        <v>30</v>
      </c>
      <c r="F37">
        <v>23.151609116387451</v>
      </c>
      <c r="G37" t="str">
        <f>FLOOR(FinalData[[#This Row],[Temperature_C]],2)&amp;"–"&amp;(FLOOR(FinalData[[#This Row],[Temperature_C]],2)+2)&amp;"°C"</f>
        <v>22–24°C</v>
      </c>
      <c r="H37">
        <v>3.52</v>
      </c>
      <c r="I37">
        <v>2026</v>
      </c>
      <c r="J37">
        <v>1</v>
      </c>
      <c r="K37">
        <v>2</v>
      </c>
      <c r="L37">
        <v>5</v>
      </c>
      <c r="M37">
        <v>11</v>
      </c>
      <c r="N37">
        <v>0.36666666666666664</v>
      </c>
      <c r="O37">
        <v>0.32</v>
      </c>
      <c r="P37" t="s">
        <v>41</v>
      </c>
    </row>
    <row r="38" spans="1:16" hidden="1" x14ac:dyDescent="0.25">
      <c r="A38" s="12">
        <v>46024.5</v>
      </c>
      <c r="B38" t="s">
        <v>9</v>
      </c>
      <c r="C38" t="s">
        <v>12</v>
      </c>
      <c r="D38">
        <v>7</v>
      </c>
      <c r="E38">
        <v>20</v>
      </c>
      <c r="F38">
        <v>23.489933142217449</v>
      </c>
      <c r="G38" t="str">
        <f>FLOOR(FinalData[[#This Row],[Temperature_C]],2)&amp;"–"&amp;(FLOOR(FinalData[[#This Row],[Temperature_C]],2)+2)&amp;"°C"</f>
        <v>22–24°C</v>
      </c>
      <c r="H38">
        <v>2.62</v>
      </c>
      <c r="I38">
        <v>2026</v>
      </c>
      <c r="J38">
        <v>1</v>
      </c>
      <c r="K38">
        <v>2</v>
      </c>
      <c r="L38">
        <v>5</v>
      </c>
      <c r="M38">
        <v>12</v>
      </c>
      <c r="N38">
        <v>0.35</v>
      </c>
      <c r="O38">
        <v>0.37428571428571428</v>
      </c>
      <c r="P38" t="s">
        <v>42</v>
      </c>
    </row>
    <row r="39" spans="1:16" hidden="1" x14ac:dyDescent="0.25">
      <c r="A39" s="12">
        <v>46024.541666666664</v>
      </c>
      <c r="B39" t="s">
        <v>13</v>
      </c>
      <c r="C39" t="s">
        <v>20</v>
      </c>
      <c r="D39">
        <v>4</v>
      </c>
      <c r="E39">
        <v>30</v>
      </c>
      <c r="F39">
        <v>25.308708676817851</v>
      </c>
      <c r="G39" t="str">
        <f>FLOOR(FinalData[[#This Row],[Temperature_C]],2)&amp;"–"&amp;(FLOOR(FinalData[[#This Row],[Temperature_C]],2)+2)&amp;"°C"</f>
        <v>24–26°C</v>
      </c>
      <c r="H39">
        <v>2.15</v>
      </c>
      <c r="I39">
        <v>2026</v>
      </c>
      <c r="J39">
        <v>1</v>
      </c>
      <c r="K39">
        <v>2</v>
      </c>
      <c r="L39">
        <v>5</v>
      </c>
      <c r="M39">
        <v>13</v>
      </c>
      <c r="N39">
        <v>0.13333333333333333</v>
      </c>
      <c r="O39">
        <v>0.53749999999999998</v>
      </c>
      <c r="P39" t="s">
        <v>42</v>
      </c>
    </row>
    <row r="40" spans="1:16" hidden="1" x14ac:dyDescent="0.25">
      <c r="A40" s="12">
        <v>46024.583333333336</v>
      </c>
      <c r="B40" t="s">
        <v>18</v>
      </c>
      <c r="C40" t="s">
        <v>15</v>
      </c>
      <c r="D40">
        <v>10</v>
      </c>
      <c r="E40">
        <v>20</v>
      </c>
      <c r="F40">
        <v>22.962973728015221</v>
      </c>
      <c r="G40" t="str">
        <f>FLOOR(FinalData[[#This Row],[Temperature_C]],2)&amp;"–"&amp;(FLOOR(FinalData[[#This Row],[Temperature_C]],2)+2)&amp;"°C"</f>
        <v>22–24°C</v>
      </c>
      <c r="H40">
        <v>3.36</v>
      </c>
      <c r="I40">
        <v>2026</v>
      </c>
      <c r="J40">
        <v>1</v>
      </c>
      <c r="K40">
        <v>2</v>
      </c>
      <c r="L40">
        <v>5</v>
      </c>
      <c r="M40">
        <v>14</v>
      </c>
      <c r="N40">
        <v>0.5</v>
      </c>
      <c r="O40">
        <v>0.33599999999999997</v>
      </c>
      <c r="P40" t="s">
        <v>42</v>
      </c>
    </row>
    <row r="41" spans="1:16" hidden="1" x14ac:dyDescent="0.25">
      <c r="A41" s="12">
        <v>46024.625</v>
      </c>
      <c r="B41" t="s">
        <v>13</v>
      </c>
      <c r="C41" t="s">
        <v>15</v>
      </c>
      <c r="D41">
        <v>5</v>
      </c>
      <c r="E41">
        <v>40</v>
      </c>
      <c r="F41">
        <v>22.782479703086281</v>
      </c>
      <c r="G41" t="str">
        <f>FLOOR(FinalData[[#This Row],[Temperature_C]],2)&amp;"–"&amp;(FLOOR(FinalData[[#This Row],[Temperature_C]],2)+2)&amp;"°C"</f>
        <v>22–24°C</v>
      </c>
      <c r="H41">
        <v>2.29</v>
      </c>
      <c r="I41">
        <v>2026</v>
      </c>
      <c r="J41">
        <v>1</v>
      </c>
      <c r="K41">
        <v>2</v>
      </c>
      <c r="L41">
        <v>5</v>
      </c>
      <c r="M41">
        <v>15</v>
      </c>
      <c r="N41">
        <v>0.125</v>
      </c>
      <c r="O41">
        <v>0.45800000000000002</v>
      </c>
      <c r="P41" t="s">
        <v>42</v>
      </c>
    </row>
    <row r="42" spans="1:16" hidden="1" x14ac:dyDescent="0.25">
      <c r="A42" s="12">
        <v>46024.666666666664</v>
      </c>
      <c r="B42" t="s">
        <v>7</v>
      </c>
      <c r="C42" t="s">
        <v>25</v>
      </c>
      <c r="D42">
        <v>6</v>
      </c>
      <c r="E42">
        <v>20</v>
      </c>
      <c r="F42">
        <v>23.139305329037761</v>
      </c>
      <c r="G42" t="str">
        <f>FLOOR(FinalData[[#This Row],[Temperature_C]],2)&amp;"–"&amp;(FLOOR(FinalData[[#This Row],[Temperature_C]],2)+2)&amp;"°C"</f>
        <v>22–24°C</v>
      </c>
      <c r="H42">
        <v>2.77</v>
      </c>
      <c r="I42">
        <v>2026</v>
      </c>
      <c r="J42">
        <v>1</v>
      </c>
      <c r="K42">
        <v>2</v>
      </c>
      <c r="L42">
        <v>5</v>
      </c>
      <c r="M42">
        <v>16</v>
      </c>
      <c r="N42">
        <v>0.3</v>
      </c>
      <c r="O42">
        <v>0.46166666666666667</v>
      </c>
      <c r="P42" t="s">
        <v>42</v>
      </c>
    </row>
    <row r="43" spans="1:16" hidden="1" x14ac:dyDescent="0.25">
      <c r="A43" s="12">
        <v>46024.708333333336</v>
      </c>
      <c r="B43" t="s">
        <v>7</v>
      </c>
      <c r="C43" t="s">
        <v>16</v>
      </c>
      <c r="D43">
        <v>11</v>
      </c>
      <c r="E43">
        <v>30</v>
      </c>
      <c r="F43">
        <v>22.778136128740979</v>
      </c>
      <c r="G43" t="str">
        <f>FLOOR(FinalData[[#This Row],[Temperature_C]],2)&amp;"–"&amp;(FLOOR(FinalData[[#This Row],[Temperature_C]],2)+2)&amp;"°C"</f>
        <v>22–24°C</v>
      </c>
      <c r="H43">
        <v>3.96</v>
      </c>
      <c r="I43">
        <v>2026</v>
      </c>
      <c r="J43">
        <v>1</v>
      </c>
      <c r="K43">
        <v>2</v>
      </c>
      <c r="L43">
        <v>5</v>
      </c>
      <c r="M43">
        <v>17</v>
      </c>
      <c r="N43">
        <v>0.36666666666666664</v>
      </c>
      <c r="O43">
        <v>0.36</v>
      </c>
      <c r="P43" t="s">
        <v>43</v>
      </c>
    </row>
    <row r="44" spans="1:16" hidden="1" x14ac:dyDescent="0.25">
      <c r="A44" s="12">
        <v>46024.75</v>
      </c>
      <c r="B44" t="s">
        <v>7</v>
      </c>
      <c r="C44" t="s">
        <v>21</v>
      </c>
      <c r="D44">
        <v>6</v>
      </c>
      <c r="E44">
        <v>40</v>
      </c>
      <c r="F44">
        <v>23.683511951554319</v>
      </c>
      <c r="G44" t="str">
        <f>FLOOR(FinalData[[#This Row],[Temperature_C]],2)&amp;"–"&amp;(FLOOR(FinalData[[#This Row],[Temperature_C]],2)+2)&amp;"°C"</f>
        <v>22–24°C</v>
      </c>
      <c r="H44">
        <v>3.12</v>
      </c>
      <c r="I44">
        <v>2026</v>
      </c>
      <c r="J44">
        <v>1</v>
      </c>
      <c r="K44">
        <v>2</v>
      </c>
      <c r="L44">
        <v>5</v>
      </c>
      <c r="M44">
        <v>18</v>
      </c>
      <c r="N44">
        <v>0.15</v>
      </c>
      <c r="O44">
        <v>0.52</v>
      </c>
      <c r="P44" t="s">
        <v>43</v>
      </c>
    </row>
    <row r="45" spans="1:16" hidden="1" x14ac:dyDescent="0.25">
      <c r="A45" s="12">
        <v>46024.791666666664</v>
      </c>
      <c r="B45" t="s">
        <v>11</v>
      </c>
      <c r="C45" t="s">
        <v>17</v>
      </c>
      <c r="D45">
        <v>12</v>
      </c>
      <c r="E45">
        <v>20</v>
      </c>
      <c r="F45">
        <v>22.852777768416189</v>
      </c>
      <c r="G45" t="str">
        <f>FLOOR(FinalData[[#This Row],[Temperature_C]],2)&amp;"–"&amp;(FLOOR(FinalData[[#This Row],[Temperature_C]],2)+2)&amp;"°C"</f>
        <v>22–24°C</v>
      </c>
      <c r="H45">
        <v>3.84</v>
      </c>
      <c r="I45">
        <v>2026</v>
      </c>
      <c r="J45">
        <v>1</v>
      </c>
      <c r="K45">
        <v>2</v>
      </c>
      <c r="L45">
        <v>5</v>
      </c>
      <c r="M45">
        <v>19</v>
      </c>
      <c r="N45">
        <v>0.6</v>
      </c>
      <c r="O45">
        <v>0.32</v>
      </c>
      <c r="P45" t="s">
        <v>43</v>
      </c>
    </row>
    <row r="46" spans="1:16" hidden="1" x14ac:dyDescent="0.25">
      <c r="A46" s="12">
        <v>46024.833333333336</v>
      </c>
      <c r="B46" t="s">
        <v>18</v>
      </c>
      <c r="C46" t="s">
        <v>14</v>
      </c>
      <c r="D46">
        <v>11</v>
      </c>
      <c r="E46">
        <v>40</v>
      </c>
      <c r="F46">
        <v>23.518778617999391</v>
      </c>
      <c r="G46" t="str">
        <f>FLOOR(FinalData[[#This Row],[Temperature_C]],2)&amp;"–"&amp;(FLOOR(FinalData[[#This Row],[Temperature_C]],2)+2)&amp;"°C"</f>
        <v>22–24°C</v>
      </c>
      <c r="H46">
        <v>3.87</v>
      </c>
      <c r="I46">
        <v>2026</v>
      </c>
      <c r="J46">
        <v>1</v>
      </c>
      <c r="K46">
        <v>2</v>
      </c>
      <c r="L46">
        <v>5</v>
      </c>
      <c r="M46">
        <v>20</v>
      </c>
      <c r="N46">
        <v>0.27500000000000002</v>
      </c>
      <c r="O46">
        <v>0.35181818181818181</v>
      </c>
      <c r="P46" t="s">
        <v>43</v>
      </c>
    </row>
    <row r="47" spans="1:16" hidden="1" x14ac:dyDescent="0.25">
      <c r="A47" s="12">
        <v>46024.875</v>
      </c>
      <c r="B47" t="s">
        <v>11</v>
      </c>
      <c r="C47" t="s">
        <v>17</v>
      </c>
      <c r="D47">
        <v>13</v>
      </c>
      <c r="E47">
        <v>20</v>
      </c>
      <c r="F47">
        <v>21.344213842168571</v>
      </c>
      <c r="G47" t="str">
        <f>FLOOR(FinalData[[#This Row],[Temperature_C]],2)&amp;"–"&amp;(FLOOR(FinalData[[#This Row],[Temperature_C]],2)+2)&amp;"°C"</f>
        <v>20–22°C</v>
      </c>
      <c r="H47">
        <v>4.0599999999999996</v>
      </c>
      <c r="I47">
        <v>2026</v>
      </c>
      <c r="J47">
        <v>1</v>
      </c>
      <c r="K47">
        <v>2</v>
      </c>
      <c r="L47">
        <v>5</v>
      </c>
      <c r="M47">
        <v>21</v>
      </c>
      <c r="N47">
        <v>0.65</v>
      </c>
      <c r="O47">
        <v>0.31230769230769229</v>
      </c>
      <c r="P47" t="s">
        <v>40</v>
      </c>
    </row>
    <row r="48" spans="1:16" hidden="1" x14ac:dyDescent="0.25">
      <c r="A48" s="12">
        <v>46024.916666666664</v>
      </c>
      <c r="B48" t="s">
        <v>9</v>
      </c>
      <c r="C48" t="s">
        <v>29</v>
      </c>
      <c r="D48">
        <v>10</v>
      </c>
      <c r="E48">
        <v>25</v>
      </c>
      <c r="F48">
        <v>24.290751899170299</v>
      </c>
      <c r="G48" t="str">
        <f>FLOOR(FinalData[[#This Row],[Temperature_C]],2)&amp;"–"&amp;(FLOOR(FinalData[[#This Row],[Temperature_C]],2)+2)&amp;"°C"</f>
        <v>24–26°C</v>
      </c>
      <c r="H48">
        <v>4.05</v>
      </c>
      <c r="I48">
        <v>2026</v>
      </c>
      <c r="J48">
        <v>1</v>
      </c>
      <c r="K48">
        <v>2</v>
      </c>
      <c r="L48">
        <v>5</v>
      </c>
      <c r="M48">
        <v>22</v>
      </c>
      <c r="N48">
        <v>0.4</v>
      </c>
      <c r="O48">
        <v>0.40499999999999997</v>
      </c>
      <c r="P48" t="s">
        <v>40</v>
      </c>
    </row>
    <row r="49" spans="1:16" hidden="1" x14ac:dyDescent="0.25">
      <c r="A49" s="12">
        <v>46024.958333333336</v>
      </c>
      <c r="B49" t="s">
        <v>9</v>
      </c>
      <c r="C49" t="s">
        <v>8</v>
      </c>
      <c r="D49">
        <v>3</v>
      </c>
      <c r="E49">
        <v>25</v>
      </c>
      <c r="F49">
        <v>25.116848973699181</v>
      </c>
      <c r="G49" t="str">
        <f>FLOOR(FinalData[[#This Row],[Temperature_C]],2)&amp;"–"&amp;(FLOOR(FinalData[[#This Row],[Temperature_C]],2)+2)&amp;"°C"</f>
        <v>24–26°C</v>
      </c>
      <c r="H49">
        <v>1.49</v>
      </c>
      <c r="I49">
        <v>2026</v>
      </c>
      <c r="J49">
        <v>1</v>
      </c>
      <c r="K49">
        <v>2</v>
      </c>
      <c r="L49">
        <v>5</v>
      </c>
      <c r="M49">
        <v>23</v>
      </c>
      <c r="N49">
        <v>0.12</v>
      </c>
      <c r="O49">
        <v>0.49666666666666665</v>
      </c>
      <c r="P49" t="s">
        <v>40</v>
      </c>
    </row>
    <row r="50" spans="1:16" hidden="1" x14ac:dyDescent="0.25">
      <c r="A50" s="12">
        <v>46025</v>
      </c>
      <c r="B50" t="s">
        <v>13</v>
      </c>
      <c r="C50" t="s">
        <v>27</v>
      </c>
      <c r="D50">
        <v>12</v>
      </c>
      <c r="E50">
        <v>40</v>
      </c>
      <c r="F50">
        <v>22.437229786897831</v>
      </c>
      <c r="G50" t="str">
        <f>FLOOR(FinalData[[#This Row],[Temperature_C]],2)&amp;"–"&amp;(FLOOR(FinalData[[#This Row],[Temperature_C]],2)+2)&amp;"°C"</f>
        <v>22–24°C</v>
      </c>
      <c r="H50">
        <v>3.37</v>
      </c>
      <c r="I50">
        <v>2026</v>
      </c>
      <c r="J50">
        <v>1</v>
      </c>
      <c r="K50">
        <v>3</v>
      </c>
      <c r="L50">
        <v>6</v>
      </c>
      <c r="M50">
        <v>0</v>
      </c>
      <c r="N50">
        <v>0.3</v>
      </c>
      <c r="O50">
        <v>0.28083333333333332</v>
      </c>
      <c r="P50" t="s">
        <v>40</v>
      </c>
    </row>
    <row r="51" spans="1:16" hidden="1" x14ac:dyDescent="0.25">
      <c r="A51" s="12">
        <v>46025.041666666664</v>
      </c>
      <c r="B51" t="s">
        <v>18</v>
      </c>
      <c r="C51" t="s">
        <v>24</v>
      </c>
      <c r="D51">
        <v>6</v>
      </c>
      <c r="E51">
        <v>20</v>
      </c>
      <c r="F51">
        <v>23.733196492193699</v>
      </c>
      <c r="G51" t="str">
        <f>FLOOR(FinalData[[#This Row],[Temperature_C]],2)&amp;"–"&amp;(FLOOR(FinalData[[#This Row],[Temperature_C]],2)+2)&amp;"°C"</f>
        <v>22–24°C</v>
      </c>
      <c r="H51">
        <v>2.2799999999999998</v>
      </c>
      <c r="I51">
        <v>2026</v>
      </c>
      <c r="J51">
        <v>1</v>
      </c>
      <c r="K51">
        <v>3</v>
      </c>
      <c r="L51">
        <v>6</v>
      </c>
      <c r="M51">
        <v>1</v>
      </c>
      <c r="N51">
        <v>0.3</v>
      </c>
      <c r="O51">
        <v>0.37999999999999995</v>
      </c>
      <c r="P51" t="s">
        <v>40</v>
      </c>
    </row>
    <row r="52" spans="1:16" hidden="1" x14ac:dyDescent="0.25">
      <c r="A52" s="12">
        <v>46025.083333333336</v>
      </c>
      <c r="B52" t="s">
        <v>7</v>
      </c>
      <c r="C52" t="s">
        <v>20</v>
      </c>
      <c r="D52">
        <v>7</v>
      </c>
      <c r="E52">
        <v>25</v>
      </c>
      <c r="F52">
        <v>21.93948476325512</v>
      </c>
      <c r="G52" t="str">
        <f>FLOOR(FinalData[[#This Row],[Temperature_C]],2)&amp;"–"&amp;(FLOOR(FinalData[[#This Row],[Temperature_C]],2)+2)&amp;"°C"</f>
        <v>20–22°C</v>
      </c>
      <c r="H52">
        <v>2.3199999999999998</v>
      </c>
      <c r="I52">
        <v>2026</v>
      </c>
      <c r="J52">
        <v>1</v>
      </c>
      <c r="K52">
        <v>3</v>
      </c>
      <c r="L52">
        <v>6</v>
      </c>
      <c r="M52">
        <v>2</v>
      </c>
      <c r="N52">
        <v>0.28000000000000003</v>
      </c>
      <c r="O52">
        <v>0.33142857142857141</v>
      </c>
      <c r="P52" t="s">
        <v>40</v>
      </c>
    </row>
    <row r="53" spans="1:16" hidden="1" x14ac:dyDescent="0.25">
      <c r="A53" s="12">
        <v>46025.125</v>
      </c>
      <c r="B53" t="s">
        <v>7</v>
      </c>
      <c r="C53" t="s">
        <v>16</v>
      </c>
      <c r="D53">
        <v>4</v>
      </c>
      <c r="E53">
        <v>20</v>
      </c>
      <c r="F53">
        <v>23.114948006048589</v>
      </c>
      <c r="G53" t="str">
        <f>FLOOR(FinalData[[#This Row],[Temperature_C]],2)&amp;"–"&amp;(FLOOR(FinalData[[#This Row],[Temperature_C]],2)+2)&amp;"°C"</f>
        <v>22–24°C</v>
      </c>
      <c r="H53">
        <v>1.28</v>
      </c>
      <c r="I53">
        <v>2026</v>
      </c>
      <c r="J53">
        <v>1</v>
      </c>
      <c r="K53">
        <v>3</v>
      </c>
      <c r="L53">
        <v>6</v>
      </c>
      <c r="M53">
        <v>3</v>
      </c>
      <c r="N53">
        <v>0.2</v>
      </c>
      <c r="O53">
        <v>0.32</v>
      </c>
      <c r="P53" t="s">
        <v>40</v>
      </c>
    </row>
    <row r="54" spans="1:16" hidden="1" x14ac:dyDescent="0.25">
      <c r="A54" s="12">
        <v>46025.166666666664</v>
      </c>
      <c r="B54" t="s">
        <v>13</v>
      </c>
      <c r="C54" t="s">
        <v>17</v>
      </c>
      <c r="D54">
        <v>7</v>
      </c>
      <c r="E54">
        <v>20</v>
      </c>
      <c r="F54">
        <v>24.702708529201018</v>
      </c>
      <c r="G54" t="str">
        <f>FLOOR(FinalData[[#This Row],[Temperature_C]],2)&amp;"–"&amp;(FLOOR(FinalData[[#This Row],[Temperature_C]],2)+2)&amp;"°C"</f>
        <v>24–26°C</v>
      </c>
      <c r="H54">
        <v>2.77</v>
      </c>
      <c r="I54">
        <v>2026</v>
      </c>
      <c r="J54">
        <v>1</v>
      </c>
      <c r="K54">
        <v>3</v>
      </c>
      <c r="L54">
        <v>6</v>
      </c>
      <c r="M54">
        <v>4</v>
      </c>
      <c r="N54">
        <v>0.35</v>
      </c>
      <c r="O54">
        <v>0.39571428571428574</v>
      </c>
      <c r="P54" t="s">
        <v>40</v>
      </c>
    </row>
    <row r="55" spans="1:16" hidden="1" x14ac:dyDescent="0.25">
      <c r="A55" s="12">
        <v>46025.208333333336</v>
      </c>
      <c r="B55" t="s">
        <v>18</v>
      </c>
      <c r="C55" t="s">
        <v>22</v>
      </c>
      <c r="D55">
        <v>9</v>
      </c>
      <c r="E55">
        <v>40</v>
      </c>
      <c r="F55">
        <v>24.70280418475766</v>
      </c>
      <c r="G55" t="str">
        <f>FLOOR(FinalData[[#This Row],[Temperature_C]],2)&amp;"–"&amp;(FLOOR(FinalData[[#This Row],[Temperature_C]],2)+2)&amp;"°C"</f>
        <v>24–26°C</v>
      </c>
      <c r="H55">
        <v>3.16</v>
      </c>
      <c r="I55">
        <v>2026</v>
      </c>
      <c r="J55">
        <v>1</v>
      </c>
      <c r="K55">
        <v>3</v>
      </c>
      <c r="L55">
        <v>6</v>
      </c>
      <c r="M55">
        <v>5</v>
      </c>
      <c r="N55">
        <v>0.22500000000000001</v>
      </c>
      <c r="O55">
        <v>0.35111111111111115</v>
      </c>
      <c r="P55" t="s">
        <v>40</v>
      </c>
    </row>
    <row r="56" spans="1:16" hidden="1" x14ac:dyDescent="0.25">
      <c r="A56" s="12">
        <v>46025.25</v>
      </c>
      <c r="B56" t="s">
        <v>13</v>
      </c>
      <c r="C56" t="s">
        <v>22</v>
      </c>
      <c r="D56">
        <v>8</v>
      </c>
      <c r="E56">
        <v>40</v>
      </c>
      <c r="F56">
        <v>21.706854231514949</v>
      </c>
      <c r="G56" t="str">
        <f>FLOOR(FinalData[[#This Row],[Temperature_C]],2)&amp;"–"&amp;(FLOOR(FinalData[[#This Row],[Temperature_C]],2)+2)&amp;"°C"</f>
        <v>20–22°C</v>
      </c>
      <c r="H56">
        <v>2.52</v>
      </c>
      <c r="I56">
        <v>2026</v>
      </c>
      <c r="J56">
        <v>1</v>
      </c>
      <c r="K56">
        <v>3</v>
      </c>
      <c r="L56">
        <v>6</v>
      </c>
      <c r="M56">
        <v>6</v>
      </c>
      <c r="N56">
        <v>0.2</v>
      </c>
      <c r="O56">
        <v>0.315</v>
      </c>
      <c r="P56" t="s">
        <v>40</v>
      </c>
    </row>
    <row r="57" spans="1:16" x14ac:dyDescent="0.25">
      <c r="A57" s="12">
        <v>46025.291666666664</v>
      </c>
      <c r="B57" t="s">
        <v>11</v>
      </c>
      <c r="C57" t="s">
        <v>15</v>
      </c>
      <c r="D57">
        <v>10</v>
      </c>
      <c r="E57">
        <v>20</v>
      </c>
      <c r="F57">
        <v>22.22386162040517</v>
      </c>
      <c r="G57" t="str">
        <f>FLOOR(FinalData[[#This Row],[Temperature_C]],2)&amp;"–"&amp;(FLOOR(FinalData[[#This Row],[Temperature_C]],2)+2)&amp;"°C"</f>
        <v>22–24°C</v>
      </c>
      <c r="H57">
        <v>3.13</v>
      </c>
      <c r="I57">
        <v>2026</v>
      </c>
      <c r="J57">
        <v>1</v>
      </c>
      <c r="K57">
        <v>3</v>
      </c>
      <c r="L57">
        <v>6</v>
      </c>
      <c r="M57">
        <v>7</v>
      </c>
      <c r="N57">
        <v>0.5</v>
      </c>
      <c r="O57">
        <v>0.313</v>
      </c>
      <c r="P57" t="s">
        <v>41</v>
      </c>
    </row>
    <row r="58" spans="1:16" hidden="1" x14ac:dyDescent="0.25">
      <c r="A58" s="12">
        <v>46025.333333333336</v>
      </c>
      <c r="B58" t="s">
        <v>13</v>
      </c>
      <c r="C58" t="s">
        <v>23</v>
      </c>
      <c r="D58">
        <v>8</v>
      </c>
      <c r="E58">
        <v>40</v>
      </c>
      <c r="F58">
        <v>21.698714861756351</v>
      </c>
      <c r="G58" t="str">
        <f>FLOOR(FinalData[[#This Row],[Temperature_C]],2)&amp;"–"&amp;(FLOOR(FinalData[[#This Row],[Temperature_C]],2)+2)&amp;"°C"</f>
        <v>20–22°C</v>
      </c>
      <c r="H58">
        <v>2.7</v>
      </c>
      <c r="I58">
        <v>2026</v>
      </c>
      <c r="J58">
        <v>1</v>
      </c>
      <c r="K58">
        <v>3</v>
      </c>
      <c r="L58">
        <v>6</v>
      </c>
      <c r="M58">
        <v>8</v>
      </c>
      <c r="N58">
        <v>0.2</v>
      </c>
      <c r="O58">
        <v>0.33750000000000002</v>
      </c>
      <c r="P58" t="s">
        <v>41</v>
      </c>
    </row>
    <row r="59" spans="1:16" hidden="1" x14ac:dyDescent="0.25">
      <c r="A59" s="12">
        <v>46025.375</v>
      </c>
      <c r="B59" t="s">
        <v>13</v>
      </c>
      <c r="C59" t="s">
        <v>21</v>
      </c>
      <c r="D59">
        <v>6</v>
      </c>
      <c r="E59">
        <v>30</v>
      </c>
      <c r="F59">
        <v>23.780506537966289</v>
      </c>
      <c r="G59" t="str">
        <f>FLOOR(FinalData[[#This Row],[Temperature_C]],2)&amp;"–"&amp;(FLOOR(FinalData[[#This Row],[Temperature_C]],2)+2)&amp;"°C"</f>
        <v>22–24°C</v>
      </c>
      <c r="H59">
        <v>2.54</v>
      </c>
      <c r="I59">
        <v>2026</v>
      </c>
      <c r="J59">
        <v>1</v>
      </c>
      <c r="K59">
        <v>3</v>
      </c>
      <c r="L59">
        <v>6</v>
      </c>
      <c r="M59">
        <v>9</v>
      </c>
      <c r="N59">
        <v>0.2</v>
      </c>
      <c r="O59">
        <v>0.42333333333333334</v>
      </c>
      <c r="P59" t="s">
        <v>41</v>
      </c>
    </row>
    <row r="60" spans="1:16" hidden="1" x14ac:dyDescent="0.25">
      <c r="A60" s="12">
        <v>46025.416666666664</v>
      </c>
      <c r="B60" t="s">
        <v>7</v>
      </c>
      <c r="C60" t="s">
        <v>27</v>
      </c>
      <c r="D60">
        <v>10</v>
      </c>
      <c r="E60">
        <v>30</v>
      </c>
      <c r="F60">
        <v>21.473481686914969</v>
      </c>
      <c r="G60" t="str">
        <f>FLOOR(FinalData[[#This Row],[Temperature_C]],2)&amp;"–"&amp;(FLOOR(FinalData[[#This Row],[Temperature_C]],2)+2)&amp;"°C"</f>
        <v>20–22°C</v>
      </c>
      <c r="H60">
        <v>2.84</v>
      </c>
      <c r="I60">
        <v>2026</v>
      </c>
      <c r="J60">
        <v>1</v>
      </c>
      <c r="K60">
        <v>3</v>
      </c>
      <c r="L60">
        <v>6</v>
      </c>
      <c r="M60">
        <v>10</v>
      </c>
      <c r="N60">
        <v>0.33333333333333331</v>
      </c>
      <c r="O60">
        <v>0.28399999999999997</v>
      </c>
      <c r="P60" t="s">
        <v>41</v>
      </c>
    </row>
    <row r="61" spans="1:16" hidden="1" x14ac:dyDescent="0.25">
      <c r="A61" s="12">
        <v>46025.458333333336</v>
      </c>
      <c r="B61" t="s">
        <v>13</v>
      </c>
      <c r="C61" t="s">
        <v>24</v>
      </c>
      <c r="D61">
        <v>6</v>
      </c>
      <c r="E61">
        <v>30</v>
      </c>
      <c r="F61">
        <v>28.567554846978101</v>
      </c>
      <c r="G61" t="str">
        <f>FLOOR(FinalData[[#This Row],[Temperature_C]],2)&amp;"–"&amp;(FLOOR(FinalData[[#This Row],[Temperature_C]],2)+2)&amp;"°C"</f>
        <v>28–30°C</v>
      </c>
      <c r="H61">
        <v>2.8</v>
      </c>
      <c r="I61">
        <v>2026</v>
      </c>
      <c r="J61">
        <v>1</v>
      </c>
      <c r="K61">
        <v>3</v>
      </c>
      <c r="L61">
        <v>6</v>
      </c>
      <c r="M61">
        <v>11</v>
      </c>
      <c r="N61">
        <v>0.2</v>
      </c>
      <c r="O61">
        <v>0.46666666666666662</v>
      </c>
      <c r="P61" t="s">
        <v>41</v>
      </c>
    </row>
    <row r="62" spans="1:16" hidden="1" x14ac:dyDescent="0.25">
      <c r="A62" s="12">
        <v>46025.5</v>
      </c>
      <c r="B62" t="s">
        <v>18</v>
      </c>
      <c r="C62" t="s">
        <v>17</v>
      </c>
      <c r="D62">
        <v>3</v>
      </c>
      <c r="E62">
        <v>30</v>
      </c>
      <c r="F62">
        <v>21.796062642207229</v>
      </c>
      <c r="G62" t="str">
        <f>FLOOR(FinalData[[#This Row],[Temperature_C]],2)&amp;"–"&amp;(FLOOR(FinalData[[#This Row],[Temperature_C]],2)+2)&amp;"°C"</f>
        <v>20–22°C</v>
      </c>
      <c r="H62">
        <v>1.81</v>
      </c>
      <c r="I62">
        <v>2026</v>
      </c>
      <c r="J62">
        <v>1</v>
      </c>
      <c r="K62">
        <v>3</v>
      </c>
      <c r="L62">
        <v>6</v>
      </c>
      <c r="M62">
        <v>12</v>
      </c>
      <c r="N62">
        <v>0.1</v>
      </c>
      <c r="O62">
        <v>0.60333333333333339</v>
      </c>
      <c r="P62" t="s">
        <v>42</v>
      </c>
    </row>
    <row r="63" spans="1:16" hidden="1" x14ac:dyDescent="0.25">
      <c r="A63" s="12">
        <v>46025.541666666664</v>
      </c>
      <c r="B63" t="s">
        <v>7</v>
      </c>
      <c r="C63" t="s">
        <v>19</v>
      </c>
      <c r="D63">
        <v>12</v>
      </c>
      <c r="E63">
        <v>20</v>
      </c>
      <c r="F63">
        <v>23.173179574945799</v>
      </c>
      <c r="G63" t="str">
        <f>FLOOR(FinalData[[#This Row],[Temperature_C]],2)&amp;"–"&amp;(FLOOR(FinalData[[#This Row],[Temperature_C]],2)+2)&amp;"°C"</f>
        <v>22–24°C</v>
      </c>
      <c r="H63">
        <v>3.93</v>
      </c>
      <c r="I63">
        <v>2026</v>
      </c>
      <c r="J63">
        <v>1</v>
      </c>
      <c r="K63">
        <v>3</v>
      </c>
      <c r="L63">
        <v>6</v>
      </c>
      <c r="M63">
        <v>13</v>
      </c>
      <c r="N63">
        <v>0.6</v>
      </c>
      <c r="O63">
        <v>0.32750000000000001</v>
      </c>
      <c r="P63" t="s">
        <v>42</v>
      </c>
    </row>
    <row r="64" spans="1:16" hidden="1" x14ac:dyDescent="0.25">
      <c r="A64" s="12">
        <v>46025.583333333336</v>
      </c>
      <c r="B64" t="s">
        <v>13</v>
      </c>
      <c r="C64" t="s">
        <v>25</v>
      </c>
      <c r="D64">
        <v>6</v>
      </c>
      <c r="E64">
        <v>25</v>
      </c>
      <c r="F64">
        <v>24.08696630592755</v>
      </c>
      <c r="G64" t="str">
        <f>FLOOR(FinalData[[#This Row],[Temperature_C]],2)&amp;"–"&amp;(FLOOR(FinalData[[#This Row],[Temperature_C]],2)+2)&amp;"°C"</f>
        <v>24–26°C</v>
      </c>
      <c r="H64">
        <v>2.92</v>
      </c>
      <c r="I64">
        <v>2026</v>
      </c>
      <c r="J64">
        <v>1</v>
      </c>
      <c r="K64">
        <v>3</v>
      </c>
      <c r="L64">
        <v>6</v>
      </c>
      <c r="M64">
        <v>14</v>
      </c>
      <c r="N64">
        <v>0.24</v>
      </c>
      <c r="O64">
        <v>0.48666666666666664</v>
      </c>
      <c r="P64" t="s">
        <v>42</v>
      </c>
    </row>
    <row r="65" spans="1:16" hidden="1" x14ac:dyDescent="0.25">
      <c r="A65" s="12">
        <v>46025.625</v>
      </c>
      <c r="B65" t="s">
        <v>7</v>
      </c>
      <c r="C65" t="s">
        <v>22</v>
      </c>
      <c r="D65">
        <v>11</v>
      </c>
      <c r="E65">
        <v>40</v>
      </c>
      <c r="F65">
        <v>22.521642667939659</v>
      </c>
      <c r="G65" t="str">
        <f>FLOOR(FinalData[[#This Row],[Temperature_C]],2)&amp;"–"&amp;(FLOOR(FinalData[[#This Row],[Temperature_C]],2)+2)&amp;"°C"</f>
        <v>22–24°C</v>
      </c>
      <c r="H65">
        <v>3.88</v>
      </c>
      <c r="I65">
        <v>2026</v>
      </c>
      <c r="J65">
        <v>1</v>
      </c>
      <c r="K65">
        <v>3</v>
      </c>
      <c r="L65">
        <v>6</v>
      </c>
      <c r="M65">
        <v>15</v>
      </c>
      <c r="N65">
        <v>0.27500000000000002</v>
      </c>
      <c r="O65">
        <v>0.35272727272727272</v>
      </c>
      <c r="P65" t="s">
        <v>42</v>
      </c>
    </row>
    <row r="66" spans="1:16" hidden="1" x14ac:dyDescent="0.25">
      <c r="A66" s="12">
        <v>46025.666666666664</v>
      </c>
      <c r="B66" t="s">
        <v>9</v>
      </c>
      <c r="C66" t="s">
        <v>20</v>
      </c>
      <c r="D66">
        <v>10</v>
      </c>
      <c r="E66">
        <v>40</v>
      </c>
      <c r="F66">
        <v>23.363732510116989</v>
      </c>
      <c r="G66" t="str">
        <f>FLOOR(FinalData[[#This Row],[Temperature_C]],2)&amp;"–"&amp;(FLOOR(FinalData[[#This Row],[Temperature_C]],2)+2)&amp;"°C"</f>
        <v>22–24°C</v>
      </c>
      <c r="H66">
        <v>3.58</v>
      </c>
      <c r="I66">
        <v>2026</v>
      </c>
      <c r="J66">
        <v>1</v>
      </c>
      <c r="K66">
        <v>3</v>
      </c>
      <c r="L66">
        <v>6</v>
      </c>
      <c r="M66">
        <v>16</v>
      </c>
      <c r="N66">
        <v>0.25</v>
      </c>
      <c r="O66">
        <v>0.35799999999999998</v>
      </c>
      <c r="P66" t="s">
        <v>42</v>
      </c>
    </row>
    <row r="67" spans="1:16" hidden="1" x14ac:dyDescent="0.25">
      <c r="A67" s="12">
        <v>46025.708333333336</v>
      </c>
      <c r="B67" t="s">
        <v>18</v>
      </c>
      <c r="C67" t="s">
        <v>25</v>
      </c>
      <c r="D67">
        <v>4</v>
      </c>
      <c r="E67">
        <v>40</v>
      </c>
      <c r="F67">
        <v>26.01954262491925</v>
      </c>
      <c r="G67" t="str">
        <f>FLOOR(FinalData[[#This Row],[Temperature_C]],2)&amp;"–"&amp;(FLOOR(FinalData[[#This Row],[Temperature_C]],2)+2)&amp;"°C"</f>
        <v>26–28°C</v>
      </c>
      <c r="H67">
        <v>2.52</v>
      </c>
      <c r="I67">
        <v>2026</v>
      </c>
      <c r="J67">
        <v>1</v>
      </c>
      <c r="K67">
        <v>3</v>
      </c>
      <c r="L67">
        <v>6</v>
      </c>
      <c r="M67">
        <v>17</v>
      </c>
      <c r="N67">
        <v>0.1</v>
      </c>
      <c r="O67">
        <v>0.63</v>
      </c>
      <c r="P67" t="s">
        <v>43</v>
      </c>
    </row>
    <row r="68" spans="1:16" hidden="1" x14ac:dyDescent="0.25">
      <c r="A68" s="12">
        <v>46025.75</v>
      </c>
      <c r="B68" t="s">
        <v>13</v>
      </c>
      <c r="C68" t="s">
        <v>30</v>
      </c>
      <c r="D68">
        <v>8</v>
      </c>
      <c r="E68">
        <v>40</v>
      </c>
      <c r="F68">
        <v>24.513977233290699</v>
      </c>
      <c r="G68" t="str">
        <f>FLOOR(FinalData[[#This Row],[Temperature_C]],2)&amp;"–"&amp;(FLOOR(FinalData[[#This Row],[Temperature_C]],2)+2)&amp;"°C"</f>
        <v>24–26°C</v>
      </c>
      <c r="H68">
        <v>2.9</v>
      </c>
      <c r="I68">
        <v>2026</v>
      </c>
      <c r="J68">
        <v>1</v>
      </c>
      <c r="K68">
        <v>3</v>
      </c>
      <c r="L68">
        <v>6</v>
      </c>
      <c r="M68">
        <v>18</v>
      </c>
      <c r="N68">
        <v>0.2</v>
      </c>
      <c r="O68">
        <v>0.36249999999999999</v>
      </c>
      <c r="P68" t="s">
        <v>43</v>
      </c>
    </row>
    <row r="69" spans="1:16" hidden="1" x14ac:dyDescent="0.25">
      <c r="A69" s="12">
        <v>46025.791666666664</v>
      </c>
      <c r="B69" t="s">
        <v>9</v>
      </c>
      <c r="C69" t="s">
        <v>31</v>
      </c>
      <c r="D69">
        <v>10</v>
      </c>
      <c r="E69">
        <v>40</v>
      </c>
      <c r="F69">
        <v>23.36106168361086</v>
      </c>
      <c r="G69" t="str">
        <f>FLOOR(FinalData[[#This Row],[Temperature_C]],2)&amp;"–"&amp;(FLOOR(FinalData[[#This Row],[Temperature_C]],2)+2)&amp;"°C"</f>
        <v>22–24°C</v>
      </c>
      <c r="H69">
        <v>4.3</v>
      </c>
      <c r="I69">
        <v>2026</v>
      </c>
      <c r="J69">
        <v>1</v>
      </c>
      <c r="K69">
        <v>3</v>
      </c>
      <c r="L69">
        <v>6</v>
      </c>
      <c r="M69">
        <v>19</v>
      </c>
      <c r="N69">
        <v>0.25</v>
      </c>
      <c r="O69">
        <v>0.43</v>
      </c>
      <c r="P69" t="s">
        <v>43</v>
      </c>
    </row>
    <row r="70" spans="1:16" hidden="1" x14ac:dyDescent="0.25">
      <c r="A70" s="12">
        <v>46025.833333333336</v>
      </c>
      <c r="B70" t="s">
        <v>9</v>
      </c>
      <c r="C70" t="s">
        <v>10</v>
      </c>
      <c r="D70">
        <v>9</v>
      </c>
      <c r="E70">
        <v>20</v>
      </c>
      <c r="F70">
        <v>20.317109684400609</v>
      </c>
      <c r="G70" t="str">
        <f>FLOOR(FinalData[[#This Row],[Temperature_C]],2)&amp;"–"&amp;(FLOOR(FinalData[[#This Row],[Temperature_C]],2)+2)&amp;"°C"</f>
        <v>20–22°C</v>
      </c>
      <c r="H70">
        <v>3.87</v>
      </c>
      <c r="I70">
        <v>2026</v>
      </c>
      <c r="J70">
        <v>1</v>
      </c>
      <c r="K70">
        <v>3</v>
      </c>
      <c r="L70">
        <v>6</v>
      </c>
      <c r="M70">
        <v>20</v>
      </c>
      <c r="N70">
        <v>0.45</v>
      </c>
      <c r="O70">
        <v>0.43</v>
      </c>
      <c r="P70" t="s">
        <v>43</v>
      </c>
    </row>
    <row r="71" spans="1:16" hidden="1" x14ac:dyDescent="0.25">
      <c r="A71" s="12">
        <v>46025.875</v>
      </c>
      <c r="B71" t="s">
        <v>7</v>
      </c>
      <c r="C71" t="s">
        <v>20</v>
      </c>
      <c r="D71">
        <v>12</v>
      </c>
      <c r="E71">
        <v>30</v>
      </c>
      <c r="F71">
        <v>22.683984202842019</v>
      </c>
      <c r="G71" t="str">
        <f>FLOOR(FinalData[[#This Row],[Temperature_C]],2)&amp;"–"&amp;(FLOOR(FinalData[[#This Row],[Temperature_C]],2)+2)&amp;"°C"</f>
        <v>22–24°C</v>
      </c>
      <c r="H71">
        <v>3.77</v>
      </c>
      <c r="I71">
        <v>2026</v>
      </c>
      <c r="J71">
        <v>1</v>
      </c>
      <c r="K71">
        <v>3</v>
      </c>
      <c r="L71">
        <v>6</v>
      </c>
      <c r="M71">
        <v>21</v>
      </c>
      <c r="N71">
        <v>0.4</v>
      </c>
      <c r="O71">
        <v>0.31416666666666665</v>
      </c>
      <c r="P71" t="s">
        <v>40</v>
      </c>
    </row>
    <row r="72" spans="1:16" hidden="1" x14ac:dyDescent="0.25">
      <c r="A72" s="12">
        <v>46025.916666666664</v>
      </c>
      <c r="B72" t="s">
        <v>9</v>
      </c>
      <c r="C72" t="s">
        <v>22</v>
      </c>
      <c r="D72">
        <v>4</v>
      </c>
      <c r="E72">
        <v>40</v>
      </c>
      <c r="F72">
        <v>22.540240857107229</v>
      </c>
      <c r="G72" t="str">
        <f>FLOOR(FinalData[[#This Row],[Temperature_C]],2)&amp;"–"&amp;(FLOOR(FinalData[[#This Row],[Temperature_C]],2)+2)&amp;"°C"</f>
        <v>22–24°C</v>
      </c>
      <c r="H72">
        <v>2.0699999999999998</v>
      </c>
      <c r="I72">
        <v>2026</v>
      </c>
      <c r="J72">
        <v>1</v>
      </c>
      <c r="K72">
        <v>3</v>
      </c>
      <c r="L72">
        <v>6</v>
      </c>
      <c r="M72">
        <v>22</v>
      </c>
      <c r="N72">
        <v>0.1</v>
      </c>
      <c r="O72">
        <v>0.51749999999999996</v>
      </c>
      <c r="P72" t="s">
        <v>40</v>
      </c>
    </row>
    <row r="73" spans="1:16" hidden="1" x14ac:dyDescent="0.25">
      <c r="A73" s="12">
        <v>46025.958333333336</v>
      </c>
      <c r="B73" t="s">
        <v>9</v>
      </c>
      <c r="C73" t="s">
        <v>15</v>
      </c>
      <c r="D73">
        <v>6</v>
      </c>
      <c r="E73">
        <v>20</v>
      </c>
      <c r="F73">
        <v>17.606226714116861</v>
      </c>
      <c r="G73" t="str">
        <f>FLOOR(FinalData[[#This Row],[Temperature_C]],2)&amp;"–"&amp;(FLOOR(FinalData[[#This Row],[Temperature_C]],2)+2)&amp;"°C"</f>
        <v>16–18°C</v>
      </c>
      <c r="H73">
        <v>2.94</v>
      </c>
      <c r="I73">
        <v>2026</v>
      </c>
      <c r="J73">
        <v>1</v>
      </c>
      <c r="K73">
        <v>3</v>
      </c>
      <c r="L73">
        <v>6</v>
      </c>
      <c r="M73">
        <v>23</v>
      </c>
      <c r="N73">
        <v>0.3</v>
      </c>
      <c r="O73">
        <v>0.49</v>
      </c>
      <c r="P73" t="s">
        <v>40</v>
      </c>
    </row>
    <row r="74" spans="1:16" hidden="1" x14ac:dyDescent="0.25">
      <c r="A74" s="12">
        <v>46026</v>
      </c>
      <c r="B74" t="s">
        <v>18</v>
      </c>
      <c r="C74" t="s">
        <v>20</v>
      </c>
      <c r="D74">
        <v>6</v>
      </c>
      <c r="E74">
        <v>40</v>
      </c>
      <c r="F74">
        <v>21.40177885834947</v>
      </c>
      <c r="G74" t="str">
        <f>FLOOR(FinalData[[#This Row],[Temperature_C]],2)&amp;"–"&amp;(FLOOR(FinalData[[#This Row],[Temperature_C]],2)+2)&amp;"°C"</f>
        <v>20–22°C</v>
      </c>
      <c r="H74">
        <v>2.34</v>
      </c>
      <c r="I74">
        <v>2026</v>
      </c>
      <c r="J74">
        <v>1</v>
      </c>
      <c r="K74">
        <v>4</v>
      </c>
      <c r="L74">
        <v>0</v>
      </c>
      <c r="M74">
        <v>0</v>
      </c>
      <c r="N74">
        <v>0.15</v>
      </c>
      <c r="O74">
        <v>0.38999999999999996</v>
      </c>
      <c r="P74" t="s">
        <v>40</v>
      </c>
    </row>
    <row r="75" spans="1:16" hidden="1" x14ac:dyDescent="0.25">
      <c r="A75" s="12">
        <v>46026.041666666664</v>
      </c>
      <c r="B75" t="s">
        <v>18</v>
      </c>
      <c r="C75" t="s">
        <v>30</v>
      </c>
      <c r="D75">
        <v>8</v>
      </c>
      <c r="E75">
        <v>40</v>
      </c>
      <c r="F75">
        <v>22.934493459567999</v>
      </c>
      <c r="G75" t="str">
        <f>FLOOR(FinalData[[#This Row],[Temperature_C]],2)&amp;"–"&amp;(FLOOR(FinalData[[#This Row],[Temperature_C]],2)+2)&amp;"°C"</f>
        <v>22–24°C</v>
      </c>
      <c r="H75">
        <v>2.78</v>
      </c>
      <c r="I75">
        <v>2026</v>
      </c>
      <c r="J75">
        <v>1</v>
      </c>
      <c r="K75">
        <v>4</v>
      </c>
      <c r="L75">
        <v>0</v>
      </c>
      <c r="M75">
        <v>1</v>
      </c>
      <c r="N75">
        <v>0.2</v>
      </c>
      <c r="O75">
        <v>0.34749999999999998</v>
      </c>
      <c r="P75" t="s">
        <v>40</v>
      </c>
    </row>
    <row r="76" spans="1:16" hidden="1" x14ac:dyDescent="0.25">
      <c r="A76" s="12">
        <v>46026.083333333336</v>
      </c>
      <c r="B76" t="s">
        <v>7</v>
      </c>
      <c r="C76" t="s">
        <v>29</v>
      </c>
      <c r="D76">
        <v>8</v>
      </c>
      <c r="E76">
        <v>20</v>
      </c>
      <c r="F76">
        <v>23.579684528336941</v>
      </c>
      <c r="G76" t="str">
        <f>FLOOR(FinalData[[#This Row],[Temperature_C]],2)&amp;"–"&amp;(FLOOR(FinalData[[#This Row],[Temperature_C]],2)+2)&amp;"°C"</f>
        <v>22–24°C</v>
      </c>
      <c r="H76">
        <v>2.96</v>
      </c>
      <c r="I76">
        <v>2026</v>
      </c>
      <c r="J76">
        <v>1</v>
      </c>
      <c r="K76">
        <v>4</v>
      </c>
      <c r="L76">
        <v>0</v>
      </c>
      <c r="M76">
        <v>2</v>
      </c>
      <c r="N76">
        <v>0.4</v>
      </c>
      <c r="O76">
        <v>0.37</v>
      </c>
      <c r="P76" t="s">
        <v>40</v>
      </c>
    </row>
    <row r="77" spans="1:16" hidden="1" x14ac:dyDescent="0.25">
      <c r="A77" s="12">
        <v>46026.125</v>
      </c>
      <c r="B77" t="s">
        <v>11</v>
      </c>
      <c r="C77" t="s">
        <v>16</v>
      </c>
      <c r="D77">
        <v>6</v>
      </c>
      <c r="E77">
        <v>40</v>
      </c>
      <c r="F77">
        <v>24.871356786294921</v>
      </c>
      <c r="G77" t="str">
        <f>FLOOR(FinalData[[#This Row],[Temperature_C]],2)&amp;"–"&amp;(FLOOR(FinalData[[#This Row],[Temperature_C]],2)+2)&amp;"°C"</f>
        <v>24–26°C</v>
      </c>
      <c r="H77">
        <v>3.11</v>
      </c>
      <c r="I77">
        <v>2026</v>
      </c>
      <c r="J77">
        <v>1</v>
      </c>
      <c r="K77">
        <v>4</v>
      </c>
      <c r="L77">
        <v>0</v>
      </c>
      <c r="M77">
        <v>3</v>
      </c>
      <c r="N77">
        <v>0.15</v>
      </c>
      <c r="O77">
        <v>0.51833333333333331</v>
      </c>
      <c r="P77" t="s">
        <v>40</v>
      </c>
    </row>
    <row r="78" spans="1:16" hidden="1" x14ac:dyDescent="0.25">
      <c r="A78" s="12">
        <v>46026.166666666664</v>
      </c>
      <c r="B78" t="s">
        <v>13</v>
      </c>
      <c r="C78" t="s">
        <v>16</v>
      </c>
      <c r="D78">
        <v>4</v>
      </c>
      <c r="E78">
        <v>25</v>
      </c>
      <c r="F78">
        <v>23.19749155527467</v>
      </c>
      <c r="G78" t="str">
        <f>FLOOR(FinalData[[#This Row],[Temperature_C]],2)&amp;"–"&amp;(FLOOR(FinalData[[#This Row],[Temperature_C]],2)+2)&amp;"°C"</f>
        <v>22–24°C</v>
      </c>
      <c r="H78">
        <v>1.94</v>
      </c>
      <c r="I78">
        <v>2026</v>
      </c>
      <c r="J78">
        <v>1</v>
      </c>
      <c r="K78">
        <v>4</v>
      </c>
      <c r="L78">
        <v>0</v>
      </c>
      <c r="M78">
        <v>4</v>
      </c>
      <c r="N78">
        <v>0.16</v>
      </c>
      <c r="O78">
        <v>0.48499999999999999</v>
      </c>
      <c r="P78" t="s">
        <v>40</v>
      </c>
    </row>
    <row r="79" spans="1:16" hidden="1" x14ac:dyDescent="0.25">
      <c r="A79" s="12">
        <v>46026.208333333336</v>
      </c>
      <c r="B79" t="s">
        <v>7</v>
      </c>
      <c r="C79" t="s">
        <v>10</v>
      </c>
      <c r="D79">
        <v>8</v>
      </c>
      <c r="E79">
        <v>30</v>
      </c>
      <c r="F79">
        <v>20.837873344800201</v>
      </c>
      <c r="G79" t="str">
        <f>FLOOR(FinalData[[#This Row],[Temperature_C]],2)&amp;"–"&amp;(FLOOR(FinalData[[#This Row],[Temperature_C]],2)+2)&amp;"°C"</f>
        <v>20–22°C</v>
      </c>
      <c r="H79">
        <v>3.16</v>
      </c>
      <c r="I79">
        <v>2026</v>
      </c>
      <c r="J79">
        <v>1</v>
      </c>
      <c r="K79">
        <v>4</v>
      </c>
      <c r="L79">
        <v>0</v>
      </c>
      <c r="M79">
        <v>5</v>
      </c>
      <c r="N79">
        <v>0.26666666666666666</v>
      </c>
      <c r="O79">
        <v>0.39500000000000002</v>
      </c>
      <c r="P79" t="s">
        <v>40</v>
      </c>
    </row>
    <row r="80" spans="1:16" hidden="1" x14ac:dyDescent="0.25">
      <c r="A80" s="12">
        <v>46026.25</v>
      </c>
      <c r="B80" t="s">
        <v>18</v>
      </c>
      <c r="C80" t="s">
        <v>30</v>
      </c>
      <c r="D80">
        <v>3</v>
      </c>
      <c r="E80">
        <v>20</v>
      </c>
      <c r="F80">
        <v>23.652266044484239</v>
      </c>
      <c r="G80" t="str">
        <f>FLOOR(FinalData[[#This Row],[Temperature_C]],2)&amp;"–"&amp;(FLOOR(FinalData[[#This Row],[Temperature_C]],2)+2)&amp;"°C"</f>
        <v>22–24°C</v>
      </c>
      <c r="H80">
        <v>1.42</v>
      </c>
      <c r="I80">
        <v>2026</v>
      </c>
      <c r="J80">
        <v>1</v>
      </c>
      <c r="K80">
        <v>4</v>
      </c>
      <c r="L80">
        <v>0</v>
      </c>
      <c r="M80">
        <v>6</v>
      </c>
      <c r="N80">
        <v>0.15</v>
      </c>
      <c r="O80">
        <v>0.47333333333333333</v>
      </c>
      <c r="P80" t="s">
        <v>40</v>
      </c>
    </row>
    <row r="81" spans="1:16" hidden="1" x14ac:dyDescent="0.25">
      <c r="A81" s="12">
        <v>46026.291666666664</v>
      </c>
      <c r="B81" t="s">
        <v>18</v>
      </c>
      <c r="C81" t="s">
        <v>25</v>
      </c>
      <c r="D81">
        <v>10</v>
      </c>
      <c r="E81">
        <v>25</v>
      </c>
      <c r="F81">
        <v>19.49306116749867</v>
      </c>
      <c r="G81" t="str">
        <f>FLOOR(FinalData[[#This Row],[Temperature_C]],2)&amp;"–"&amp;(FLOOR(FinalData[[#This Row],[Temperature_C]],2)+2)&amp;"°C"</f>
        <v>18–20°C</v>
      </c>
      <c r="H81">
        <v>3.51</v>
      </c>
      <c r="I81">
        <v>2026</v>
      </c>
      <c r="J81">
        <v>1</v>
      </c>
      <c r="K81">
        <v>4</v>
      </c>
      <c r="L81">
        <v>0</v>
      </c>
      <c r="M81">
        <v>7</v>
      </c>
      <c r="N81">
        <v>0.4</v>
      </c>
      <c r="O81">
        <v>0.35099999999999998</v>
      </c>
      <c r="P81" t="s">
        <v>41</v>
      </c>
    </row>
    <row r="82" spans="1:16" hidden="1" x14ac:dyDescent="0.25">
      <c r="A82" s="12">
        <v>46026.333333333336</v>
      </c>
      <c r="B82" t="s">
        <v>9</v>
      </c>
      <c r="C82" t="s">
        <v>30</v>
      </c>
      <c r="D82">
        <v>8</v>
      </c>
      <c r="E82">
        <v>20</v>
      </c>
      <c r="F82">
        <v>23.615603537784121</v>
      </c>
      <c r="G82" t="str">
        <f>FLOOR(FinalData[[#This Row],[Temperature_C]],2)&amp;"–"&amp;(FLOOR(FinalData[[#This Row],[Temperature_C]],2)+2)&amp;"°C"</f>
        <v>22–24°C</v>
      </c>
      <c r="H82">
        <v>2.5299999999999998</v>
      </c>
      <c r="I82">
        <v>2026</v>
      </c>
      <c r="J82">
        <v>1</v>
      </c>
      <c r="K82">
        <v>4</v>
      </c>
      <c r="L82">
        <v>0</v>
      </c>
      <c r="M82">
        <v>8</v>
      </c>
      <c r="N82">
        <v>0.4</v>
      </c>
      <c r="O82">
        <v>0.31624999999999998</v>
      </c>
      <c r="P82" t="s">
        <v>41</v>
      </c>
    </row>
    <row r="83" spans="1:16" hidden="1" x14ac:dyDescent="0.25">
      <c r="A83" s="12">
        <v>46026.375</v>
      </c>
      <c r="B83" t="s">
        <v>7</v>
      </c>
      <c r="C83" t="s">
        <v>29</v>
      </c>
      <c r="D83">
        <v>8</v>
      </c>
      <c r="E83">
        <v>40</v>
      </c>
      <c r="F83">
        <v>19.74081402804735</v>
      </c>
      <c r="G83" t="str">
        <f>FLOOR(FinalData[[#This Row],[Temperature_C]],2)&amp;"–"&amp;(FLOOR(FinalData[[#This Row],[Temperature_C]],2)+2)&amp;"°C"</f>
        <v>18–20°C</v>
      </c>
      <c r="H83">
        <v>3.3</v>
      </c>
      <c r="I83">
        <v>2026</v>
      </c>
      <c r="J83">
        <v>1</v>
      </c>
      <c r="K83">
        <v>4</v>
      </c>
      <c r="L83">
        <v>0</v>
      </c>
      <c r="M83">
        <v>9</v>
      </c>
      <c r="N83">
        <v>0.2</v>
      </c>
      <c r="O83">
        <v>0.41249999999999998</v>
      </c>
      <c r="P83" t="s">
        <v>41</v>
      </c>
    </row>
    <row r="84" spans="1:16" hidden="1" x14ac:dyDescent="0.25">
      <c r="A84" s="12">
        <v>46026.416666666664</v>
      </c>
      <c r="B84" t="s">
        <v>18</v>
      </c>
      <c r="C84" t="s">
        <v>22</v>
      </c>
      <c r="D84">
        <v>5</v>
      </c>
      <c r="E84">
        <v>25</v>
      </c>
      <c r="F84">
        <v>26.241066890331751</v>
      </c>
      <c r="G84" t="str">
        <f>FLOOR(FinalData[[#This Row],[Temperature_C]],2)&amp;"–"&amp;(FLOOR(FinalData[[#This Row],[Temperature_C]],2)+2)&amp;"°C"</f>
        <v>26–28°C</v>
      </c>
      <c r="H84">
        <v>3.16</v>
      </c>
      <c r="I84">
        <v>2026</v>
      </c>
      <c r="J84">
        <v>1</v>
      </c>
      <c r="K84">
        <v>4</v>
      </c>
      <c r="L84">
        <v>0</v>
      </c>
      <c r="M84">
        <v>10</v>
      </c>
      <c r="N84">
        <v>0.2</v>
      </c>
      <c r="O84">
        <v>0.63200000000000001</v>
      </c>
      <c r="P84" t="s">
        <v>41</v>
      </c>
    </row>
    <row r="85" spans="1:16" hidden="1" x14ac:dyDescent="0.25">
      <c r="A85" s="12">
        <v>46026.458333333336</v>
      </c>
      <c r="B85" t="s">
        <v>9</v>
      </c>
      <c r="C85" t="s">
        <v>23</v>
      </c>
      <c r="D85">
        <v>7</v>
      </c>
      <c r="E85">
        <v>25</v>
      </c>
      <c r="F85">
        <v>22.30397382740632</v>
      </c>
      <c r="G85" t="str">
        <f>FLOOR(FinalData[[#This Row],[Temperature_C]],2)&amp;"–"&amp;(FLOOR(FinalData[[#This Row],[Temperature_C]],2)+2)&amp;"°C"</f>
        <v>22–24°C</v>
      </c>
      <c r="H85">
        <v>2.66</v>
      </c>
      <c r="I85">
        <v>2026</v>
      </c>
      <c r="J85">
        <v>1</v>
      </c>
      <c r="K85">
        <v>4</v>
      </c>
      <c r="L85">
        <v>0</v>
      </c>
      <c r="M85">
        <v>11</v>
      </c>
      <c r="N85">
        <v>0.28000000000000003</v>
      </c>
      <c r="O85">
        <v>0.38</v>
      </c>
      <c r="P85" t="s">
        <v>41</v>
      </c>
    </row>
    <row r="86" spans="1:16" hidden="1" x14ac:dyDescent="0.25">
      <c r="A86" s="12">
        <v>46026.5</v>
      </c>
      <c r="B86" t="s">
        <v>7</v>
      </c>
      <c r="C86" t="s">
        <v>15</v>
      </c>
      <c r="D86">
        <v>9</v>
      </c>
      <c r="E86">
        <v>20</v>
      </c>
      <c r="F86">
        <v>23.190641613895441</v>
      </c>
      <c r="G86" t="str">
        <f>FLOOR(FinalData[[#This Row],[Temperature_C]],2)&amp;"–"&amp;(FLOOR(FinalData[[#This Row],[Temperature_C]],2)+2)&amp;"°C"</f>
        <v>22–24°C</v>
      </c>
      <c r="H86">
        <v>3.28</v>
      </c>
      <c r="I86">
        <v>2026</v>
      </c>
      <c r="J86">
        <v>1</v>
      </c>
      <c r="K86">
        <v>4</v>
      </c>
      <c r="L86">
        <v>0</v>
      </c>
      <c r="M86">
        <v>12</v>
      </c>
      <c r="N86">
        <v>0.45</v>
      </c>
      <c r="O86">
        <v>0.3644444444444444</v>
      </c>
      <c r="P86" t="s">
        <v>42</v>
      </c>
    </row>
    <row r="87" spans="1:16" hidden="1" x14ac:dyDescent="0.25">
      <c r="A87" s="12">
        <v>46026.541666666664</v>
      </c>
      <c r="B87" t="s">
        <v>11</v>
      </c>
      <c r="C87" t="s">
        <v>25</v>
      </c>
      <c r="D87">
        <v>4</v>
      </c>
      <c r="E87">
        <v>20</v>
      </c>
      <c r="F87">
        <v>28.120169076537589</v>
      </c>
      <c r="G87" t="str">
        <f>FLOOR(FinalData[[#This Row],[Temperature_C]],2)&amp;"–"&amp;(FLOOR(FinalData[[#This Row],[Temperature_C]],2)+2)&amp;"°C"</f>
        <v>28–30°C</v>
      </c>
      <c r="H87">
        <v>2.69</v>
      </c>
      <c r="I87">
        <v>2026</v>
      </c>
      <c r="J87">
        <v>1</v>
      </c>
      <c r="K87">
        <v>4</v>
      </c>
      <c r="L87">
        <v>0</v>
      </c>
      <c r="M87">
        <v>13</v>
      </c>
      <c r="N87">
        <v>0.2</v>
      </c>
      <c r="O87">
        <v>0.67249999999999999</v>
      </c>
      <c r="P87" t="s">
        <v>42</v>
      </c>
    </row>
    <row r="88" spans="1:16" hidden="1" x14ac:dyDescent="0.25">
      <c r="A88" s="12">
        <v>46026.583333333336</v>
      </c>
      <c r="B88" t="s">
        <v>11</v>
      </c>
      <c r="C88" t="s">
        <v>24</v>
      </c>
      <c r="D88">
        <v>7</v>
      </c>
      <c r="E88">
        <v>30</v>
      </c>
      <c r="F88">
        <v>24.41550387091095</v>
      </c>
      <c r="G88" t="str">
        <f>FLOOR(FinalData[[#This Row],[Temperature_C]],2)&amp;"–"&amp;(FLOOR(FinalData[[#This Row],[Temperature_C]],2)+2)&amp;"°C"</f>
        <v>24–26°C</v>
      </c>
      <c r="H88">
        <v>2.74</v>
      </c>
      <c r="I88">
        <v>2026</v>
      </c>
      <c r="J88">
        <v>1</v>
      </c>
      <c r="K88">
        <v>4</v>
      </c>
      <c r="L88">
        <v>0</v>
      </c>
      <c r="M88">
        <v>14</v>
      </c>
      <c r="N88">
        <v>0.23333333333333334</v>
      </c>
      <c r="O88">
        <v>0.39142857142857146</v>
      </c>
      <c r="P88" t="s">
        <v>42</v>
      </c>
    </row>
    <row r="89" spans="1:16" hidden="1" x14ac:dyDescent="0.25">
      <c r="A89" s="12">
        <v>46026.625</v>
      </c>
      <c r="B89" t="s">
        <v>13</v>
      </c>
      <c r="C89" t="s">
        <v>8</v>
      </c>
      <c r="D89">
        <v>9</v>
      </c>
      <c r="E89">
        <v>20</v>
      </c>
      <c r="F89">
        <v>23.355402001866508</v>
      </c>
      <c r="G89" t="str">
        <f>FLOOR(FinalData[[#This Row],[Temperature_C]],2)&amp;"–"&amp;(FLOOR(FinalData[[#This Row],[Temperature_C]],2)+2)&amp;"°C"</f>
        <v>22–24°C</v>
      </c>
      <c r="H89">
        <v>2.85</v>
      </c>
      <c r="I89">
        <v>2026</v>
      </c>
      <c r="J89">
        <v>1</v>
      </c>
      <c r="K89">
        <v>4</v>
      </c>
      <c r="L89">
        <v>0</v>
      </c>
      <c r="M89">
        <v>15</v>
      </c>
      <c r="N89">
        <v>0.45</v>
      </c>
      <c r="O89">
        <v>0.31666666666666665</v>
      </c>
      <c r="P89" t="s">
        <v>42</v>
      </c>
    </row>
    <row r="90" spans="1:16" hidden="1" x14ac:dyDescent="0.25">
      <c r="A90" s="12">
        <v>46026.666666666664</v>
      </c>
      <c r="B90" t="s">
        <v>18</v>
      </c>
      <c r="C90" t="s">
        <v>16</v>
      </c>
      <c r="D90">
        <v>11</v>
      </c>
      <c r="E90">
        <v>40</v>
      </c>
      <c r="F90">
        <v>23.859236438265171</v>
      </c>
      <c r="G90" t="str">
        <f>FLOOR(FinalData[[#This Row],[Temperature_C]],2)&amp;"–"&amp;(FLOOR(FinalData[[#This Row],[Temperature_C]],2)+2)&amp;"°C"</f>
        <v>22–24°C</v>
      </c>
      <c r="H90">
        <v>3.89</v>
      </c>
      <c r="I90">
        <v>2026</v>
      </c>
      <c r="J90">
        <v>1</v>
      </c>
      <c r="K90">
        <v>4</v>
      </c>
      <c r="L90">
        <v>0</v>
      </c>
      <c r="M90">
        <v>16</v>
      </c>
      <c r="N90">
        <v>0.27500000000000002</v>
      </c>
      <c r="O90">
        <v>0.35363636363636364</v>
      </c>
      <c r="P90" t="s">
        <v>42</v>
      </c>
    </row>
    <row r="91" spans="1:16" hidden="1" x14ac:dyDescent="0.25">
      <c r="A91" s="12">
        <v>46026.708333333336</v>
      </c>
      <c r="B91" t="s">
        <v>13</v>
      </c>
      <c r="C91" t="s">
        <v>21</v>
      </c>
      <c r="D91">
        <v>9</v>
      </c>
      <c r="E91">
        <v>40</v>
      </c>
      <c r="F91">
        <v>23.056636752260921</v>
      </c>
      <c r="G91" t="str">
        <f>FLOOR(FinalData[[#This Row],[Temperature_C]],2)&amp;"–"&amp;(FLOOR(FinalData[[#This Row],[Temperature_C]],2)+2)&amp;"°C"</f>
        <v>22–24°C</v>
      </c>
      <c r="H91">
        <v>3.22</v>
      </c>
      <c r="I91">
        <v>2026</v>
      </c>
      <c r="J91">
        <v>1</v>
      </c>
      <c r="K91">
        <v>4</v>
      </c>
      <c r="L91">
        <v>0</v>
      </c>
      <c r="M91">
        <v>17</v>
      </c>
      <c r="N91">
        <v>0.22500000000000001</v>
      </c>
      <c r="O91">
        <v>0.35777777777777781</v>
      </c>
      <c r="P91" t="s">
        <v>43</v>
      </c>
    </row>
    <row r="92" spans="1:16" hidden="1" x14ac:dyDescent="0.25">
      <c r="A92" s="12">
        <v>46026.75</v>
      </c>
      <c r="B92" t="s">
        <v>7</v>
      </c>
      <c r="C92" t="s">
        <v>24</v>
      </c>
      <c r="D92">
        <v>5</v>
      </c>
      <c r="E92">
        <v>30</v>
      </c>
      <c r="F92">
        <v>23.444267543267429</v>
      </c>
      <c r="G92" t="str">
        <f>FLOOR(FinalData[[#This Row],[Temperature_C]],2)&amp;"–"&amp;(FLOOR(FinalData[[#This Row],[Temperature_C]],2)+2)&amp;"°C"</f>
        <v>22–24°C</v>
      </c>
      <c r="H92">
        <v>2.12</v>
      </c>
      <c r="I92">
        <v>2026</v>
      </c>
      <c r="J92">
        <v>1</v>
      </c>
      <c r="K92">
        <v>4</v>
      </c>
      <c r="L92">
        <v>0</v>
      </c>
      <c r="M92">
        <v>18</v>
      </c>
      <c r="N92">
        <v>0.16666666666666666</v>
      </c>
      <c r="O92">
        <v>0.42400000000000004</v>
      </c>
      <c r="P92" t="s">
        <v>43</v>
      </c>
    </row>
    <row r="93" spans="1:16" hidden="1" x14ac:dyDescent="0.25">
      <c r="A93" s="12">
        <v>46026.791666666664</v>
      </c>
      <c r="B93" t="s">
        <v>18</v>
      </c>
      <c r="C93" t="s">
        <v>28</v>
      </c>
      <c r="D93">
        <v>9</v>
      </c>
      <c r="E93">
        <v>25</v>
      </c>
      <c r="F93">
        <v>23.164567978550849</v>
      </c>
      <c r="G93" t="str">
        <f>FLOOR(FinalData[[#This Row],[Temperature_C]],2)&amp;"–"&amp;(FLOOR(FinalData[[#This Row],[Temperature_C]],2)+2)&amp;"°C"</f>
        <v>22–24°C</v>
      </c>
      <c r="H93">
        <v>3.54</v>
      </c>
      <c r="I93">
        <v>2026</v>
      </c>
      <c r="J93">
        <v>1</v>
      </c>
      <c r="K93">
        <v>4</v>
      </c>
      <c r="L93">
        <v>0</v>
      </c>
      <c r="M93">
        <v>19</v>
      </c>
      <c r="N93">
        <v>0.36</v>
      </c>
      <c r="O93">
        <v>0.39333333333333331</v>
      </c>
      <c r="P93" t="s">
        <v>43</v>
      </c>
    </row>
    <row r="94" spans="1:16" hidden="1" x14ac:dyDescent="0.25">
      <c r="A94" s="12">
        <v>46026.833333333336</v>
      </c>
      <c r="B94" t="s">
        <v>18</v>
      </c>
      <c r="C94" t="s">
        <v>25</v>
      </c>
      <c r="D94">
        <v>15</v>
      </c>
      <c r="E94">
        <v>20</v>
      </c>
      <c r="F94">
        <v>20.311098977931451</v>
      </c>
      <c r="G94" t="str">
        <f>FLOOR(FinalData[[#This Row],[Temperature_C]],2)&amp;"–"&amp;(FLOOR(FinalData[[#This Row],[Temperature_C]],2)+2)&amp;"°C"</f>
        <v>20–22°C</v>
      </c>
      <c r="H94">
        <v>4.53</v>
      </c>
      <c r="I94">
        <v>2026</v>
      </c>
      <c r="J94">
        <v>1</v>
      </c>
      <c r="K94">
        <v>4</v>
      </c>
      <c r="L94">
        <v>0</v>
      </c>
      <c r="M94">
        <v>20</v>
      </c>
      <c r="N94">
        <v>0.75</v>
      </c>
      <c r="O94">
        <v>0.30199999999999999</v>
      </c>
      <c r="P94" t="s">
        <v>43</v>
      </c>
    </row>
    <row r="95" spans="1:16" hidden="1" x14ac:dyDescent="0.25">
      <c r="A95" s="12">
        <v>46026.875</v>
      </c>
      <c r="B95" t="s">
        <v>7</v>
      </c>
      <c r="C95" t="s">
        <v>30</v>
      </c>
      <c r="D95">
        <v>3</v>
      </c>
      <c r="E95">
        <v>20</v>
      </c>
      <c r="F95">
        <v>22.930630225226441</v>
      </c>
      <c r="G95" t="str">
        <f>FLOOR(FinalData[[#This Row],[Temperature_C]],2)&amp;"–"&amp;(FLOOR(FinalData[[#This Row],[Temperature_C]],2)+2)&amp;"°C"</f>
        <v>22–24°C</v>
      </c>
      <c r="H95">
        <v>1.76</v>
      </c>
      <c r="I95">
        <v>2026</v>
      </c>
      <c r="J95">
        <v>1</v>
      </c>
      <c r="K95">
        <v>4</v>
      </c>
      <c r="L95">
        <v>0</v>
      </c>
      <c r="M95">
        <v>21</v>
      </c>
      <c r="N95">
        <v>0.15</v>
      </c>
      <c r="O95">
        <v>0.58666666666666667</v>
      </c>
      <c r="P95" t="s">
        <v>40</v>
      </c>
    </row>
    <row r="96" spans="1:16" hidden="1" x14ac:dyDescent="0.25">
      <c r="A96" s="12">
        <v>46026.916666666664</v>
      </c>
      <c r="B96" t="s">
        <v>18</v>
      </c>
      <c r="C96" t="s">
        <v>16</v>
      </c>
      <c r="D96">
        <v>11</v>
      </c>
      <c r="E96">
        <v>20</v>
      </c>
      <c r="F96">
        <v>23.332904416426111</v>
      </c>
      <c r="G96" t="str">
        <f>FLOOR(FinalData[[#This Row],[Temperature_C]],2)&amp;"–"&amp;(FLOOR(FinalData[[#This Row],[Temperature_C]],2)+2)&amp;"°C"</f>
        <v>22–24°C</v>
      </c>
      <c r="H96">
        <v>3.9</v>
      </c>
      <c r="I96">
        <v>2026</v>
      </c>
      <c r="J96">
        <v>1</v>
      </c>
      <c r="K96">
        <v>4</v>
      </c>
      <c r="L96">
        <v>0</v>
      </c>
      <c r="M96">
        <v>22</v>
      </c>
      <c r="N96">
        <v>0.55000000000000004</v>
      </c>
      <c r="O96">
        <v>0.35454545454545455</v>
      </c>
      <c r="P96" t="s">
        <v>40</v>
      </c>
    </row>
    <row r="97" spans="1:16" hidden="1" x14ac:dyDescent="0.25">
      <c r="A97" s="12">
        <v>46026.958333333336</v>
      </c>
      <c r="B97" t="s">
        <v>18</v>
      </c>
      <c r="C97" t="s">
        <v>16</v>
      </c>
      <c r="D97">
        <v>7</v>
      </c>
      <c r="E97">
        <v>40</v>
      </c>
      <c r="F97">
        <v>25.841008495979711</v>
      </c>
      <c r="G97" t="str">
        <f>FLOOR(FinalData[[#This Row],[Temperature_C]],2)&amp;"–"&amp;(FLOOR(FinalData[[#This Row],[Temperature_C]],2)+2)&amp;"°C"</f>
        <v>24–26°C</v>
      </c>
      <c r="H97">
        <v>2.95</v>
      </c>
      <c r="I97">
        <v>2026</v>
      </c>
      <c r="J97">
        <v>1</v>
      </c>
      <c r="K97">
        <v>4</v>
      </c>
      <c r="L97">
        <v>0</v>
      </c>
      <c r="M97">
        <v>23</v>
      </c>
      <c r="N97">
        <v>0.17499999999999999</v>
      </c>
      <c r="O97">
        <v>0.42142857142857143</v>
      </c>
      <c r="P97" t="s">
        <v>40</v>
      </c>
    </row>
    <row r="98" spans="1:16" hidden="1" x14ac:dyDescent="0.25">
      <c r="A98" s="12">
        <v>46027</v>
      </c>
      <c r="B98" t="s">
        <v>7</v>
      </c>
      <c r="C98" t="s">
        <v>22</v>
      </c>
      <c r="D98">
        <v>8</v>
      </c>
      <c r="E98">
        <v>25</v>
      </c>
      <c r="F98">
        <v>22.27492994980128</v>
      </c>
      <c r="G98" t="str">
        <f>FLOOR(FinalData[[#This Row],[Temperature_C]],2)&amp;"–"&amp;(FLOOR(FinalData[[#This Row],[Temperature_C]],2)+2)&amp;"°C"</f>
        <v>22–24°C</v>
      </c>
      <c r="H98">
        <v>3.02</v>
      </c>
      <c r="I98">
        <v>2026</v>
      </c>
      <c r="J98">
        <v>1</v>
      </c>
      <c r="K98">
        <v>5</v>
      </c>
      <c r="L98">
        <v>1</v>
      </c>
      <c r="M98">
        <v>0</v>
      </c>
      <c r="N98">
        <v>0.32</v>
      </c>
      <c r="O98">
        <v>0.3775</v>
      </c>
      <c r="P98" t="s">
        <v>40</v>
      </c>
    </row>
    <row r="99" spans="1:16" hidden="1" x14ac:dyDescent="0.25">
      <c r="A99" s="12">
        <v>46027.041666666664</v>
      </c>
      <c r="B99" t="s">
        <v>7</v>
      </c>
      <c r="C99" t="s">
        <v>10</v>
      </c>
      <c r="D99">
        <v>10</v>
      </c>
      <c r="E99">
        <v>40</v>
      </c>
      <c r="F99">
        <v>22.93374605425241</v>
      </c>
      <c r="G99" t="str">
        <f>FLOOR(FinalData[[#This Row],[Temperature_C]],2)&amp;"–"&amp;(FLOOR(FinalData[[#This Row],[Temperature_C]],2)+2)&amp;"°C"</f>
        <v>22–24°C</v>
      </c>
      <c r="H99">
        <v>3.98</v>
      </c>
      <c r="I99">
        <v>2026</v>
      </c>
      <c r="J99">
        <v>1</v>
      </c>
      <c r="K99">
        <v>5</v>
      </c>
      <c r="L99">
        <v>1</v>
      </c>
      <c r="M99">
        <v>1</v>
      </c>
      <c r="N99">
        <v>0.25</v>
      </c>
      <c r="O99">
        <v>0.39800000000000002</v>
      </c>
      <c r="P99" t="s">
        <v>40</v>
      </c>
    </row>
    <row r="100" spans="1:16" hidden="1" x14ac:dyDescent="0.25">
      <c r="A100" s="12">
        <v>46027.083333333336</v>
      </c>
      <c r="B100" t="s">
        <v>7</v>
      </c>
      <c r="C100" t="s">
        <v>10</v>
      </c>
      <c r="D100">
        <v>6</v>
      </c>
      <c r="E100">
        <v>20</v>
      </c>
      <c r="F100">
        <v>25.411256155905679</v>
      </c>
      <c r="G100" t="str">
        <f>FLOOR(FinalData[[#This Row],[Temperature_C]],2)&amp;"–"&amp;(FLOOR(FinalData[[#This Row],[Temperature_C]],2)+2)&amp;"°C"</f>
        <v>24–26°C</v>
      </c>
      <c r="H100">
        <v>2.91</v>
      </c>
      <c r="I100">
        <v>2026</v>
      </c>
      <c r="J100">
        <v>1</v>
      </c>
      <c r="K100">
        <v>5</v>
      </c>
      <c r="L100">
        <v>1</v>
      </c>
      <c r="M100">
        <v>2</v>
      </c>
      <c r="N100">
        <v>0.3</v>
      </c>
      <c r="O100">
        <v>0.48500000000000004</v>
      </c>
      <c r="P100" t="s">
        <v>40</v>
      </c>
    </row>
    <row r="101" spans="1:16" hidden="1" x14ac:dyDescent="0.25">
      <c r="A101" s="12">
        <v>46027.125</v>
      </c>
      <c r="B101" t="s">
        <v>11</v>
      </c>
      <c r="C101" t="s">
        <v>31</v>
      </c>
      <c r="D101">
        <v>15</v>
      </c>
      <c r="E101">
        <v>25</v>
      </c>
      <c r="F101">
        <v>22.259353262805408</v>
      </c>
      <c r="G101" t="str">
        <f>FLOOR(FinalData[[#This Row],[Temperature_C]],2)&amp;"–"&amp;(FLOOR(FinalData[[#This Row],[Temperature_C]],2)+2)&amp;"°C"</f>
        <v>22–24°C</v>
      </c>
      <c r="H101">
        <v>4.34</v>
      </c>
      <c r="I101">
        <v>2026</v>
      </c>
      <c r="J101">
        <v>1</v>
      </c>
      <c r="K101">
        <v>5</v>
      </c>
      <c r="L101">
        <v>1</v>
      </c>
      <c r="M101">
        <v>3</v>
      </c>
      <c r="N101">
        <v>0.6</v>
      </c>
      <c r="O101">
        <v>0.28933333333333333</v>
      </c>
      <c r="P101" t="s">
        <v>40</v>
      </c>
    </row>
    <row r="102" spans="1:16" hidden="1" x14ac:dyDescent="0.25">
      <c r="A102" s="12">
        <v>46027.166666666664</v>
      </c>
      <c r="B102" t="s">
        <v>18</v>
      </c>
      <c r="C102" t="s">
        <v>17</v>
      </c>
      <c r="D102">
        <v>5</v>
      </c>
      <c r="E102">
        <v>40</v>
      </c>
      <c r="F102">
        <v>24.635505391752101</v>
      </c>
      <c r="G102" t="str">
        <f>FLOOR(FinalData[[#This Row],[Temperature_C]],2)&amp;"–"&amp;(FLOOR(FinalData[[#This Row],[Temperature_C]],2)+2)&amp;"°C"</f>
        <v>24–26°C</v>
      </c>
      <c r="H102">
        <v>2</v>
      </c>
      <c r="I102">
        <v>2026</v>
      </c>
      <c r="J102">
        <v>1</v>
      </c>
      <c r="K102">
        <v>5</v>
      </c>
      <c r="L102">
        <v>1</v>
      </c>
      <c r="M102">
        <v>4</v>
      </c>
      <c r="N102">
        <v>0.125</v>
      </c>
      <c r="O102">
        <v>0.4</v>
      </c>
      <c r="P102" t="s">
        <v>40</v>
      </c>
    </row>
    <row r="103" spans="1:16" hidden="1" x14ac:dyDescent="0.25">
      <c r="A103" s="12">
        <v>46027.208333333336</v>
      </c>
      <c r="B103" t="s">
        <v>9</v>
      </c>
      <c r="C103" t="s">
        <v>15</v>
      </c>
      <c r="D103">
        <v>13</v>
      </c>
      <c r="E103">
        <v>20</v>
      </c>
      <c r="F103">
        <v>23.351091659781019</v>
      </c>
      <c r="G103" t="str">
        <f>FLOOR(FinalData[[#This Row],[Temperature_C]],2)&amp;"–"&amp;(FLOOR(FinalData[[#This Row],[Temperature_C]],2)+2)&amp;"°C"</f>
        <v>22–24°C</v>
      </c>
      <c r="H103">
        <v>4.38</v>
      </c>
      <c r="I103">
        <v>2026</v>
      </c>
      <c r="J103">
        <v>1</v>
      </c>
      <c r="K103">
        <v>5</v>
      </c>
      <c r="L103">
        <v>1</v>
      </c>
      <c r="M103">
        <v>5</v>
      </c>
      <c r="N103">
        <v>0.65</v>
      </c>
      <c r="O103">
        <v>0.33692307692307694</v>
      </c>
      <c r="P103" t="s">
        <v>40</v>
      </c>
    </row>
    <row r="104" spans="1:16" hidden="1" x14ac:dyDescent="0.25">
      <c r="A104" s="12">
        <v>46027.25</v>
      </c>
      <c r="B104" t="s">
        <v>13</v>
      </c>
      <c r="C104" t="s">
        <v>30</v>
      </c>
      <c r="D104">
        <v>5</v>
      </c>
      <c r="E104">
        <v>20</v>
      </c>
      <c r="F104">
        <v>22.039736264608301</v>
      </c>
      <c r="G104" t="str">
        <f>FLOOR(FinalData[[#This Row],[Temperature_C]],2)&amp;"–"&amp;(FLOOR(FinalData[[#This Row],[Temperature_C]],2)+2)&amp;"°C"</f>
        <v>22–24°C</v>
      </c>
      <c r="H104">
        <v>2.09</v>
      </c>
      <c r="I104">
        <v>2026</v>
      </c>
      <c r="J104">
        <v>1</v>
      </c>
      <c r="K104">
        <v>5</v>
      </c>
      <c r="L104">
        <v>1</v>
      </c>
      <c r="M104">
        <v>6</v>
      </c>
      <c r="N104">
        <v>0.25</v>
      </c>
      <c r="O104">
        <v>0.41799999999999998</v>
      </c>
      <c r="P104" t="s">
        <v>40</v>
      </c>
    </row>
    <row r="105" spans="1:16" x14ac:dyDescent="0.25">
      <c r="A105" s="12">
        <v>46027.291666666664</v>
      </c>
      <c r="B105" t="s">
        <v>11</v>
      </c>
      <c r="C105" t="s">
        <v>26</v>
      </c>
      <c r="D105">
        <v>7</v>
      </c>
      <c r="E105">
        <v>40</v>
      </c>
      <c r="F105">
        <v>22.737923186002011</v>
      </c>
      <c r="G105" t="str">
        <f>FLOOR(FinalData[[#This Row],[Temperature_C]],2)&amp;"–"&amp;(FLOOR(FinalData[[#This Row],[Temperature_C]],2)+2)&amp;"°C"</f>
        <v>22–24°C</v>
      </c>
      <c r="H105">
        <v>2.0499999999999998</v>
      </c>
      <c r="I105">
        <v>2026</v>
      </c>
      <c r="J105">
        <v>1</v>
      </c>
      <c r="K105">
        <v>5</v>
      </c>
      <c r="L105">
        <v>1</v>
      </c>
      <c r="M105">
        <v>7</v>
      </c>
      <c r="N105">
        <v>0.17499999999999999</v>
      </c>
      <c r="O105">
        <v>0.29285714285714282</v>
      </c>
      <c r="P105" t="s">
        <v>41</v>
      </c>
    </row>
    <row r="106" spans="1:16" hidden="1" x14ac:dyDescent="0.25">
      <c r="A106" s="12">
        <v>46027.333333333336</v>
      </c>
      <c r="B106" t="s">
        <v>13</v>
      </c>
      <c r="C106" t="s">
        <v>19</v>
      </c>
      <c r="D106">
        <v>10</v>
      </c>
      <c r="E106">
        <v>30</v>
      </c>
      <c r="F106">
        <v>23.487601427542401</v>
      </c>
      <c r="G106" t="str">
        <f>FLOOR(FinalData[[#This Row],[Temperature_C]],2)&amp;"–"&amp;(FLOOR(FinalData[[#This Row],[Temperature_C]],2)+2)&amp;"°C"</f>
        <v>22–24°C</v>
      </c>
      <c r="H106">
        <v>3.35</v>
      </c>
      <c r="I106">
        <v>2026</v>
      </c>
      <c r="J106">
        <v>1</v>
      </c>
      <c r="K106">
        <v>5</v>
      </c>
      <c r="L106">
        <v>1</v>
      </c>
      <c r="M106">
        <v>8</v>
      </c>
      <c r="N106">
        <v>0.33333333333333331</v>
      </c>
      <c r="O106">
        <v>0.33500000000000002</v>
      </c>
      <c r="P106" t="s">
        <v>41</v>
      </c>
    </row>
    <row r="107" spans="1:16" hidden="1" x14ac:dyDescent="0.25">
      <c r="A107" s="12">
        <v>46027.375</v>
      </c>
      <c r="B107" t="s">
        <v>9</v>
      </c>
      <c r="C107" t="s">
        <v>31</v>
      </c>
      <c r="D107">
        <v>9</v>
      </c>
      <c r="E107">
        <v>20</v>
      </c>
      <c r="F107">
        <v>22.908827967289</v>
      </c>
      <c r="G107" t="str">
        <f>FLOOR(FinalData[[#This Row],[Temperature_C]],2)&amp;"–"&amp;(FLOOR(FinalData[[#This Row],[Temperature_C]],2)+2)&amp;"°C"</f>
        <v>22–24°C</v>
      </c>
      <c r="H107">
        <v>3.26</v>
      </c>
      <c r="I107">
        <v>2026</v>
      </c>
      <c r="J107">
        <v>1</v>
      </c>
      <c r="K107">
        <v>5</v>
      </c>
      <c r="L107">
        <v>1</v>
      </c>
      <c r="M107">
        <v>9</v>
      </c>
      <c r="N107">
        <v>0.45</v>
      </c>
      <c r="O107">
        <v>0.36222222222222222</v>
      </c>
      <c r="P107" t="s">
        <v>41</v>
      </c>
    </row>
    <row r="108" spans="1:16" hidden="1" x14ac:dyDescent="0.25">
      <c r="A108" s="12">
        <v>46027.416666666664</v>
      </c>
      <c r="B108" t="s">
        <v>9</v>
      </c>
      <c r="C108" t="s">
        <v>27</v>
      </c>
      <c r="D108">
        <v>5</v>
      </c>
      <c r="E108">
        <v>25</v>
      </c>
      <c r="F108">
        <v>22.835697643214861</v>
      </c>
      <c r="G108" t="str">
        <f>FLOOR(FinalData[[#This Row],[Temperature_C]],2)&amp;"–"&amp;(FLOOR(FinalData[[#This Row],[Temperature_C]],2)+2)&amp;"°C"</f>
        <v>22–24°C</v>
      </c>
      <c r="H108">
        <v>2.5099999999999998</v>
      </c>
      <c r="I108">
        <v>2026</v>
      </c>
      <c r="J108">
        <v>1</v>
      </c>
      <c r="K108">
        <v>5</v>
      </c>
      <c r="L108">
        <v>1</v>
      </c>
      <c r="M108">
        <v>10</v>
      </c>
      <c r="N108">
        <v>0.2</v>
      </c>
      <c r="O108">
        <v>0.502</v>
      </c>
      <c r="P108" t="s">
        <v>41</v>
      </c>
    </row>
    <row r="109" spans="1:16" hidden="1" x14ac:dyDescent="0.25">
      <c r="A109" s="12">
        <v>46027.458333333336</v>
      </c>
      <c r="B109" t="s">
        <v>9</v>
      </c>
      <c r="C109" t="s">
        <v>17</v>
      </c>
      <c r="D109">
        <v>9</v>
      </c>
      <c r="E109">
        <v>40</v>
      </c>
      <c r="F109">
        <v>23.393042339402939</v>
      </c>
      <c r="G109" t="str">
        <f>FLOOR(FinalData[[#This Row],[Temperature_C]],2)&amp;"–"&amp;(FLOOR(FinalData[[#This Row],[Temperature_C]],2)+2)&amp;"°C"</f>
        <v>22–24°C</v>
      </c>
      <c r="H109">
        <v>3.47</v>
      </c>
      <c r="I109">
        <v>2026</v>
      </c>
      <c r="J109">
        <v>1</v>
      </c>
      <c r="K109">
        <v>5</v>
      </c>
      <c r="L109">
        <v>1</v>
      </c>
      <c r="M109">
        <v>11</v>
      </c>
      <c r="N109">
        <v>0.22500000000000001</v>
      </c>
      <c r="O109">
        <v>0.3855555555555556</v>
      </c>
      <c r="P109" t="s">
        <v>41</v>
      </c>
    </row>
    <row r="110" spans="1:16" hidden="1" x14ac:dyDescent="0.25">
      <c r="A110" s="12">
        <v>46027.5</v>
      </c>
      <c r="B110" t="s">
        <v>9</v>
      </c>
      <c r="C110" t="s">
        <v>14</v>
      </c>
      <c r="D110">
        <v>6</v>
      </c>
      <c r="E110">
        <v>40</v>
      </c>
      <c r="F110">
        <v>21.5183351840646</v>
      </c>
      <c r="G110" t="str">
        <f>FLOOR(FinalData[[#This Row],[Temperature_C]],2)&amp;"–"&amp;(FLOOR(FinalData[[#This Row],[Temperature_C]],2)+2)&amp;"°C"</f>
        <v>20–22°C</v>
      </c>
      <c r="H110">
        <v>2.37</v>
      </c>
      <c r="I110">
        <v>2026</v>
      </c>
      <c r="J110">
        <v>1</v>
      </c>
      <c r="K110">
        <v>5</v>
      </c>
      <c r="L110">
        <v>1</v>
      </c>
      <c r="M110">
        <v>12</v>
      </c>
      <c r="N110">
        <v>0.15</v>
      </c>
      <c r="O110">
        <v>0.39500000000000002</v>
      </c>
      <c r="P110" t="s">
        <v>42</v>
      </c>
    </row>
    <row r="111" spans="1:16" hidden="1" x14ac:dyDescent="0.25">
      <c r="A111" s="12">
        <v>46027.541666666664</v>
      </c>
      <c r="B111" t="s">
        <v>11</v>
      </c>
      <c r="C111" t="s">
        <v>8</v>
      </c>
      <c r="D111">
        <v>5</v>
      </c>
      <c r="E111">
        <v>40</v>
      </c>
      <c r="F111">
        <v>22.653930242606169</v>
      </c>
      <c r="G111" t="str">
        <f>FLOOR(FinalData[[#This Row],[Temperature_C]],2)&amp;"–"&amp;(FLOOR(FinalData[[#This Row],[Temperature_C]],2)+2)&amp;"°C"</f>
        <v>22–24°C</v>
      </c>
      <c r="H111">
        <v>1.94</v>
      </c>
      <c r="I111">
        <v>2026</v>
      </c>
      <c r="J111">
        <v>1</v>
      </c>
      <c r="K111">
        <v>5</v>
      </c>
      <c r="L111">
        <v>1</v>
      </c>
      <c r="M111">
        <v>13</v>
      </c>
      <c r="N111">
        <v>0.125</v>
      </c>
      <c r="O111">
        <v>0.38800000000000001</v>
      </c>
      <c r="P111" t="s">
        <v>42</v>
      </c>
    </row>
    <row r="112" spans="1:16" hidden="1" x14ac:dyDescent="0.25">
      <c r="A112" s="12">
        <v>46027.583333333336</v>
      </c>
      <c r="B112" t="s">
        <v>11</v>
      </c>
      <c r="C112" t="s">
        <v>16</v>
      </c>
      <c r="D112">
        <v>8</v>
      </c>
      <c r="E112">
        <v>25</v>
      </c>
      <c r="F112">
        <v>22.992794921818859</v>
      </c>
      <c r="G112" t="str">
        <f>FLOOR(FinalData[[#This Row],[Temperature_C]],2)&amp;"–"&amp;(FLOOR(FinalData[[#This Row],[Temperature_C]],2)+2)&amp;"°C"</f>
        <v>22–24°C</v>
      </c>
      <c r="H112">
        <v>2.6</v>
      </c>
      <c r="I112">
        <v>2026</v>
      </c>
      <c r="J112">
        <v>1</v>
      </c>
      <c r="K112">
        <v>5</v>
      </c>
      <c r="L112">
        <v>1</v>
      </c>
      <c r="M112">
        <v>14</v>
      </c>
      <c r="N112">
        <v>0.32</v>
      </c>
      <c r="O112">
        <v>0.32500000000000001</v>
      </c>
      <c r="P112" t="s">
        <v>42</v>
      </c>
    </row>
    <row r="113" spans="1:16" hidden="1" x14ac:dyDescent="0.25">
      <c r="A113" s="12">
        <v>46027.625</v>
      </c>
      <c r="B113" t="s">
        <v>18</v>
      </c>
      <c r="C113" t="s">
        <v>21</v>
      </c>
      <c r="D113">
        <v>6</v>
      </c>
      <c r="E113">
        <v>25</v>
      </c>
      <c r="F113">
        <v>22.461627736637219</v>
      </c>
      <c r="G113" t="str">
        <f>FLOOR(FinalData[[#This Row],[Temperature_C]],2)&amp;"–"&amp;(FLOOR(FinalData[[#This Row],[Temperature_C]],2)+2)&amp;"°C"</f>
        <v>22–24°C</v>
      </c>
      <c r="H113">
        <v>2.34</v>
      </c>
      <c r="I113">
        <v>2026</v>
      </c>
      <c r="J113">
        <v>1</v>
      </c>
      <c r="K113">
        <v>5</v>
      </c>
      <c r="L113">
        <v>1</v>
      </c>
      <c r="M113">
        <v>15</v>
      </c>
      <c r="N113">
        <v>0.24</v>
      </c>
      <c r="O113">
        <v>0.38999999999999996</v>
      </c>
      <c r="P113" t="s">
        <v>42</v>
      </c>
    </row>
    <row r="114" spans="1:16" hidden="1" x14ac:dyDescent="0.25">
      <c r="A114" s="12">
        <v>46027.666666666664</v>
      </c>
      <c r="B114" t="s">
        <v>18</v>
      </c>
      <c r="C114" t="s">
        <v>15</v>
      </c>
      <c r="D114">
        <v>6</v>
      </c>
      <c r="E114">
        <v>40</v>
      </c>
      <c r="F114">
        <v>25.798710873172009</v>
      </c>
      <c r="G114" t="str">
        <f>FLOOR(FinalData[[#This Row],[Temperature_C]],2)&amp;"–"&amp;(FLOOR(FinalData[[#This Row],[Temperature_C]],2)+2)&amp;"°C"</f>
        <v>24–26°C</v>
      </c>
      <c r="H114">
        <v>3.15</v>
      </c>
      <c r="I114">
        <v>2026</v>
      </c>
      <c r="J114">
        <v>1</v>
      </c>
      <c r="K114">
        <v>5</v>
      </c>
      <c r="L114">
        <v>1</v>
      </c>
      <c r="M114">
        <v>16</v>
      </c>
      <c r="N114">
        <v>0.15</v>
      </c>
      <c r="O114">
        <v>0.52500000000000002</v>
      </c>
      <c r="P114" t="s">
        <v>42</v>
      </c>
    </row>
    <row r="115" spans="1:16" hidden="1" x14ac:dyDescent="0.25">
      <c r="A115" s="12">
        <v>46027.708333333336</v>
      </c>
      <c r="B115" t="s">
        <v>11</v>
      </c>
      <c r="C115" t="s">
        <v>27</v>
      </c>
      <c r="D115">
        <v>7</v>
      </c>
      <c r="E115">
        <v>40</v>
      </c>
      <c r="F115">
        <v>25.099105430638669</v>
      </c>
      <c r="G115" t="str">
        <f>FLOOR(FinalData[[#This Row],[Temperature_C]],2)&amp;"–"&amp;(FLOOR(FinalData[[#This Row],[Temperature_C]],2)+2)&amp;"°C"</f>
        <v>24–26°C</v>
      </c>
      <c r="H115">
        <v>2.85</v>
      </c>
      <c r="I115">
        <v>2026</v>
      </c>
      <c r="J115">
        <v>1</v>
      </c>
      <c r="K115">
        <v>5</v>
      </c>
      <c r="L115">
        <v>1</v>
      </c>
      <c r="M115">
        <v>17</v>
      </c>
      <c r="N115">
        <v>0.17499999999999999</v>
      </c>
      <c r="O115">
        <v>0.40714285714285714</v>
      </c>
      <c r="P115" t="s">
        <v>43</v>
      </c>
    </row>
    <row r="116" spans="1:16" hidden="1" x14ac:dyDescent="0.25">
      <c r="A116" s="12">
        <v>46027.75</v>
      </c>
      <c r="B116" t="s">
        <v>18</v>
      </c>
      <c r="C116" t="s">
        <v>22</v>
      </c>
      <c r="D116">
        <v>8</v>
      </c>
      <c r="E116">
        <v>20</v>
      </c>
      <c r="F116">
        <v>20.936847506259689</v>
      </c>
      <c r="G116" t="str">
        <f>FLOOR(FinalData[[#This Row],[Temperature_C]],2)&amp;"–"&amp;(FLOOR(FinalData[[#This Row],[Temperature_C]],2)+2)&amp;"°C"</f>
        <v>20–22°C</v>
      </c>
      <c r="H116">
        <v>2.8</v>
      </c>
      <c r="I116">
        <v>2026</v>
      </c>
      <c r="J116">
        <v>1</v>
      </c>
      <c r="K116">
        <v>5</v>
      </c>
      <c r="L116">
        <v>1</v>
      </c>
      <c r="M116">
        <v>18</v>
      </c>
      <c r="N116">
        <v>0.4</v>
      </c>
      <c r="O116">
        <v>0.35</v>
      </c>
      <c r="P116" t="s">
        <v>43</v>
      </c>
    </row>
    <row r="117" spans="1:16" hidden="1" x14ac:dyDescent="0.25">
      <c r="A117" s="12">
        <v>46027.791666666664</v>
      </c>
      <c r="B117" t="s">
        <v>7</v>
      </c>
      <c r="C117" t="s">
        <v>25</v>
      </c>
      <c r="D117">
        <v>11</v>
      </c>
      <c r="E117">
        <v>20</v>
      </c>
      <c r="F117">
        <v>25.18209220432934</v>
      </c>
      <c r="G117" t="str">
        <f>FLOOR(FinalData[[#This Row],[Temperature_C]],2)&amp;"–"&amp;(FLOOR(FinalData[[#This Row],[Temperature_C]],2)+2)&amp;"°C"</f>
        <v>24–26°C</v>
      </c>
      <c r="H117">
        <v>3.99</v>
      </c>
      <c r="I117">
        <v>2026</v>
      </c>
      <c r="J117">
        <v>1</v>
      </c>
      <c r="K117">
        <v>5</v>
      </c>
      <c r="L117">
        <v>1</v>
      </c>
      <c r="M117">
        <v>19</v>
      </c>
      <c r="N117">
        <v>0.55000000000000004</v>
      </c>
      <c r="O117">
        <v>0.36272727272727273</v>
      </c>
      <c r="P117" t="s">
        <v>43</v>
      </c>
    </row>
    <row r="118" spans="1:16" hidden="1" x14ac:dyDescent="0.25">
      <c r="A118" s="12">
        <v>46027.833333333336</v>
      </c>
      <c r="B118" t="s">
        <v>9</v>
      </c>
      <c r="C118" t="s">
        <v>27</v>
      </c>
      <c r="D118">
        <v>9</v>
      </c>
      <c r="E118">
        <v>30</v>
      </c>
      <c r="F118">
        <v>22.789216149125352</v>
      </c>
      <c r="G118" t="str">
        <f>FLOOR(FinalData[[#This Row],[Temperature_C]],2)&amp;"–"&amp;(FLOOR(FinalData[[#This Row],[Temperature_C]],2)+2)&amp;"°C"</f>
        <v>22–24°C</v>
      </c>
      <c r="H118">
        <v>3.7</v>
      </c>
      <c r="I118">
        <v>2026</v>
      </c>
      <c r="J118">
        <v>1</v>
      </c>
      <c r="K118">
        <v>5</v>
      </c>
      <c r="L118">
        <v>1</v>
      </c>
      <c r="M118">
        <v>20</v>
      </c>
      <c r="N118">
        <v>0.3</v>
      </c>
      <c r="O118">
        <v>0.41111111111111115</v>
      </c>
      <c r="P118" t="s">
        <v>43</v>
      </c>
    </row>
    <row r="119" spans="1:16" hidden="1" x14ac:dyDescent="0.25">
      <c r="A119" s="12">
        <v>46027.875</v>
      </c>
      <c r="B119" t="s">
        <v>11</v>
      </c>
      <c r="C119" t="s">
        <v>20</v>
      </c>
      <c r="D119">
        <v>11</v>
      </c>
      <c r="E119">
        <v>40</v>
      </c>
      <c r="F119">
        <v>23.647600255211891</v>
      </c>
      <c r="G119" t="str">
        <f>FLOOR(FinalData[[#This Row],[Temperature_C]],2)&amp;"–"&amp;(FLOOR(FinalData[[#This Row],[Temperature_C]],2)+2)&amp;"°C"</f>
        <v>22–24°C</v>
      </c>
      <c r="H119">
        <v>3.71</v>
      </c>
      <c r="I119">
        <v>2026</v>
      </c>
      <c r="J119">
        <v>1</v>
      </c>
      <c r="K119">
        <v>5</v>
      </c>
      <c r="L119">
        <v>1</v>
      </c>
      <c r="M119">
        <v>21</v>
      </c>
      <c r="N119">
        <v>0.27500000000000002</v>
      </c>
      <c r="O119">
        <v>0.33727272727272728</v>
      </c>
      <c r="P119" t="s">
        <v>40</v>
      </c>
    </row>
    <row r="120" spans="1:16" hidden="1" x14ac:dyDescent="0.25">
      <c r="A120" s="12">
        <v>46027.916666666664</v>
      </c>
      <c r="B120" t="s">
        <v>18</v>
      </c>
      <c r="C120" t="s">
        <v>19</v>
      </c>
      <c r="D120">
        <v>8</v>
      </c>
      <c r="E120">
        <v>40</v>
      </c>
      <c r="F120">
        <v>20.41063704855819</v>
      </c>
      <c r="G120" t="str">
        <f>FLOOR(FinalData[[#This Row],[Temperature_C]],2)&amp;"–"&amp;(FLOOR(FinalData[[#This Row],[Temperature_C]],2)+2)&amp;"°C"</f>
        <v>20–22°C</v>
      </c>
      <c r="H120">
        <v>3.39</v>
      </c>
      <c r="I120">
        <v>2026</v>
      </c>
      <c r="J120">
        <v>1</v>
      </c>
      <c r="K120">
        <v>5</v>
      </c>
      <c r="L120">
        <v>1</v>
      </c>
      <c r="M120">
        <v>22</v>
      </c>
      <c r="N120">
        <v>0.2</v>
      </c>
      <c r="O120">
        <v>0.42375000000000002</v>
      </c>
      <c r="P120" t="s">
        <v>40</v>
      </c>
    </row>
    <row r="121" spans="1:16" hidden="1" x14ac:dyDescent="0.25">
      <c r="A121" s="12">
        <v>46027.958333333336</v>
      </c>
      <c r="B121" t="s">
        <v>13</v>
      </c>
      <c r="C121" t="s">
        <v>25</v>
      </c>
      <c r="D121">
        <v>6</v>
      </c>
      <c r="E121">
        <v>30</v>
      </c>
      <c r="F121">
        <v>18.80968495464003</v>
      </c>
      <c r="G121" t="str">
        <f>FLOOR(FinalData[[#This Row],[Temperature_C]],2)&amp;"–"&amp;(FLOOR(FinalData[[#This Row],[Temperature_C]],2)+2)&amp;"°C"</f>
        <v>18–20°C</v>
      </c>
      <c r="H121">
        <v>2.85</v>
      </c>
      <c r="I121">
        <v>2026</v>
      </c>
      <c r="J121">
        <v>1</v>
      </c>
      <c r="K121">
        <v>5</v>
      </c>
      <c r="L121">
        <v>1</v>
      </c>
      <c r="M121">
        <v>23</v>
      </c>
      <c r="N121">
        <v>0.2</v>
      </c>
      <c r="O121">
        <v>0.47500000000000003</v>
      </c>
      <c r="P121" t="s">
        <v>40</v>
      </c>
    </row>
    <row r="122" spans="1:16" hidden="1" x14ac:dyDescent="0.25">
      <c r="A122" s="12">
        <v>46028</v>
      </c>
      <c r="B122" t="s">
        <v>18</v>
      </c>
      <c r="C122" t="s">
        <v>20</v>
      </c>
      <c r="D122">
        <v>7</v>
      </c>
      <c r="E122">
        <v>25</v>
      </c>
      <c r="F122">
        <v>24.694158019970072</v>
      </c>
      <c r="G122" t="str">
        <f>FLOOR(FinalData[[#This Row],[Temperature_C]],2)&amp;"–"&amp;(FLOOR(FinalData[[#This Row],[Temperature_C]],2)+2)&amp;"°C"</f>
        <v>24–26°C</v>
      </c>
      <c r="H122">
        <v>3.32</v>
      </c>
      <c r="I122">
        <v>2026</v>
      </c>
      <c r="J122">
        <v>1</v>
      </c>
      <c r="K122">
        <v>6</v>
      </c>
      <c r="L122">
        <v>2</v>
      </c>
      <c r="M122">
        <v>0</v>
      </c>
      <c r="N122">
        <v>0.28000000000000003</v>
      </c>
      <c r="O122">
        <v>0.47428571428571425</v>
      </c>
      <c r="P122" t="s">
        <v>40</v>
      </c>
    </row>
    <row r="123" spans="1:16" hidden="1" x14ac:dyDescent="0.25">
      <c r="A123" s="12">
        <v>46028.041666666664</v>
      </c>
      <c r="B123" t="s">
        <v>11</v>
      </c>
      <c r="C123" t="s">
        <v>27</v>
      </c>
      <c r="D123">
        <v>8</v>
      </c>
      <c r="E123">
        <v>30</v>
      </c>
      <c r="F123">
        <v>24.455259087273959</v>
      </c>
      <c r="G123" t="str">
        <f>FLOOR(FinalData[[#This Row],[Temperature_C]],2)&amp;"–"&amp;(FLOOR(FinalData[[#This Row],[Temperature_C]],2)+2)&amp;"°C"</f>
        <v>24–26°C</v>
      </c>
      <c r="H123">
        <v>3.18</v>
      </c>
      <c r="I123">
        <v>2026</v>
      </c>
      <c r="J123">
        <v>1</v>
      </c>
      <c r="K123">
        <v>6</v>
      </c>
      <c r="L123">
        <v>2</v>
      </c>
      <c r="M123">
        <v>1</v>
      </c>
      <c r="N123">
        <v>0.26666666666666666</v>
      </c>
      <c r="O123">
        <v>0.39750000000000002</v>
      </c>
      <c r="P123" t="s">
        <v>40</v>
      </c>
    </row>
    <row r="124" spans="1:16" hidden="1" x14ac:dyDescent="0.25">
      <c r="A124" s="12">
        <v>46028.083333333336</v>
      </c>
      <c r="B124" t="s">
        <v>11</v>
      </c>
      <c r="C124" t="s">
        <v>15</v>
      </c>
      <c r="D124">
        <v>5</v>
      </c>
      <c r="E124">
        <v>40</v>
      </c>
      <c r="F124">
        <v>24.832655349404959</v>
      </c>
      <c r="G124" t="str">
        <f>FLOOR(FinalData[[#This Row],[Temperature_C]],2)&amp;"–"&amp;(FLOOR(FinalData[[#This Row],[Temperature_C]],2)+2)&amp;"°C"</f>
        <v>24–26°C</v>
      </c>
      <c r="H124">
        <v>2.58</v>
      </c>
      <c r="I124">
        <v>2026</v>
      </c>
      <c r="J124">
        <v>1</v>
      </c>
      <c r="K124">
        <v>6</v>
      </c>
      <c r="L124">
        <v>2</v>
      </c>
      <c r="M124">
        <v>2</v>
      </c>
      <c r="N124">
        <v>0.125</v>
      </c>
      <c r="O124">
        <v>0.51600000000000001</v>
      </c>
      <c r="P124" t="s">
        <v>40</v>
      </c>
    </row>
    <row r="125" spans="1:16" hidden="1" x14ac:dyDescent="0.25">
      <c r="A125" s="12">
        <v>46028.125</v>
      </c>
      <c r="B125" t="s">
        <v>18</v>
      </c>
      <c r="C125" t="s">
        <v>25</v>
      </c>
      <c r="D125">
        <v>5</v>
      </c>
      <c r="E125">
        <v>30</v>
      </c>
      <c r="F125">
        <v>25.216365633475029</v>
      </c>
      <c r="G125" t="str">
        <f>FLOOR(FinalData[[#This Row],[Temperature_C]],2)&amp;"–"&amp;(FLOOR(FinalData[[#This Row],[Temperature_C]],2)+2)&amp;"°C"</f>
        <v>24–26°C</v>
      </c>
      <c r="H125">
        <v>2.2200000000000002</v>
      </c>
      <c r="I125">
        <v>2026</v>
      </c>
      <c r="J125">
        <v>1</v>
      </c>
      <c r="K125">
        <v>6</v>
      </c>
      <c r="L125">
        <v>2</v>
      </c>
      <c r="M125">
        <v>3</v>
      </c>
      <c r="N125">
        <v>0.16666666666666666</v>
      </c>
      <c r="O125">
        <v>0.44400000000000006</v>
      </c>
      <c r="P125" t="s">
        <v>40</v>
      </c>
    </row>
    <row r="126" spans="1:16" hidden="1" x14ac:dyDescent="0.25">
      <c r="A126" s="12">
        <v>46028.166666666664</v>
      </c>
      <c r="B126" t="s">
        <v>11</v>
      </c>
      <c r="C126" t="s">
        <v>22</v>
      </c>
      <c r="D126">
        <v>9</v>
      </c>
      <c r="E126">
        <v>40</v>
      </c>
      <c r="F126">
        <v>23.300837810287149</v>
      </c>
      <c r="G126" t="str">
        <f>FLOOR(FinalData[[#This Row],[Temperature_C]],2)&amp;"–"&amp;(FLOOR(FinalData[[#This Row],[Temperature_C]],2)+2)&amp;"°C"</f>
        <v>22–24°C</v>
      </c>
      <c r="H126">
        <v>3.35</v>
      </c>
      <c r="I126">
        <v>2026</v>
      </c>
      <c r="J126">
        <v>1</v>
      </c>
      <c r="K126">
        <v>6</v>
      </c>
      <c r="L126">
        <v>2</v>
      </c>
      <c r="M126">
        <v>4</v>
      </c>
      <c r="N126">
        <v>0.22500000000000001</v>
      </c>
      <c r="O126">
        <v>0.37222222222222223</v>
      </c>
      <c r="P126" t="s">
        <v>40</v>
      </c>
    </row>
    <row r="127" spans="1:16" hidden="1" x14ac:dyDescent="0.25">
      <c r="A127" s="12">
        <v>46028.208333333336</v>
      </c>
      <c r="B127" t="s">
        <v>11</v>
      </c>
      <c r="C127" t="s">
        <v>24</v>
      </c>
      <c r="D127">
        <v>9</v>
      </c>
      <c r="E127">
        <v>20</v>
      </c>
      <c r="F127">
        <v>26.266863064602191</v>
      </c>
      <c r="G127" t="str">
        <f>FLOOR(FinalData[[#This Row],[Temperature_C]],2)&amp;"–"&amp;(FLOOR(FinalData[[#This Row],[Temperature_C]],2)+2)&amp;"°C"</f>
        <v>26–28°C</v>
      </c>
      <c r="H127">
        <v>3.35</v>
      </c>
      <c r="I127">
        <v>2026</v>
      </c>
      <c r="J127">
        <v>1</v>
      </c>
      <c r="K127">
        <v>6</v>
      </c>
      <c r="L127">
        <v>2</v>
      </c>
      <c r="M127">
        <v>5</v>
      </c>
      <c r="N127">
        <v>0.45</v>
      </c>
      <c r="O127">
        <v>0.37222222222222223</v>
      </c>
      <c r="P127" t="s">
        <v>40</v>
      </c>
    </row>
    <row r="128" spans="1:16" hidden="1" x14ac:dyDescent="0.25">
      <c r="A128" s="12">
        <v>46028.25</v>
      </c>
      <c r="B128" t="s">
        <v>18</v>
      </c>
      <c r="C128" t="s">
        <v>17</v>
      </c>
      <c r="D128">
        <v>11</v>
      </c>
      <c r="E128">
        <v>40</v>
      </c>
      <c r="F128">
        <v>25.378940977849279</v>
      </c>
      <c r="G128" t="str">
        <f>FLOOR(FinalData[[#This Row],[Temperature_C]],2)&amp;"–"&amp;(FLOOR(FinalData[[#This Row],[Temperature_C]],2)+2)&amp;"°C"</f>
        <v>24–26°C</v>
      </c>
      <c r="H128">
        <v>3.69</v>
      </c>
      <c r="I128">
        <v>2026</v>
      </c>
      <c r="J128">
        <v>1</v>
      </c>
      <c r="K128">
        <v>6</v>
      </c>
      <c r="L128">
        <v>2</v>
      </c>
      <c r="M128">
        <v>6</v>
      </c>
      <c r="N128">
        <v>0.27500000000000002</v>
      </c>
      <c r="O128">
        <v>0.33545454545454545</v>
      </c>
      <c r="P128" t="s">
        <v>40</v>
      </c>
    </row>
    <row r="129" spans="1:16" hidden="1" x14ac:dyDescent="0.25">
      <c r="A129" s="12">
        <v>46028.291666666664</v>
      </c>
      <c r="B129" t="s">
        <v>18</v>
      </c>
      <c r="C129" t="s">
        <v>30</v>
      </c>
      <c r="D129">
        <v>7</v>
      </c>
      <c r="E129">
        <v>30</v>
      </c>
      <c r="F129">
        <v>20.807449826209599</v>
      </c>
      <c r="G129" t="str">
        <f>FLOOR(FinalData[[#This Row],[Temperature_C]],2)&amp;"–"&amp;(FLOOR(FinalData[[#This Row],[Temperature_C]],2)+2)&amp;"°C"</f>
        <v>20–22°C</v>
      </c>
      <c r="H129">
        <v>2.2999999999999998</v>
      </c>
      <c r="I129">
        <v>2026</v>
      </c>
      <c r="J129">
        <v>1</v>
      </c>
      <c r="K129">
        <v>6</v>
      </c>
      <c r="L129">
        <v>2</v>
      </c>
      <c r="M129">
        <v>7</v>
      </c>
      <c r="N129">
        <v>0.23333333333333334</v>
      </c>
      <c r="O129">
        <v>0.32857142857142857</v>
      </c>
      <c r="P129" t="s">
        <v>41</v>
      </c>
    </row>
    <row r="130" spans="1:16" hidden="1" x14ac:dyDescent="0.25">
      <c r="A130" s="12">
        <v>46028.333333333336</v>
      </c>
      <c r="B130" t="s">
        <v>13</v>
      </c>
      <c r="C130" t="s">
        <v>8</v>
      </c>
      <c r="D130">
        <v>7</v>
      </c>
      <c r="E130">
        <v>20</v>
      </c>
      <c r="F130">
        <v>26.284030320272741</v>
      </c>
      <c r="G130" t="str">
        <f>FLOOR(FinalData[[#This Row],[Temperature_C]],2)&amp;"–"&amp;(FLOOR(FinalData[[#This Row],[Temperature_C]],2)+2)&amp;"°C"</f>
        <v>26–28°C</v>
      </c>
      <c r="H130">
        <v>3.5</v>
      </c>
      <c r="I130">
        <v>2026</v>
      </c>
      <c r="J130">
        <v>1</v>
      </c>
      <c r="K130">
        <v>6</v>
      </c>
      <c r="L130">
        <v>2</v>
      </c>
      <c r="M130">
        <v>8</v>
      </c>
      <c r="N130">
        <v>0.35</v>
      </c>
      <c r="O130">
        <v>0.5</v>
      </c>
      <c r="P130" t="s">
        <v>41</v>
      </c>
    </row>
    <row r="131" spans="1:16" hidden="1" x14ac:dyDescent="0.25">
      <c r="A131" s="12">
        <v>46028.375</v>
      </c>
      <c r="B131" t="s">
        <v>9</v>
      </c>
      <c r="C131" t="s">
        <v>12</v>
      </c>
      <c r="D131">
        <v>7</v>
      </c>
      <c r="E131">
        <v>20</v>
      </c>
      <c r="F131">
        <v>20.220855066472812</v>
      </c>
      <c r="G131" t="str">
        <f>FLOOR(FinalData[[#This Row],[Temperature_C]],2)&amp;"–"&amp;(FLOOR(FinalData[[#This Row],[Temperature_C]],2)+2)&amp;"°C"</f>
        <v>20–22°C</v>
      </c>
      <c r="H131">
        <v>2.3199999999999998</v>
      </c>
      <c r="I131">
        <v>2026</v>
      </c>
      <c r="J131">
        <v>1</v>
      </c>
      <c r="K131">
        <v>6</v>
      </c>
      <c r="L131">
        <v>2</v>
      </c>
      <c r="M131">
        <v>9</v>
      </c>
      <c r="N131">
        <v>0.35</v>
      </c>
      <c r="O131">
        <v>0.33142857142857141</v>
      </c>
      <c r="P131" t="s">
        <v>41</v>
      </c>
    </row>
    <row r="132" spans="1:16" hidden="1" x14ac:dyDescent="0.25">
      <c r="A132" s="12">
        <v>46028.416666666664</v>
      </c>
      <c r="B132" t="s">
        <v>7</v>
      </c>
      <c r="C132" t="s">
        <v>8</v>
      </c>
      <c r="D132">
        <v>8</v>
      </c>
      <c r="E132">
        <v>40</v>
      </c>
      <c r="F132">
        <v>22.494628623998072</v>
      </c>
      <c r="G132" t="str">
        <f>FLOOR(FinalData[[#This Row],[Temperature_C]],2)&amp;"–"&amp;(FLOOR(FinalData[[#This Row],[Temperature_C]],2)+2)&amp;"°C"</f>
        <v>22–24°C</v>
      </c>
      <c r="H132">
        <v>2.99</v>
      </c>
      <c r="I132">
        <v>2026</v>
      </c>
      <c r="J132">
        <v>1</v>
      </c>
      <c r="K132">
        <v>6</v>
      </c>
      <c r="L132">
        <v>2</v>
      </c>
      <c r="M132">
        <v>10</v>
      </c>
      <c r="N132">
        <v>0.2</v>
      </c>
      <c r="O132">
        <v>0.37375000000000003</v>
      </c>
      <c r="P132" t="s">
        <v>41</v>
      </c>
    </row>
    <row r="133" spans="1:16" hidden="1" x14ac:dyDescent="0.25">
      <c r="A133" s="12">
        <v>46028.458333333336</v>
      </c>
      <c r="B133" t="s">
        <v>9</v>
      </c>
      <c r="C133" t="s">
        <v>26</v>
      </c>
      <c r="D133">
        <v>6</v>
      </c>
      <c r="E133">
        <v>40</v>
      </c>
      <c r="F133">
        <v>21.02281778569817</v>
      </c>
      <c r="G133" t="str">
        <f>FLOOR(FinalData[[#This Row],[Temperature_C]],2)&amp;"–"&amp;(FLOOR(FinalData[[#This Row],[Temperature_C]],2)+2)&amp;"°C"</f>
        <v>20–22°C</v>
      </c>
      <c r="H133">
        <v>2.12</v>
      </c>
      <c r="I133">
        <v>2026</v>
      </c>
      <c r="J133">
        <v>1</v>
      </c>
      <c r="K133">
        <v>6</v>
      </c>
      <c r="L133">
        <v>2</v>
      </c>
      <c r="M133">
        <v>11</v>
      </c>
      <c r="N133">
        <v>0.15</v>
      </c>
      <c r="O133">
        <v>0.35333333333333333</v>
      </c>
      <c r="P133" t="s">
        <v>41</v>
      </c>
    </row>
    <row r="134" spans="1:16" hidden="1" x14ac:dyDescent="0.25">
      <c r="A134" s="12">
        <v>46028.5</v>
      </c>
      <c r="B134" t="s">
        <v>11</v>
      </c>
      <c r="C134" t="s">
        <v>14</v>
      </c>
      <c r="D134">
        <v>8</v>
      </c>
      <c r="E134">
        <v>25</v>
      </c>
      <c r="F134">
        <v>21.061600779372469</v>
      </c>
      <c r="G134" t="str">
        <f>FLOOR(FinalData[[#This Row],[Temperature_C]],2)&amp;"–"&amp;(FLOOR(FinalData[[#This Row],[Temperature_C]],2)+2)&amp;"°C"</f>
        <v>20–22°C</v>
      </c>
      <c r="H134">
        <v>3.11</v>
      </c>
      <c r="I134">
        <v>2026</v>
      </c>
      <c r="J134">
        <v>1</v>
      </c>
      <c r="K134">
        <v>6</v>
      </c>
      <c r="L134">
        <v>2</v>
      </c>
      <c r="M134">
        <v>12</v>
      </c>
      <c r="N134">
        <v>0.32</v>
      </c>
      <c r="O134">
        <v>0.38874999999999998</v>
      </c>
      <c r="P134" t="s">
        <v>42</v>
      </c>
    </row>
    <row r="135" spans="1:16" hidden="1" x14ac:dyDescent="0.25">
      <c r="A135" s="12">
        <v>46028.541666666664</v>
      </c>
      <c r="B135" t="s">
        <v>18</v>
      </c>
      <c r="C135" t="s">
        <v>15</v>
      </c>
      <c r="D135">
        <v>9</v>
      </c>
      <c r="E135">
        <v>40</v>
      </c>
      <c r="F135">
        <v>23.943922666493219</v>
      </c>
      <c r="G135" t="str">
        <f>FLOOR(FinalData[[#This Row],[Temperature_C]],2)&amp;"–"&amp;(FLOOR(FinalData[[#This Row],[Temperature_C]],2)+2)&amp;"°C"</f>
        <v>22–24°C</v>
      </c>
      <c r="H135">
        <v>3.38</v>
      </c>
      <c r="I135">
        <v>2026</v>
      </c>
      <c r="J135">
        <v>1</v>
      </c>
      <c r="K135">
        <v>6</v>
      </c>
      <c r="L135">
        <v>2</v>
      </c>
      <c r="M135">
        <v>13</v>
      </c>
      <c r="N135">
        <v>0.22500000000000001</v>
      </c>
      <c r="O135">
        <v>0.37555555555555553</v>
      </c>
      <c r="P135" t="s">
        <v>42</v>
      </c>
    </row>
    <row r="136" spans="1:16" hidden="1" x14ac:dyDescent="0.25">
      <c r="A136" s="12">
        <v>46028.583333333336</v>
      </c>
      <c r="B136" t="s">
        <v>9</v>
      </c>
      <c r="C136" t="s">
        <v>17</v>
      </c>
      <c r="D136">
        <v>10</v>
      </c>
      <c r="E136">
        <v>40</v>
      </c>
      <c r="F136">
        <v>21.563185468861601</v>
      </c>
      <c r="G136" t="str">
        <f>FLOOR(FinalData[[#This Row],[Temperature_C]],2)&amp;"–"&amp;(FLOOR(FinalData[[#This Row],[Temperature_C]],2)+2)&amp;"°C"</f>
        <v>20–22°C</v>
      </c>
      <c r="H136">
        <v>3.63</v>
      </c>
      <c r="I136">
        <v>2026</v>
      </c>
      <c r="J136">
        <v>1</v>
      </c>
      <c r="K136">
        <v>6</v>
      </c>
      <c r="L136">
        <v>2</v>
      </c>
      <c r="M136">
        <v>14</v>
      </c>
      <c r="N136">
        <v>0.25</v>
      </c>
      <c r="O136">
        <v>0.36299999999999999</v>
      </c>
      <c r="P136" t="s">
        <v>42</v>
      </c>
    </row>
    <row r="137" spans="1:16" hidden="1" x14ac:dyDescent="0.25">
      <c r="A137" s="12">
        <v>46028.625</v>
      </c>
      <c r="B137" t="s">
        <v>9</v>
      </c>
      <c r="C137" t="s">
        <v>15</v>
      </c>
      <c r="D137">
        <v>10</v>
      </c>
      <c r="E137">
        <v>30</v>
      </c>
      <c r="F137">
        <v>25.44916887525229</v>
      </c>
      <c r="G137" t="str">
        <f>FLOOR(FinalData[[#This Row],[Temperature_C]],2)&amp;"–"&amp;(FLOOR(FinalData[[#This Row],[Temperature_C]],2)+2)&amp;"°C"</f>
        <v>24–26°C</v>
      </c>
      <c r="H137">
        <v>4.3</v>
      </c>
      <c r="I137">
        <v>2026</v>
      </c>
      <c r="J137">
        <v>1</v>
      </c>
      <c r="K137">
        <v>6</v>
      </c>
      <c r="L137">
        <v>2</v>
      </c>
      <c r="M137">
        <v>15</v>
      </c>
      <c r="N137">
        <v>0.33333333333333331</v>
      </c>
      <c r="O137">
        <v>0.43</v>
      </c>
      <c r="P137" t="s">
        <v>42</v>
      </c>
    </row>
    <row r="138" spans="1:16" hidden="1" x14ac:dyDescent="0.25">
      <c r="A138" s="12">
        <v>46028.666666666664</v>
      </c>
      <c r="B138" t="s">
        <v>11</v>
      </c>
      <c r="C138" t="s">
        <v>28</v>
      </c>
      <c r="D138">
        <v>9</v>
      </c>
      <c r="E138">
        <v>40</v>
      </c>
      <c r="F138">
        <v>24.952767906924201</v>
      </c>
      <c r="G138" t="str">
        <f>FLOOR(FinalData[[#This Row],[Temperature_C]],2)&amp;"–"&amp;(FLOOR(FinalData[[#This Row],[Temperature_C]],2)+2)&amp;"°C"</f>
        <v>24–26°C</v>
      </c>
      <c r="H138">
        <v>3.82</v>
      </c>
      <c r="I138">
        <v>2026</v>
      </c>
      <c r="J138">
        <v>1</v>
      </c>
      <c r="K138">
        <v>6</v>
      </c>
      <c r="L138">
        <v>2</v>
      </c>
      <c r="M138">
        <v>16</v>
      </c>
      <c r="N138">
        <v>0.22500000000000001</v>
      </c>
      <c r="O138">
        <v>0.4244444444444444</v>
      </c>
      <c r="P138" t="s">
        <v>42</v>
      </c>
    </row>
    <row r="139" spans="1:16" hidden="1" x14ac:dyDescent="0.25">
      <c r="A139" s="12">
        <v>46028.708333333336</v>
      </c>
      <c r="B139" t="s">
        <v>7</v>
      </c>
      <c r="C139" t="s">
        <v>31</v>
      </c>
      <c r="D139">
        <v>6</v>
      </c>
      <c r="E139">
        <v>40</v>
      </c>
      <c r="F139">
        <v>21.83663817210271</v>
      </c>
      <c r="G139" t="str">
        <f>FLOOR(FinalData[[#This Row],[Temperature_C]],2)&amp;"–"&amp;(FLOOR(FinalData[[#This Row],[Temperature_C]],2)+2)&amp;"°C"</f>
        <v>20–22°C</v>
      </c>
      <c r="H139">
        <v>2.02</v>
      </c>
      <c r="I139">
        <v>2026</v>
      </c>
      <c r="J139">
        <v>1</v>
      </c>
      <c r="K139">
        <v>6</v>
      </c>
      <c r="L139">
        <v>2</v>
      </c>
      <c r="M139">
        <v>17</v>
      </c>
      <c r="N139">
        <v>0.15</v>
      </c>
      <c r="O139">
        <v>0.33666666666666667</v>
      </c>
      <c r="P139" t="s">
        <v>43</v>
      </c>
    </row>
    <row r="140" spans="1:16" hidden="1" x14ac:dyDescent="0.25">
      <c r="A140" s="12">
        <v>46028.75</v>
      </c>
      <c r="B140" t="s">
        <v>11</v>
      </c>
      <c r="C140" t="s">
        <v>22</v>
      </c>
      <c r="D140">
        <v>4</v>
      </c>
      <c r="E140">
        <v>30</v>
      </c>
      <c r="F140">
        <v>21.756363398987219</v>
      </c>
      <c r="G140" t="str">
        <f>FLOOR(FinalData[[#This Row],[Temperature_C]],2)&amp;"–"&amp;(FLOOR(FinalData[[#This Row],[Temperature_C]],2)+2)&amp;"°C"</f>
        <v>20–22°C</v>
      </c>
      <c r="H140">
        <v>2.0499999999999998</v>
      </c>
      <c r="I140">
        <v>2026</v>
      </c>
      <c r="J140">
        <v>1</v>
      </c>
      <c r="K140">
        <v>6</v>
      </c>
      <c r="L140">
        <v>2</v>
      </c>
      <c r="M140">
        <v>18</v>
      </c>
      <c r="N140">
        <v>0.13333333333333333</v>
      </c>
      <c r="O140">
        <v>0.51249999999999996</v>
      </c>
      <c r="P140" t="s">
        <v>43</v>
      </c>
    </row>
    <row r="141" spans="1:16" hidden="1" x14ac:dyDescent="0.25">
      <c r="A141" s="12">
        <v>46028.791666666664</v>
      </c>
      <c r="B141" t="s">
        <v>7</v>
      </c>
      <c r="C141" t="s">
        <v>24</v>
      </c>
      <c r="D141">
        <v>12</v>
      </c>
      <c r="E141">
        <v>30</v>
      </c>
      <c r="F141">
        <v>24.11665382504345</v>
      </c>
      <c r="G141" t="str">
        <f>FLOOR(FinalData[[#This Row],[Temperature_C]],2)&amp;"–"&amp;(FLOOR(FinalData[[#This Row],[Temperature_C]],2)+2)&amp;"°C"</f>
        <v>24–26°C</v>
      </c>
      <c r="H141">
        <v>4.1399999999999997</v>
      </c>
      <c r="I141">
        <v>2026</v>
      </c>
      <c r="J141">
        <v>1</v>
      </c>
      <c r="K141">
        <v>6</v>
      </c>
      <c r="L141">
        <v>2</v>
      </c>
      <c r="M141">
        <v>19</v>
      </c>
      <c r="N141">
        <v>0.4</v>
      </c>
      <c r="O141">
        <v>0.34499999999999997</v>
      </c>
      <c r="P141" t="s">
        <v>43</v>
      </c>
    </row>
    <row r="142" spans="1:16" hidden="1" x14ac:dyDescent="0.25">
      <c r="A142" s="12">
        <v>46028.833333333336</v>
      </c>
      <c r="B142" t="s">
        <v>11</v>
      </c>
      <c r="C142" t="s">
        <v>16</v>
      </c>
      <c r="D142">
        <v>7</v>
      </c>
      <c r="E142">
        <v>25</v>
      </c>
      <c r="F142">
        <v>25.182620241188541</v>
      </c>
      <c r="G142" t="str">
        <f>FLOOR(FinalData[[#This Row],[Temperature_C]],2)&amp;"–"&amp;(FLOOR(FinalData[[#This Row],[Temperature_C]],2)+2)&amp;"°C"</f>
        <v>24–26°C</v>
      </c>
      <c r="H142">
        <v>3.21</v>
      </c>
      <c r="I142">
        <v>2026</v>
      </c>
      <c r="J142">
        <v>1</v>
      </c>
      <c r="K142">
        <v>6</v>
      </c>
      <c r="L142">
        <v>2</v>
      </c>
      <c r="M142">
        <v>20</v>
      </c>
      <c r="N142">
        <v>0.28000000000000003</v>
      </c>
      <c r="O142">
        <v>0.45857142857142857</v>
      </c>
      <c r="P142" t="s">
        <v>43</v>
      </c>
    </row>
    <row r="143" spans="1:16" hidden="1" x14ac:dyDescent="0.25">
      <c r="A143" s="12">
        <v>46028.875</v>
      </c>
      <c r="B143" t="s">
        <v>11</v>
      </c>
      <c r="C143" t="s">
        <v>26</v>
      </c>
      <c r="D143">
        <v>10</v>
      </c>
      <c r="E143">
        <v>25</v>
      </c>
      <c r="F143">
        <v>21.945061352772289</v>
      </c>
      <c r="G143" t="str">
        <f>FLOOR(FinalData[[#This Row],[Temperature_C]],2)&amp;"–"&amp;(FLOOR(FinalData[[#This Row],[Temperature_C]],2)+2)&amp;"°C"</f>
        <v>20–22°C</v>
      </c>
      <c r="H143">
        <v>3.42</v>
      </c>
      <c r="I143">
        <v>2026</v>
      </c>
      <c r="J143">
        <v>1</v>
      </c>
      <c r="K143">
        <v>6</v>
      </c>
      <c r="L143">
        <v>2</v>
      </c>
      <c r="M143">
        <v>21</v>
      </c>
      <c r="N143">
        <v>0.4</v>
      </c>
      <c r="O143">
        <v>0.34199999999999997</v>
      </c>
      <c r="P143" t="s">
        <v>40</v>
      </c>
    </row>
    <row r="144" spans="1:16" hidden="1" x14ac:dyDescent="0.25">
      <c r="A144" s="12">
        <v>46028.916666666664</v>
      </c>
      <c r="B144" t="s">
        <v>13</v>
      </c>
      <c r="C144" t="s">
        <v>24</v>
      </c>
      <c r="D144">
        <v>7</v>
      </c>
      <c r="E144">
        <v>30</v>
      </c>
      <c r="F144">
        <v>23.174372808412858</v>
      </c>
      <c r="G144" t="str">
        <f>FLOOR(FinalData[[#This Row],[Temperature_C]],2)&amp;"–"&amp;(FLOOR(FinalData[[#This Row],[Temperature_C]],2)+2)&amp;"°C"</f>
        <v>22–24°C</v>
      </c>
      <c r="H144">
        <v>2.94</v>
      </c>
      <c r="I144">
        <v>2026</v>
      </c>
      <c r="J144">
        <v>1</v>
      </c>
      <c r="K144">
        <v>6</v>
      </c>
      <c r="L144">
        <v>2</v>
      </c>
      <c r="M144">
        <v>22</v>
      </c>
      <c r="N144">
        <v>0.23333333333333334</v>
      </c>
      <c r="O144">
        <v>0.42</v>
      </c>
      <c r="P144" t="s">
        <v>40</v>
      </c>
    </row>
    <row r="145" spans="1:16" hidden="1" x14ac:dyDescent="0.25">
      <c r="A145" s="12">
        <v>46028.958333333336</v>
      </c>
      <c r="B145" t="s">
        <v>9</v>
      </c>
      <c r="C145" t="s">
        <v>25</v>
      </c>
      <c r="D145">
        <v>11</v>
      </c>
      <c r="E145">
        <v>20</v>
      </c>
      <c r="F145">
        <v>22.122825587485409</v>
      </c>
      <c r="G145" t="str">
        <f>FLOOR(FinalData[[#This Row],[Temperature_C]],2)&amp;"–"&amp;(FLOOR(FinalData[[#This Row],[Temperature_C]],2)+2)&amp;"°C"</f>
        <v>22–24°C</v>
      </c>
      <c r="H145">
        <v>3.92</v>
      </c>
      <c r="I145">
        <v>2026</v>
      </c>
      <c r="J145">
        <v>1</v>
      </c>
      <c r="K145">
        <v>6</v>
      </c>
      <c r="L145">
        <v>2</v>
      </c>
      <c r="M145">
        <v>23</v>
      </c>
      <c r="N145">
        <v>0.55000000000000004</v>
      </c>
      <c r="O145">
        <v>0.35636363636363638</v>
      </c>
      <c r="P145" t="s">
        <v>40</v>
      </c>
    </row>
    <row r="146" spans="1:16" hidden="1" x14ac:dyDescent="0.25">
      <c r="A146" s="12">
        <v>46029</v>
      </c>
      <c r="B146" t="s">
        <v>11</v>
      </c>
      <c r="C146" t="s">
        <v>29</v>
      </c>
      <c r="D146">
        <v>9</v>
      </c>
      <c r="E146">
        <v>30</v>
      </c>
      <c r="F146">
        <v>23.10107163118801</v>
      </c>
      <c r="G146" t="str">
        <f>FLOOR(FinalData[[#This Row],[Temperature_C]],2)&amp;"–"&amp;(FLOOR(FinalData[[#This Row],[Temperature_C]],2)+2)&amp;"°C"</f>
        <v>22–24°C</v>
      </c>
      <c r="H146">
        <v>3.27</v>
      </c>
      <c r="I146">
        <v>2026</v>
      </c>
      <c r="J146">
        <v>1</v>
      </c>
      <c r="K146">
        <v>7</v>
      </c>
      <c r="L146">
        <v>3</v>
      </c>
      <c r="M146">
        <v>0</v>
      </c>
      <c r="N146">
        <v>0.3</v>
      </c>
      <c r="O146">
        <v>0.36333333333333334</v>
      </c>
      <c r="P146" t="s">
        <v>40</v>
      </c>
    </row>
    <row r="147" spans="1:16" hidden="1" x14ac:dyDescent="0.25">
      <c r="A147" s="12">
        <v>46029.041666666664</v>
      </c>
      <c r="B147" t="s">
        <v>18</v>
      </c>
      <c r="C147" t="s">
        <v>8</v>
      </c>
      <c r="D147">
        <v>10</v>
      </c>
      <c r="E147">
        <v>40</v>
      </c>
      <c r="F147">
        <v>21.780975595681429</v>
      </c>
      <c r="G147" t="str">
        <f>FLOOR(FinalData[[#This Row],[Temperature_C]],2)&amp;"–"&amp;(FLOOR(FinalData[[#This Row],[Temperature_C]],2)+2)&amp;"°C"</f>
        <v>20–22°C</v>
      </c>
      <c r="H147">
        <v>3.28</v>
      </c>
      <c r="I147">
        <v>2026</v>
      </c>
      <c r="J147">
        <v>1</v>
      </c>
      <c r="K147">
        <v>7</v>
      </c>
      <c r="L147">
        <v>3</v>
      </c>
      <c r="M147">
        <v>1</v>
      </c>
      <c r="N147">
        <v>0.25</v>
      </c>
      <c r="O147">
        <v>0.32799999999999996</v>
      </c>
      <c r="P147" t="s">
        <v>40</v>
      </c>
    </row>
    <row r="148" spans="1:16" hidden="1" x14ac:dyDescent="0.25">
      <c r="A148" s="12">
        <v>46029.083333333336</v>
      </c>
      <c r="B148" t="s">
        <v>13</v>
      </c>
      <c r="C148" t="s">
        <v>20</v>
      </c>
      <c r="D148">
        <v>6</v>
      </c>
      <c r="E148">
        <v>40</v>
      </c>
      <c r="F148">
        <v>17.223457589614551</v>
      </c>
      <c r="G148" t="str">
        <f>FLOOR(FinalData[[#This Row],[Temperature_C]],2)&amp;"–"&amp;(FLOOR(FinalData[[#This Row],[Temperature_C]],2)+2)&amp;"°C"</f>
        <v>16–18°C</v>
      </c>
      <c r="H148">
        <v>3.1</v>
      </c>
      <c r="I148">
        <v>2026</v>
      </c>
      <c r="J148">
        <v>1</v>
      </c>
      <c r="K148">
        <v>7</v>
      </c>
      <c r="L148">
        <v>3</v>
      </c>
      <c r="M148">
        <v>2</v>
      </c>
      <c r="N148">
        <v>0.15</v>
      </c>
      <c r="O148">
        <v>0.51666666666666672</v>
      </c>
      <c r="P148" t="s">
        <v>40</v>
      </c>
    </row>
    <row r="149" spans="1:16" hidden="1" x14ac:dyDescent="0.25">
      <c r="A149" s="12">
        <v>46029.125</v>
      </c>
      <c r="B149" t="s">
        <v>18</v>
      </c>
      <c r="C149" t="s">
        <v>28</v>
      </c>
      <c r="D149">
        <v>6</v>
      </c>
      <c r="E149">
        <v>20</v>
      </c>
      <c r="F149">
        <v>22.573114258139579</v>
      </c>
      <c r="G149" t="str">
        <f>FLOOR(FinalData[[#This Row],[Temperature_C]],2)&amp;"–"&amp;(FLOOR(FinalData[[#This Row],[Temperature_C]],2)+2)&amp;"°C"</f>
        <v>22–24°C</v>
      </c>
      <c r="H149">
        <v>2.83</v>
      </c>
      <c r="I149">
        <v>2026</v>
      </c>
      <c r="J149">
        <v>1</v>
      </c>
      <c r="K149">
        <v>7</v>
      </c>
      <c r="L149">
        <v>3</v>
      </c>
      <c r="M149">
        <v>3</v>
      </c>
      <c r="N149">
        <v>0.3</v>
      </c>
      <c r="O149">
        <v>0.47166666666666668</v>
      </c>
      <c r="P149" t="s">
        <v>40</v>
      </c>
    </row>
    <row r="150" spans="1:16" hidden="1" x14ac:dyDescent="0.25">
      <c r="A150" s="12">
        <v>46029.166666666664</v>
      </c>
      <c r="B150" t="s">
        <v>18</v>
      </c>
      <c r="C150" t="s">
        <v>14</v>
      </c>
      <c r="D150">
        <v>6</v>
      </c>
      <c r="E150">
        <v>40</v>
      </c>
      <c r="F150">
        <v>22.265551568090011</v>
      </c>
      <c r="G150" t="str">
        <f>FLOOR(FinalData[[#This Row],[Temperature_C]],2)&amp;"–"&amp;(FLOOR(FinalData[[#This Row],[Temperature_C]],2)+2)&amp;"°C"</f>
        <v>22–24°C</v>
      </c>
      <c r="H150">
        <v>2.13</v>
      </c>
      <c r="I150">
        <v>2026</v>
      </c>
      <c r="J150">
        <v>1</v>
      </c>
      <c r="K150">
        <v>7</v>
      </c>
      <c r="L150">
        <v>3</v>
      </c>
      <c r="M150">
        <v>4</v>
      </c>
      <c r="N150">
        <v>0.15</v>
      </c>
      <c r="O150">
        <v>0.35499999999999998</v>
      </c>
      <c r="P150" t="s">
        <v>40</v>
      </c>
    </row>
    <row r="151" spans="1:16" hidden="1" x14ac:dyDescent="0.25">
      <c r="A151" s="12">
        <v>46029.208333333336</v>
      </c>
      <c r="B151" t="s">
        <v>9</v>
      </c>
      <c r="C151" t="s">
        <v>27</v>
      </c>
      <c r="D151">
        <v>8</v>
      </c>
      <c r="E151">
        <v>40</v>
      </c>
      <c r="F151">
        <v>17.892157730196089</v>
      </c>
      <c r="G151" t="str">
        <f>FLOOR(FinalData[[#This Row],[Temperature_C]],2)&amp;"–"&amp;(FLOOR(FinalData[[#This Row],[Temperature_C]],2)+2)&amp;"°C"</f>
        <v>16–18°C</v>
      </c>
      <c r="H151">
        <v>3.7</v>
      </c>
      <c r="I151">
        <v>2026</v>
      </c>
      <c r="J151">
        <v>1</v>
      </c>
      <c r="K151">
        <v>7</v>
      </c>
      <c r="L151">
        <v>3</v>
      </c>
      <c r="M151">
        <v>5</v>
      </c>
      <c r="N151">
        <v>0.2</v>
      </c>
      <c r="O151">
        <v>0.46250000000000002</v>
      </c>
      <c r="P151" t="s">
        <v>40</v>
      </c>
    </row>
    <row r="152" spans="1:16" hidden="1" x14ac:dyDescent="0.25">
      <c r="A152" s="12">
        <v>46029.25</v>
      </c>
      <c r="B152" t="s">
        <v>18</v>
      </c>
      <c r="C152" t="s">
        <v>17</v>
      </c>
      <c r="D152">
        <v>9</v>
      </c>
      <c r="E152">
        <v>30</v>
      </c>
      <c r="F152">
        <v>21.84697919854656</v>
      </c>
      <c r="G152" t="str">
        <f>FLOOR(FinalData[[#This Row],[Temperature_C]],2)&amp;"–"&amp;(FLOOR(FinalData[[#This Row],[Temperature_C]],2)+2)&amp;"°C"</f>
        <v>20–22°C</v>
      </c>
      <c r="H152">
        <v>2.2999999999999998</v>
      </c>
      <c r="I152">
        <v>2026</v>
      </c>
      <c r="J152">
        <v>1</v>
      </c>
      <c r="K152">
        <v>7</v>
      </c>
      <c r="L152">
        <v>3</v>
      </c>
      <c r="M152">
        <v>6</v>
      </c>
      <c r="N152">
        <v>0.3</v>
      </c>
      <c r="O152">
        <v>0.25555555555555554</v>
      </c>
      <c r="P152" t="s">
        <v>40</v>
      </c>
    </row>
    <row r="153" spans="1:16" hidden="1" x14ac:dyDescent="0.25">
      <c r="A153" s="12">
        <v>46029.291666666664</v>
      </c>
      <c r="B153" t="s">
        <v>13</v>
      </c>
      <c r="C153" t="s">
        <v>21</v>
      </c>
      <c r="D153">
        <v>4</v>
      </c>
      <c r="E153">
        <v>30</v>
      </c>
      <c r="F153">
        <v>21.011787533915619</v>
      </c>
      <c r="G153" t="str">
        <f>FLOOR(FinalData[[#This Row],[Temperature_C]],2)&amp;"–"&amp;(FLOOR(FinalData[[#This Row],[Temperature_C]],2)+2)&amp;"°C"</f>
        <v>20–22°C</v>
      </c>
      <c r="H153">
        <v>1.94</v>
      </c>
      <c r="I153">
        <v>2026</v>
      </c>
      <c r="J153">
        <v>1</v>
      </c>
      <c r="K153">
        <v>7</v>
      </c>
      <c r="L153">
        <v>3</v>
      </c>
      <c r="M153">
        <v>7</v>
      </c>
      <c r="N153">
        <v>0.13333333333333333</v>
      </c>
      <c r="O153">
        <v>0.48499999999999999</v>
      </c>
      <c r="P153" t="s">
        <v>41</v>
      </c>
    </row>
    <row r="154" spans="1:16" hidden="1" x14ac:dyDescent="0.25">
      <c r="A154" s="12">
        <v>46029.333333333336</v>
      </c>
      <c r="B154" t="s">
        <v>7</v>
      </c>
      <c r="C154" t="s">
        <v>31</v>
      </c>
      <c r="D154">
        <v>8</v>
      </c>
      <c r="E154">
        <v>40</v>
      </c>
      <c r="F154">
        <v>20.25619771413729</v>
      </c>
      <c r="G154" t="str">
        <f>FLOOR(FinalData[[#This Row],[Temperature_C]],2)&amp;"–"&amp;(FLOOR(FinalData[[#This Row],[Temperature_C]],2)+2)&amp;"°C"</f>
        <v>20–22°C</v>
      </c>
      <c r="H154">
        <v>2.58</v>
      </c>
      <c r="I154">
        <v>2026</v>
      </c>
      <c r="J154">
        <v>1</v>
      </c>
      <c r="K154">
        <v>7</v>
      </c>
      <c r="L154">
        <v>3</v>
      </c>
      <c r="M154">
        <v>8</v>
      </c>
      <c r="N154">
        <v>0.2</v>
      </c>
      <c r="O154">
        <v>0.32250000000000001</v>
      </c>
      <c r="P154" t="s">
        <v>41</v>
      </c>
    </row>
    <row r="155" spans="1:16" hidden="1" x14ac:dyDescent="0.25">
      <c r="A155" s="12">
        <v>46029.375</v>
      </c>
      <c r="B155" t="s">
        <v>9</v>
      </c>
      <c r="C155" t="s">
        <v>28</v>
      </c>
      <c r="D155">
        <v>10</v>
      </c>
      <c r="E155">
        <v>30</v>
      </c>
      <c r="F155">
        <v>22.82331468198181</v>
      </c>
      <c r="G155" t="str">
        <f>FLOOR(FinalData[[#This Row],[Temperature_C]],2)&amp;"–"&amp;(FLOOR(FinalData[[#This Row],[Temperature_C]],2)+2)&amp;"°C"</f>
        <v>22–24°C</v>
      </c>
      <c r="H155">
        <v>3.7</v>
      </c>
      <c r="I155">
        <v>2026</v>
      </c>
      <c r="J155">
        <v>1</v>
      </c>
      <c r="K155">
        <v>7</v>
      </c>
      <c r="L155">
        <v>3</v>
      </c>
      <c r="M155">
        <v>9</v>
      </c>
      <c r="N155">
        <v>0.33333333333333331</v>
      </c>
      <c r="O155">
        <v>0.37</v>
      </c>
      <c r="P155" t="s">
        <v>41</v>
      </c>
    </row>
    <row r="156" spans="1:16" hidden="1" x14ac:dyDescent="0.25">
      <c r="A156" s="12">
        <v>46029.416666666664</v>
      </c>
      <c r="B156" t="s">
        <v>9</v>
      </c>
      <c r="C156" t="s">
        <v>26</v>
      </c>
      <c r="D156">
        <v>9</v>
      </c>
      <c r="E156">
        <v>20</v>
      </c>
      <c r="F156">
        <v>22.542034277019511</v>
      </c>
      <c r="G156" t="str">
        <f>FLOOR(FinalData[[#This Row],[Temperature_C]],2)&amp;"–"&amp;(FLOOR(FinalData[[#This Row],[Temperature_C]],2)+2)&amp;"°C"</f>
        <v>22–24°C</v>
      </c>
      <c r="H156">
        <v>3.16</v>
      </c>
      <c r="I156">
        <v>2026</v>
      </c>
      <c r="J156">
        <v>1</v>
      </c>
      <c r="K156">
        <v>7</v>
      </c>
      <c r="L156">
        <v>3</v>
      </c>
      <c r="M156">
        <v>10</v>
      </c>
      <c r="N156">
        <v>0.45</v>
      </c>
      <c r="O156">
        <v>0.35111111111111115</v>
      </c>
      <c r="P156" t="s">
        <v>41</v>
      </c>
    </row>
    <row r="157" spans="1:16" hidden="1" x14ac:dyDescent="0.25">
      <c r="A157" s="12">
        <v>46029.458333333336</v>
      </c>
      <c r="B157" t="s">
        <v>13</v>
      </c>
      <c r="C157" t="s">
        <v>22</v>
      </c>
      <c r="D157">
        <v>3</v>
      </c>
      <c r="E157">
        <v>40</v>
      </c>
      <c r="F157">
        <v>21.39501453357671</v>
      </c>
      <c r="G157" t="str">
        <f>FLOOR(FinalData[[#This Row],[Temperature_C]],2)&amp;"–"&amp;(FLOOR(FinalData[[#This Row],[Temperature_C]],2)+2)&amp;"°C"</f>
        <v>20–22°C</v>
      </c>
      <c r="H157">
        <v>2.0299999999999998</v>
      </c>
      <c r="I157">
        <v>2026</v>
      </c>
      <c r="J157">
        <v>1</v>
      </c>
      <c r="K157">
        <v>7</v>
      </c>
      <c r="L157">
        <v>3</v>
      </c>
      <c r="M157">
        <v>11</v>
      </c>
      <c r="N157">
        <v>7.4999999999999997E-2</v>
      </c>
      <c r="O157">
        <v>0.67666666666666664</v>
      </c>
      <c r="P157" t="s">
        <v>41</v>
      </c>
    </row>
    <row r="158" spans="1:16" hidden="1" x14ac:dyDescent="0.25">
      <c r="A158" s="12">
        <v>46029.5</v>
      </c>
      <c r="B158" t="s">
        <v>9</v>
      </c>
      <c r="C158" t="s">
        <v>26</v>
      </c>
      <c r="D158">
        <v>6</v>
      </c>
      <c r="E158">
        <v>20</v>
      </c>
      <c r="F158">
        <v>25.371408309325989</v>
      </c>
      <c r="G158" t="str">
        <f>FLOOR(FinalData[[#This Row],[Temperature_C]],2)&amp;"–"&amp;(FLOOR(FinalData[[#This Row],[Temperature_C]],2)+2)&amp;"°C"</f>
        <v>24–26°C</v>
      </c>
      <c r="H158">
        <v>3.02</v>
      </c>
      <c r="I158">
        <v>2026</v>
      </c>
      <c r="J158">
        <v>1</v>
      </c>
      <c r="K158">
        <v>7</v>
      </c>
      <c r="L158">
        <v>3</v>
      </c>
      <c r="M158">
        <v>12</v>
      </c>
      <c r="N158">
        <v>0.3</v>
      </c>
      <c r="O158">
        <v>0.5033333333333333</v>
      </c>
      <c r="P158" t="s">
        <v>42</v>
      </c>
    </row>
    <row r="159" spans="1:16" hidden="1" x14ac:dyDescent="0.25">
      <c r="A159" s="12">
        <v>46029.541666666664</v>
      </c>
      <c r="B159" t="s">
        <v>18</v>
      </c>
      <c r="C159" t="s">
        <v>10</v>
      </c>
      <c r="D159">
        <v>4</v>
      </c>
      <c r="E159">
        <v>30</v>
      </c>
      <c r="F159">
        <v>24.214262201567241</v>
      </c>
      <c r="G159" t="str">
        <f>FLOOR(FinalData[[#This Row],[Temperature_C]],2)&amp;"–"&amp;(FLOOR(FinalData[[#This Row],[Temperature_C]],2)+2)&amp;"°C"</f>
        <v>24–26°C</v>
      </c>
      <c r="H159">
        <v>2.5299999999999998</v>
      </c>
      <c r="I159">
        <v>2026</v>
      </c>
      <c r="J159">
        <v>1</v>
      </c>
      <c r="K159">
        <v>7</v>
      </c>
      <c r="L159">
        <v>3</v>
      </c>
      <c r="M159">
        <v>13</v>
      </c>
      <c r="N159">
        <v>0.13333333333333333</v>
      </c>
      <c r="O159">
        <v>0.63249999999999995</v>
      </c>
      <c r="P159" t="s">
        <v>42</v>
      </c>
    </row>
    <row r="160" spans="1:16" hidden="1" x14ac:dyDescent="0.25">
      <c r="A160" s="12">
        <v>46029.583333333336</v>
      </c>
      <c r="B160" t="s">
        <v>13</v>
      </c>
      <c r="C160" t="s">
        <v>23</v>
      </c>
      <c r="D160">
        <v>7</v>
      </c>
      <c r="E160">
        <v>20</v>
      </c>
      <c r="F160">
        <v>25.91123738016223</v>
      </c>
      <c r="G160" t="str">
        <f>FLOOR(FinalData[[#This Row],[Temperature_C]],2)&amp;"–"&amp;(FLOOR(FinalData[[#This Row],[Temperature_C]],2)+2)&amp;"°C"</f>
        <v>24–26°C</v>
      </c>
      <c r="H160">
        <v>3.68</v>
      </c>
      <c r="I160">
        <v>2026</v>
      </c>
      <c r="J160">
        <v>1</v>
      </c>
      <c r="K160">
        <v>7</v>
      </c>
      <c r="L160">
        <v>3</v>
      </c>
      <c r="M160">
        <v>14</v>
      </c>
      <c r="N160">
        <v>0.35</v>
      </c>
      <c r="O160">
        <v>0.52571428571428569</v>
      </c>
      <c r="P160" t="s">
        <v>42</v>
      </c>
    </row>
    <row r="161" spans="1:16" hidden="1" x14ac:dyDescent="0.25">
      <c r="A161" s="12">
        <v>46029.625</v>
      </c>
      <c r="B161" t="s">
        <v>11</v>
      </c>
      <c r="C161" t="s">
        <v>16</v>
      </c>
      <c r="D161">
        <v>9</v>
      </c>
      <c r="E161">
        <v>40</v>
      </c>
      <c r="F161">
        <v>24.158885145734519</v>
      </c>
      <c r="G161" t="str">
        <f>FLOOR(FinalData[[#This Row],[Temperature_C]],2)&amp;"–"&amp;(FLOOR(FinalData[[#This Row],[Temperature_C]],2)+2)&amp;"°C"</f>
        <v>24–26°C</v>
      </c>
      <c r="H161">
        <v>3.42</v>
      </c>
      <c r="I161">
        <v>2026</v>
      </c>
      <c r="J161">
        <v>1</v>
      </c>
      <c r="K161">
        <v>7</v>
      </c>
      <c r="L161">
        <v>3</v>
      </c>
      <c r="M161">
        <v>15</v>
      </c>
      <c r="N161">
        <v>0.22500000000000001</v>
      </c>
      <c r="O161">
        <v>0.38</v>
      </c>
      <c r="P161" t="s">
        <v>42</v>
      </c>
    </row>
    <row r="162" spans="1:16" hidden="1" x14ac:dyDescent="0.25">
      <c r="A162" s="12">
        <v>46029.666666666664</v>
      </c>
      <c r="B162" t="s">
        <v>9</v>
      </c>
      <c r="C162" t="s">
        <v>14</v>
      </c>
      <c r="D162">
        <v>10</v>
      </c>
      <c r="E162">
        <v>25</v>
      </c>
      <c r="F162">
        <v>22.502617747632911</v>
      </c>
      <c r="G162" t="str">
        <f>FLOOR(FinalData[[#This Row],[Temperature_C]],2)&amp;"–"&amp;(FLOOR(FinalData[[#This Row],[Temperature_C]],2)+2)&amp;"°C"</f>
        <v>22–24°C</v>
      </c>
      <c r="H162">
        <v>3.86</v>
      </c>
      <c r="I162">
        <v>2026</v>
      </c>
      <c r="J162">
        <v>1</v>
      </c>
      <c r="K162">
        <v>7</v>
      </c>
      <c r="L162">
        <v>3</v>
      </c>
      <c r="M162">
        <v>16</v>
      </c>
      <c r="N162">
        <v>0.4</v>
      </c>
      <c r="O162">
        <v>0.38600000000000001</v>
      </c>
      <c r="P162" t="s">
        <v>42</v>
      </c>
    </row>
    <row r="163" spans="1:16" hidden="1" x14ac:dyDescent="0.25">
      <c r="A163" s="12">
        <v>46029.708333333336</v>
      </c>
      <c r="B163" t="s">
        <v>13</v>
      </c>
      <c r="C163" t="s">
        <v>19</v>
      </c>
      <c r="D163">
        <v>9</v>
      </c>
      <c r="E163">
        <v>30</v>
      </c>
      <c r="F163">
        <v>23.799375903505279</v>
      </c>
      <c r="G163" t="str">
        <f>FLOOR(FinalData[[#This Row],[Temperature_C]],2)&amp;"–"&amp;(FLOOR(FinalData[[#This Row],[Temperature_C]],2)+2)&amp;"°C"</f>
        <v>22–24°C</v>
      </c>
      <c r="H163">
        <v>3.12</v>
      </c>
      <c r="I163">
        <v>2026</v>
      </c>
      <c r="J163">
        <v>1</v>
      </c>
      <c r="K163">
        <v>7</v>
      </c>
      <c r="L163">
        <v>3</v>
      </c>
      <c r="M163">
        <v>17</v>
      </c>
      <c r="N163">
        <v>0.3</v>
      </c>
      <c r="O163">
        <v>0.34666666666666668</v>
      </c>
      <c r="P163" t="s">
        <v>43</v>
      </c>
    </row>
    <row r="164" spans="1:16" hidden="1" x14ac:dyDescent="0.25">
      <c r="A164" s="12">
        <v>46029.75</v>
      </c>
      <c r="B164" t="s">
        <v>18</v>
      </c>
      <c r="C164" t="s">
        <v>24</v>
      </c>
      <c r="D164">
        <v>14</v>
      </c>
      <c r="E164">
        <v>20</v>
      </c>
      <c r="F164">
        <v>22.49906392201618</v>
      </c>
      <c r="G164" t="str">
        <f>FLOOR(FinalData[[#This Row],[Temperature_C]],2)&amp;"–"&amp;(FLOOR(FinalData[[#This Row],[Temperature_C]],2)+2)&amp;"°C"</f>
        <v>22–24°C</v>
      </c>
      <c r="H164">
        <v>4.37</v>
      </c>
      <c r="I164">
        <v>2026</v>
      </c>
      <c r="J164">
        <v>1</v>
      </c>
      <c r="K164">
        <v>7</v>
      </c>
      <c r="L164">
        <v>3</v>
      </c>
      <c r="M164">
        <v>18</v>
      </c>
      <c r="N164">
        <v>0.7</v>
      </c>
      <c r="O164">
        <v>0.31214285714285717</v>
      </c>
      <c r="P164" t="s">
        <v>43</v>
      </c>
    </row>
    <row r="165" spans="1:16" hidden="1" x14ac:dyDescent="0.25">
      <c r="A165" s="12">
        <v>46029.791666666664</v>
      </c>
      <c r="B165" t="s">
        <v>13</v>
      </c>
      <c r="C165" t="s">
        <v>28</v>
      </c>
      <c r="D165">
        <v>9</v>
      </c>
      <c r="E165">
        <v>40</v>
      </c>
      <c r="F165">
        <v>21.970716901563701</v>
      </c>
      <c r="G165" t="str">
        <f>FLOOR(FinalData[[#This Row],[Temperature_C]],2)&amp;"–"&amp;(FLOOR(FinalData[[#This Row],[Temperature_C]],2)+2)&amp;"°C"</f>
        <v>20–22°C</v>
      </c>
      <c r="H165">
        <v>2.72</v>
      </c>
      <c r="I165">
        <v>2026</v>
      </c>
      <c r="J165">
        <v>1</v>
      </c>
      <c r="K165">
        <v>7</v>
      </c>
      <c r="L165">
        <v>3</v>
      </c>
      <c r="M165">
        <v>19</v>
      </c>
      <c r="N165">
        <v>0.22500000000000001</v>
      </c>
      <c r="O165">
        <v>0.30222222222222223</v>
      </c>
      <c r="P165" t="s">
        <v>43</v>
      </c>
    </row>
    <row r="166" spans="1:16" hidden="1" x14ac:dyDescent="0.25">
      <c r="A166" s="12">
        <v>46029.833333333336</v>
      </c>
      <c r="B166" t="s">
        <v>13</v>
      </c>
      <c r="C166" t="s">
        <v>16</v>
      </c>
      <c r="D166">
        <v>4</v>
      </c>
      <c r="E166">
        <v>30</v>
      </c>
      <c r="F166">
        <v>21.430203373835521</v>
      </c>
      <c r="G166" t="str">
        <f>FLOOR(FinalData[[#This Row],[Temperature_C]],2)&amp;"–"&amp;(FLOOR(FinalData[[#This Row],[Temperature_C]],2)+2)&amp;"°C"</f>
        <v>20–22°C</v>
      </c>
      <c r="H166">
        <v>2.08</v>
      </c>
      <c r="I166">
        <v>2026</v>
      </c>
      <c r="J166">
        <v>1</v>
      </c>
      <c r="K166">
        <v>7</v>
      </c>
      <c r="L166">
        <v>3</v>
      </c>
      <c r="M166">
        <v>20</v>
      </c>
      <c r="N166">
        <v>0.13333333333333333</v>
      </c>
      <c r="O166">
        <v>0.52</v>
      </c>
      <c r="P166" t="s">
        <v>43</v>
      </c>
    </row>
    <row r="167" spans="1:16" hidden="1" x14ac:dyDescent="0.25">
      <c r="A167" s="12">
        <v>46029.875</v>
      </c>
      <c r="B167" t="s">
        <v>18</v>
      </c>
      <c r="C167" t="s">
        <v>25</v>
      </c>
      <c r="D167">
        <v>11</v>
      </c>
      <c r="E167">
        <v>25</v>
      </c>
      <c r="F167">
        <v>20.163268534133941</v>
      </c>
      <c r="G167" t="str">
        <f>FLOOR(FinalData[[#This Row],[Temperature_C]],2)&amp;"–"&amp;(FLOOR(FinalData[[#This Row],[Temperature_C]],2)+2)&amp;"°C"</f>
        <v>20–22°C</v>
      </c>
      <c r="H167">
        <v>3.3</v>
      </c>
      <c r="I167">
        <v>2026</v>
      </c>
      <c r="J167">
        <v>1</v>
      </c>
      <c r="K167">
        <v>7</v>
      </c>
      <c r="L167">
        <v>3</v>
      </c>
      <c r="M167">
        <v>21</v>
      </c>
      <c r="N167">
        <v>0.44</v>
      </c>
      <c r="O167">
        <v>0.3</v>
      </c>
      <c r="P167" t="s">
        <v>40</v>
      </c>
    </row>
    <row r="168" spans="1:16" hidden="1" x14ac:dyDescent="0.25">
      <c r="A168" s="12">
        <v>46029.916666666664</v>
      </c>
      <c r="B168" t="s">
        <v>13</v>
      </c>
      <c r="C168" t="s">
        <v>27</v>
      </c>
      <c r="D168">
        <v>5</v>
      </c>
      <c r="E168">
        <v>20</v>
      </c>
      <c r="F168">
        <v>21.896283708215108</v>
      </c>
      <c r="G168" t="str">
        <f>FLOOR(FinalData[[#This Row],[Temperature_C]],2)&amp;"–"&amp;(FLOOR(FinalData[[#This Row],[Temperature_C]],2)+2)&amp;"°C"</f>
        <v>20–22°C</v>
      </c>
      <c r="H168">
        <v>2.83</v>
      </c>
      <c r="I168">
        <v>2026</v>
      </c>
      <c r="J168">
        <v>1</v>
      </c>
      <c r="K168">
        <v>7</v>
      </c>
      <c r="L168">
        <v>3</v>
      </c>
      <c r="M168">
        <v>22</v>
      </c>
      <c r="N168">
        <v>0.25</v>
      </c>
      <c r="O168">
        <v>0.56600000000000006</v>
      </c>
      <c r="P168" t="s">
        <v>40</v>
      </c>
    </row>
    <row r="169" spans="1:16" hidden="1" x14ac:dyDescent="0.25">
      <c r="A169" s="12">
        <v>46029.958333333336</v>
      </c>
      <c r="B169" t="s">
        <v>7</v>
      </c>
      <c r="C169" t="s">
        <v>27</v>
      </c>
      <c r="D169">
        <v>10</v>
      </c>
      <c r="E169">
        <v>25</v>
      </c>
      <c r="F169">
        <v>25.231804106730721</v>
      </c>
      <c r="G169" t="str">
        <f>FLOOR(FinalData[[#This Row],[Temperature_C]],2)&amp;"–"&amp;(FLOOR(FinalData[[#This Row],[Temperature_C]],2)+2)&amp;"°C"</f>
        <v>24–26°C</v>
      </c>
      <c r="H169">
        <v>3.59</v>
      </c>
      <c r="I169">
        <v>2026</v>
      </c>
      <c r="J169">
        <v>1</v>
      </c>
      <c r="K169">
        <v>7</v>
      </c>
      <c r="L169">
        <v>3</v>
      </c>
      <c r="M169">
        <v>23</v>
      </c>
      <c r="N169">
        <v>0.4</v>
      </c>
      <c r="O169">
        <v>0.35899999999999999</v>
      </c>
      <c r="P169" t="s">
        <v>40</v>
      </c>
    </row>
    <row r="170" spans="1:16" hidden="1" x14ac:dyDescent="0.25">
      <c r="A170" s="12">
        <v>46030</v>
      </c>
      <c r="B170" t="s">
        <v>18</v>
      </c>
      <c r="C170" t="s">
        <v>14</v>
      </c>
      <c r="D170">
        <v>7</v>
      </c>
      <c r="E170">
        <v>40</v>
      </c>
      <c r="F170">
        <v>23.96011916017337</v>
      </c>
      <c r="G170" t="str">
        <f>FLOOR(FinalData[[#This Row],[Temperature_C]],2)&amp;"–"&amp;(FLOOR(FinalData[[#This Row],[Temperature_C]],2)+2)&amp;"°C"</f>
        <v>22–24°C</v>
      </c>
      <c r="H170">
        <v>2.4300000000000002</v>
      </c>
      <c r="I170">
        <v>2026</v>
      </c>
      <c r="J170">
        <v>1</v>
      </c>
      <c r="K170">
        <v>8</v>
      </c>
      <c r="L170">
        <v>4</v>
      </c>
      <c r="M170">
        <v>0</v>
      </c>
      <c r="N170">
        <v>0.17499999999999999</v>
      </c>
      <c r="O170">
        <v>0.34714285714285714</v>
      </c>
      <c r="P170" t="s">
        <v>40</v>
      </c>
    </row>
    <row r="171" spans="1:16" hidden="1" x14ac:dyDescent="0.25">
      <c r="A171" s="12">
        <v>46030.041666666664</v>
      </c>
      <c r="B171" t="s">
        <v>13</v>
      </c>
      <c r="C171" t="s">
        <v>21</v>
      </c>
      <c r="D171">
        <v>13</v>
      </c>
      <c r="E171">
        <v>20</v>
      </c>
      <c r="F171">
        <v>20.17835100382425</v>
      </c>
      <c r="G171" t="str">
        <f>FLOOR(FinalData[[#This Row],[Temperature_C]],2)&amp;"–"&amp;(FLOOR(FinalData[[#This Row],[Temperature_C]],2)+2)&amp;"°C"</f>
        <v>20–22°C</v>
      </c>
      <c r="H171">
        <v>3.97</v>
      </c>
      <c r="I171">
        <v>2026</v>
      </c>
      <c r="J171">
        <v>1</v>
      </c>
      <c r="K171">
        <v>8</v>
      </c>
      <c r="L171">
        <v>4</v>
      </c>
      <c r="M171">
        <v>1</v>
      </c>
      <c r="N171">
        <v>0.65</v>
      </c>
      <c r="O171">
        <v>0.30538461538461542</v>
      </c>
      <c r="P171" t="s">
        <v>40</v>
      </c>
    </row>
    <row r="172" spans="1:16" hidden="1" x14ac:dyDescent="0.25">
      <c r="A172" s="12">
        <v>46030.083333333336</v>
      </c>
      <c r="B172" t="s">
        <v>7</v>
      </c>
      <c r="C172" t="s">
        <v>19</v>
      </c>
      <c r="D172">
        <v>3</v>
      </c>
      <c r="E172">
        <v>20</v>
      </c>
      <c r="F172">
        <v>19.20807031738542</v>
      </c>
      <c r="G172" t="str">
        <f>FLOOR(FinalData[[#This Row],[Temperature_C]],2)&amp;"–"&amp;(FLOOR(FinalData[[#This Row],[Temperature_C]],2)+2)&amp;"°C"</f>
        <v>18–20°C</v>
      </c>
      <c r="H172">
        <v>2.02</v>
      </c>
      <c r="I172">
        <v>2026</v>
      </c>
      <c r="J172">
        <v>1</v>
      </c>
      <c r="K172">
        <v>8</v>
      </c>
      <c r="L172">
        <v>4</v>
      </c>
      <c r="M172">
        <v>2</v>
      </c>
      <c r="N172">
        <v>0.15</v>
      </c>
      <c r="O172">
        <v>0.67333333333333334</v>
      </c>
      <c r="P172" t="s">
        <v>40</v>
      </c>
    </row>
    <row r="173" spans="1:16" hidden="1" x14ac:dyDescent="0.25">
      <c r="A173" s="12">
        <v>46030.125</v>
      </c>
      <c r="B173" t="s">
        <v>11</v>
      </c>
      <c r="C173" t="s">
        <v>30</v>
      </c>
      <c r="D173">
        <v>10</v>
      </c>
      <c r="E173">
        <v>20</v>
      </c>
      <c r="F173">
        <v>22.944970189898729</v>
      </c>
      <c r="G173" t="str">
        <f>FLOOR(FinalData[[#This Row],[Temperature_C]],2)&amp;"–"&amp;(FLOOR(FinalData[[#This Row],[Temperature_C]],2)+2)&amp;"°C"</f>
        <v>22–24°C</v>
      </c>
      <c r="H173">
        <v>3.97</v>
      </c>
      <c r="I173">
        <v>2026</v>
      </c>
      <c r="J173">
        <v>1</v>
      </c>
      <c r="K173">
        <v>8</v>
      </c>
      <c r="L173">
        <v>4</v>
      </c>
      <c r="M173">
        <v>3</v>
      </c>
      <c r="N173">
        <v>0.5</v>
      </c>
      <c r="O173">
        <v>0.39700000000000002</v>
      </c>
      <c r="P173" t="s">
        <v>40</v>
      </c>
    </row>
    <row r="174" spans="1:16" hidden="1" x14ac:dyDescent="0.25">
      <c r="A174" s="12">
        <v>46030.166666666664</v>
      </c>
      <c r="B174" t="s">
        <v>13</v>
      </c>
      <c r="C174" t="s">
        <v>17</v>
      </c>
      <c r="D174">
        <v>9</v>
      </c>
      <c r="E174">
        <v>40</v>
      </c>
      <c r="F174">
        <v>22.799691847040091</v>
      </c>
      <c r="G174" t="str">
        <f>FLOOR(FinalData[[#This Row],[Temperature_C]],2)&amp;"–"&amp;(FLOOR(FinalData[[#This Row],[Temperature_C]],2)+2)&amp;"°C"</f>
        <v>22–24°C</v>
      </c>
      <c r="H174">
        <v>3.11</v>
      </c>
      <c r="I174">
        <v>2026</v>
      </c>
      <c r="J174">
        <v>1</v>
      </c>
      <c r="K174">
        <v>8</v>
      </c>
      <c r="L174">
        <v>4</v>
      </c>
      <c r="M174">
        <v>4</v>
      </c>
      <c r="N174">
        <v>0.22500000000000001</v>
      </c>
      <c r="O174">
        <v>0.34555555555555556</v>
      </c>
      <c r="P174" t="s">
        <v>40</v>
      </c>
    </row>
    <row r="175" spans="1:16" hidden="1" x14ac:dyDescent="0.25">
      <c r="A175" s="12">
        <v>46030.208333333336</v>
      </c>
      <c r="B175" t="s">
        <v>11</v>
      </c>
      <c r="C175" t="s">
        <v>31</v>
      </c>
      <c r="D175">
        <v>8</v>
      </c>
      <c r="E175">
        <v>40</v>
      </c>
      <c r="F175">
        <v>21.947843935576081</v>
      </c>
      <c r="G175" t="str">
        <f>FLOOR(FinalData[[#This Row],[Temperature_C]],2)&amp;"–"&amp;(FLOOR(FinalData[[#This Row],[Temperature_C]],2)+2)&amp;"°C"</f>
        <v>20–22°C</v>
      </c>
      <c r="H175">
        <v>2.8</v>
      </c>
      <c r="I175">
        <v>2026</v>
      </c>
      <c r="J175">
        <v>1</v>
      </c>
      <c r="K175">
        <v>8</v>
      </c>
      <c r="L175">
        <v>4</v>
      </c>
      <c r="M175">
        <v>5</v>
      </c>
      <c r="N175">
        <v>0.2</v>
      </c>
      <c r="O175">
        <v>0.35</v>
      </c>
      <c r="P175" t="s">
        <v>40</v>
      </c>
    </row>
    <row r="176" spans="1:16" hidden="1" x14ac:dyDescent="0.25">
      <c r="A176" s="12">
        <v>46030.25</v>
      </c>
      <c r="B176" t="s">
        <v>11</v>
      </c>
      <c r="C176" t="s">
        <v>27</v>
      </c>
      <c r="D176">
        <v>7</v>
      </c>
      <c r="E176">
        <v>30</v>
      </c>
      <c r="F176">
        <v>23.494154755612609</v>
      </c>
      <c r="G176" t="str">
        <f>FLOOR(FinalData[[#This Row],[Temperature_C]],2)&amp;"–"&amp;(FLOOR(FinalData[[#This Row],[Temperature_C]],2)+2)&amp;"°C"</f>
        <v>22–24°C</v>
      </c>
      <c r="H176">
        <v>2.8</v>
      </c>
      <c r="I176">
        <v>2026</v>
      </c>
      <c r="J176">
        <v>1</v>
      </c>
      <c r="K176">
        <v>8</v>
      </c>
      <c r="L176">
        <v>4</v>
      </c>
      <c r="M176">
        <v>6</v>
      </c>
      <c r="N176">
        <v>0.23333333333333334</v>
      </c>
      <c r="O176">
        <v>0.39999999999999997</v>
      </c>
      <c r="P176" t="s">
        <v>40</v>
      </c>
    </row>
    <row r="177" spans="1:16" hidden="1" x14ac:dyDescent="0.25">
      <c r="A177" s="12">
        <v>46030.291666666664</v>
      </c>
      <c r="B177" t="s">
        <v>13</v>
      </c>
      <c r="C177" t="s">
        <v>19</v>
      </c>
      <c r="D177">
        <v>9</v>
      </c>
      <c r="E177">
        <v>25</v>
      </c>
      <c r="F177">
        <v>20.333685378692689</v>
      </c>
      <c r="G177" t="str">
        <f>FLOOR(FinalData[[#This Row],[Temperature_C]],2)&amp;"–"&amp;(FLOOR(FinalData[[#This Row],[Temperature_C]],2)+2)&amp;"°C"</f>
        <v>20–22°C</v>
      </c>
      <c r="H177">
        <v>4.0199999999999996</v>
      </c>
      <c r="I177">
        <v>2026</v>
      </c>
      <c r="J177">
        <v>1</v>
      </c>
      <c r="K177">
        <v>8</v>
      </c>
      <c r="L177">
        <v>4</v>
      </c>
      <c r="M177">
        <v>7</v>
      </c>
      <c r="N177">
        <v>0.36</v>
      </c>
      <c r="O177">
        <v>0.4466666666666666</v>
      </c>
      <c r="P177" t="s">
        <v>41</v>
      </c>
    </row>
    <row r="178" spans="1:16" hidden="1" x14ac:dyDescent="0.25">
      <c r="A178" s="12">
        <v>46030.333333333336</v>
      </c>
      <c r="B178" t="s">
        <v>13</v>
      </c>
      <c r="C178" t="s">
        <v>10</v>
      </c>
      <c r="D178">
        <v>6</v>
      </c>
      <c r="E178">
        <v>40</v>
      </c>
      <c r="F178">
        <v>23.401138394461881</v>
      </c>
      <c r="G178" t="str">
        <f>FLOOR(FinalData[[#This Row],[Temperature_C]],2)&amp;"–"&amp;(FLOOR(FinalData[[#This Row],[Temperature_C]],2)+2)&amp;"°C"</f>
        <v>22–24°C</v>
      </c>
      <c r="H178">
        <v>2.85</v>
      </c>
      <c r="I178">
        <v>2026</v>
      </c>
      <c r="J178">
        <v>1</v>
      </c>
      <c r="K178">
        <v>8</v>
      </c>
      <c r="L178">
        <v>4</v>
      </c>
      <c r="M178">
        <v>8</v>
      </c>
      <c r="N178">
        <v>0.15</v>
      </c>
      <c r="O178">
        <v>0.47500000000000003</v>
      </c>
      <c r="P178" t="s">
        <v>41</v>
      </c>
    </row>
    <row r="179" spans="1:16" x14ac:dyDescent="0.25">
      <c r="A179" s="12">
        <v>46030.375</v>
      </c>
      <c r="B179" t="s">
        <v>11</v>
      </c>
      <c r="C179" t="s">
        <v>25</v>
      </c>
      <c r="D179">
        <v>7</v>
      </c>
      <c r="E179">
        <v>25</v>
      </c>
      <c r="F179">
        <v>20.855721976028789</v>
      </c>
      <c r="G179" t="str">
        <f>FLOOR(FinalData[[#This Row],[Temperature_C]],2)&amp;"–"&amp;(FLOOR(FinalData[[#This Row],[Temperature_C]],2)+2)&amp;"°C"</f>
        <v>20–22°C</v>
      </c>
      <c r="H179">
        <v>1.85</v>
      </c>
      <c r="I179">
        <v>2026</v>
      </c>
      <c r="J179">
        <v>1</v>
      </c>
      <c r="K179">
        <v>8</v>
      </c>
      <c r="L179">
        <v>4</v>
      </c>
      <c r="M179">
        <v>9</v>
      </c>
      <c r="N179">
        <v>0.28000000000000003</v>
      </c>
      <c r="O179">
        <v>0.26428571428571429</v>
      </c>
      <c r="P179" t="s">
        <v>41</v>
      </c>
    </row>
    <row r="180" spans="1:16" hidden="1" x14ac:dyDescent="0.25">
      <c r="A180" s="12">
        <v>46030.416666666664</v>
      </c>
      <c r="B180" t="s">
        <v>13</v>
      </c>
      <c r="C180" t="s">
        <v>17</v>
      </c>
      <c r="D180">
        <v>9</v>
      </c>
      <c r="E180">
        <v>40</v>
      </c>
      <c r="F180">
        <v>22.634207117790321</v>
      </c>
      <c r="G180" t="str">
        <f>FLOOR(FinalData[[#This Row],[Temperature_C]],2)&amp;"–"&amp;(FLOOR(FinalData[[#This Row],[Temperature_C]],2)+2)&amp;"°C"</f>
        <v>22–24°C</v>
      </c>
      <c r="H180">
        <v>3.56</v>
      </c>
      <c r="I180">
        <v>2026</v>
      </c>
      <c r="J180">
        <v>1</v>
      </c>
      <c r="K180">
        <v>8</v>
      </c>
      <c r="L180">
        <v>4</v>
      </c>
      <c r="M180">
        <v>10</v>
      </c>
      <c r="N180">
        <v>0.22500000000000001</v>
      </c>
      <c r="O180">
        <v>0.39555555555555555</v>
      </c>
      <c r="P180" t="s">
        <v>41</v>
      </c>
    </row>
    <row r="181" spans="1:16" hidden="1" x14ac:dyDescent="0.25">
      <c r="A181" s="12">
        <v>46030.458333333336</v>
      </c>
      <c r="B181" t="s">
        <v>18</v>
      </c>
      <c r="C181" t="s">
        <v>28</v>
      </c>
      <c r="D181">
        <v>5</v>
      </c>
      <c r="E181">
        <v>30</v>
      </c>
      <c r="F181">
        <v>23.245340631989588</v>
      </c>
      <c r="G181" t="str">
        <f>FLOOR(FinalData[[#This Row],[Temperature_C]],2)&amp;"–"&amp;(FLOOR(FinalData[[#This Row],[Temperature_C]],2)+2)&amp;"°C"</f>
        <v>22–24°C</v>
      </c>
      <c r="H181">
        <v>2.72</v>
      </c>
      <c r="I181">
        <v>2026</v>
      </c>
      <c r="J181">
        <v>1</v>
      </c>
      <c r="K181">
        <v>8</v>
      </c>
      <c r="L181">
        <v>4</v>
      </c>
      <c r="M181">
        <v>11</v>
      </c>
      <c r="N181">
        <v>0.16666666666666666</v>
      </c>
      <c r="O181">
        <v>0.54400000000000004</v>
      </c>
      <c r="P181" t="s">
        <v>41</v>
      </c>
    </row>
    <row r="182" spans="1:16" hidden="1" x14ac:dyDescent="0.25">
      <c r="A182" s="12">
        <v>46030.5</v>
      </c>
      <c r="B182" t="s">
        <v>13</v>
      </c>
      <c r="C182" t="s">
        <v>21</v>
      </c>
      <c r="D182">
        <v>8</v>
      </c>
      <c r="E182">
        <v>25</v>
      </c>
      <c r="F182">
        <v>22.87791314906001</v>
      </c>
      <c r="G182" t="str">
        <f>FLOOR(FinalData[[#This Row],[Temperature_C]],2)&amp;"–"&amp;(FLOOR(FinalData[[#This Row],[Temperature_C]],2)+2)&amp;"°C"</f>
        <v>22–24°C</v>
      </c>
      <c r="H182">
        <v>2.71</v>
      </c>
      <c r="I182">
        <v>2026</v>
      </c>
      <c r="J182">
        <v>1</v>
      </c>
      <c r="K182">
        <v>8</v>
      </c>
      <c r="L182">
        <v>4</v>
      </c>
      <c r="M182">
        <v>12</v>
      </c>
      <c r="N182">
        <v>0.32</v>
      </c>
      <c r="O182">
        <v>0.33875</v>
      </c>
      <c r="P182" t="s">
        <v>42</v>
      </c>
    </row>
    <row r="183" spans="1:16" hidden="1" x14ac:dyDescent="0.25">
      <c r="A183" s="12">
        <v>46030.541666666664</v>
      </c>
      <c r="B183" t="s">
        <v>7</v>
      </c>
      <c r="C183" t="s">
        <v>25</v>
      </c>
      <c r="D183">
        <v>11</v>
      </c>
      <c r="E183">
        <v>20</v>
      </c>
      <c r="F183">
        <v>23.72514163005297</v>
      </c>
      <c r="G183" t="str">
        <f>FLOOR(FinalData[[#This Row],[Temperature_C]],2)&amp;"–"&amp;(FLOOR(FinalData[[#This Row],[Temperature_C]],2)+2)&amp;"°C"</f>
        <v>22–24°C</v>
      </c>
      <c r="H183">
        <v>4.22</v>
      </c>
      <c r="I183">
        <v>2026</v>
      </c>
      <c r="J183">
        <v>1</v>
      </c>
      <c r="K183">
        <v>8</v>
      </c>
      <c r="L183">
        <v>4</v>
      </c>
      <c r="M183">
        <v>13</v>
      </c>
      <c r="N183">
        <v>0.55000000000000004</v>
      </c>
      <c r="O183">
        <v>0.38363636363636361</v>
      </c>
      <c r="P183" t="s">
        <v>42</v>
      </c>
    </row>
    <row r="184" spans="1:16" hidden="1" x14ac:dyDescent="0.25">
      <c r="A184" s="12">
        <v>46030.583333333336</v>
      </c>
      <c r="B184" t="s">
        <v>18</v>
      </c>
      <c r="C184" t="s">
        <v>21</v>
      </c>
      <c r="D184">
        <v>13</v>
      </c>
      <c r="E184">
        <v>20</v>
      </c>
      <c r="F184">
        <v>21.906985210982491</v>
      </c>
      <c r="G184" t="str">
        <f>FLOOR(FinalData[[#This Row],[Temperature_C]],2)&amp;"–"&amp;(FLOOR(FinalData[[#This Row],[Temperature_C]],2)+2)&amp;"°C"</f>
        <v>20–22°C</v>
      </c>
      <c r="H184">
        <v>3.91</v>
      </c>
      <c r="I184">
        <v>2026</v>
      </c>
      <c r="J184">
        <v>1</v>
      </c>
      <c r="K184">
        <v>8</v>
      </c>
      <c r="L184">
        <v>4</v>
      </c>
      <c r="M184">
        <v>14</v>
      </c>
      <c r="N184">
        <v>0.65</v>
      </c>
      <c r="O184">
        <v>0.30076923076923079</v>
      </c>
      <c r="P184" t="s">
        <v>42</v>
      </c>
    </row>
    <row r="185" spans="1:16" hidden="1" x14ac:dyDescent="0.25">
      <c r="A185" s="12">
        <v>46030.625</v>
      </c>
      <c r="B185" t="s">
        <v>7</v>
      </c>
      <c r="C185" t="s">
        <v>20</v>
      </c>
      <c r="D185">
        <v>10</v>
      </c>
      <c r="E185">
        <v>20</v>
      </c>
      <c r="F185">
        <v>20.875212943706241</v>
      </c>
      <c r="G185" t="str">
        <f>FLOOR(FinalData[[#This Row],[Temperature_C]],2)&amp;"–"&amp;(FLOOR(FinalData[[#This Row],[Temperature_C]],2)+2)&amp;"°C"</f>
        <v>20–22°C</v>
      </c>
      <c r="H185">
        <v>3.6</v>
      </c>
      <c r="I185">
        <v>2026</v>
      </c>
      <c r="J185">
        <v>1</v>
      </c>
      <c r="K185">
        <v>8</v>
      </c>
      <c r="L185">
        <v>4</v>
      </c>
      <c r="M185">
        <v>15</v>
      </c>
      <c r="N185">
        <v>0.5</v>
      </c>
      <c r="O185">
        <v>0.36</v>
      </c>
      <c r="P185" t="s">
        <v>42</v>
      </c>
    </row>
    <row r="186" spans="1:16" hidden="1" x14ac:dyDescent="0.25">
      <c r="A186" s="12">
        <v>46030.666666666664</v>
      </c>
      <c r="B186" t="s">
        <v>7</v>
      </c>
      <c r="C186" t="s">
        <v>27</v>
      </c>
      <c r="D186">
        <v>5</v>
      </c>
      <c r="E186">
        <v>40</v>
      </c>
      <c r="F186">
        <v>24.159266346427149</v>
      </c>
      <c r="G186" t="str">
        <f>FLOOR(FinalData[[#This Row],[Temperature_C]],2)&amp;"–"&amp;(FLOOR(FinalData[[#This Row],[Temperature_C]],2)+2)&amp;"°C"</f>
        <v>24–26°C</v>
      </c>
      <c r="H186">
        <v>2.4700000000000002</v>
      </c>
      <c r="I186">
        <v>2026</v>
      </c>
      <c r="J186">
        <v>1</v>
      </c>
      <c r="K186">
        <v>8</v>
      </c>
      <c r="L186">
        <v>4</v>
      </c>
      <c r="M186">
        <v>16</v>
      </c>
      <c r="N186">
        <v>0.125</v>
      </c>
      <c r="O186">
        <v>0.49400000000000005</v>
      </c>
      <c r="P186" t="s">
        <v>42</v>
      </c>
    </row>
    <row r="187" spans="1:16" hidden="1" x14ac:dyDescent="0.25">
      <c r="A187" s="12">
        <v>46030.708333333336</v>
      </c>
      <c r="B187" t="s">
        <v>18</v>
      </c>
      <c r="C187" t="s">
        <v>22</v>
      </c>
      <c r="D187">
        <v>10</v>
      </c>
      <c r="E187">
        <v>25</v>
      </c>
      <c r="F187">
        <v>22.817661760887621</v>
      </c>
      <c r="G187" t="str">
        <f>FLOOR(FinalData[[#This Row],[Temperature_C]],2)&amp;"–"&amp;(FLOOR(FinalData[[#This Row],[Temperature_C]],2)+2)&amp;"°C"</f>
        <v>22–24°C</v>
      </c>
      <c r="H187">
        <v>2.75</v>
      </c>
      <c r="I187">
        <v>2026</v>
      </c>
      <c r="J187">
        <v>1</v>
      </c>
      <c r="K187">
        <v>8</v>
      </c>
      <c r="L187">
        <v>4</v>
      </c>
      <c r="M187">
        <v>17</v>
      </c>
      <c r="N187">
        <v>0.4</v>
      </c>
      <c r="O187">
        <v>0.27500000000000002</v>
      </c>
      <c r="P187" t="s">
        <v>43</v>
      </c>
    </row>
    <row r="188" spans="1:16" hidden="1" x14ac:dyDescent="0.25">
      <c r="A188" s="12">
        <v>46030.75</v>
      </c>
      <c r="B188" t="s">
        <v>7</v>
      </c>
      <c r="C188" t="s">
        <v>16</v>
      </c>
      <c r="D188">
        <v>7</v>
      </c>
      <c r="E188">
        <v>30</v>
      </c>
      <c r="F188">
        <v>21.674572456274142</v>
      </c>
      <c r="G188" t="str">
        <f>FLOOR(FinalData[[#This Row],[Temperature_C]],2)&amp;"–"&amp;(FLOOR(FinalData[[#This Row],[Temperature_C]],2)+2)&amp;"°C"</f>
        <v>20–22°C</v>
      </c>
      <c r="H188">
        <v>1.99</v>
      </c>
      <c r="I188">
        <v>2026</v>
      </c>
      <c r="J188">
        <v>1</v>
      </c>
      <c r="K188">
        <v>8</v>
      </c>
      <c r="L188">
        <v>4</v>
      </c>
      <c r="M188">
        <v>18</v>
      </c>
      <c r="N188">
        <v>0.23333333333333334</v>
      </c>
      <c r="O188">
        <v>0.28428571428571431</v>
      </c>
      <c r="P188" t="s">
        <v>43</v>
      </c>
    </row>
    <row r="189" spans="1:16" hidden="1" x14ac:dyDescent="0.25">
      <c r="A189" s="12">
        <v>46030.791666666664</v>
      </c>
      <c r="B189" t="s">
        <v>11</v>
      </c>
      <c r="C189" t="s">
        <v>16</v>
      </c>
      <c r="D189">
        <v>12</v>
      </c>
      <c r="E189">
        <v>40</v>
      </c>
      <c r="F189">
        <v>23.56657574309228</v>
      </c>
      <c r="G189" t="str">
        <f>FLOOR(FinalData[[#This Row],[Temperature_C]],2)&amp;"–"&amp;(FLOOR(FinalData[[#This Row],[Temperature_C]],2)+2)&amp;"°C"</f>
        <v>22–24°C</v>
      </c>
      <c r="H189">
        <v>3.96</v>
      </c>
      <c r="I189">
        <v>2026</v>
      </c>
      <c r="J189">
        <v>1</v>
      </c>
      <c r="K189">
        <v>8</v>
      </c>
      <c r="L189">
        <v>4</v>
      </c>
      <c r="M189">
        <v>19</v>
      </c>
      <c r="N189">
        <v>0.3</v>
      </c>
      <c r="O189">
        <v>0.33</v>
      </c>
      <c r="P189" t="s">
        <v>43</v>
      </c>
    </row>
    <row r="190" spans="1:16" hidden="1" x14ac:dyDescent="0.25">
      <c r="A190" s="12">
        <v>46030.833333333336</v>
      </c>
      <c r="B190" t="s">
        <v>13</v>
      </c>
      <c r="C190" t="s">
        <v>15</v>
      </c>
      <c r="D190">
        <v>8</v>
      </c>
      <c r="E190">
        <v>25</v>
      </c>
      <c r="F190">
        <v>25.057365221392789</v>
      </c>
      <c r="G190" t="str">
        <f>FLOOR(FinalData[[#This Row],[Temperature_C]],2)&amp;"–"&amp;(FLOOR(FinalData[[#This Row],[Temperature_C]],2)+2)&amp;"°C"</f>
        <v>24–26°C</v>
      </c>
      <c r="H190">
        <v>2.86</v>
      </c>
      <c r="I190">
        <v>2026</v>
      </c>
      <c r="J190">
        <v>1</v>
      </c>
      <c r="K190">
        <v>8</v>
      </c>
      <c r="L190">
        <v>4</v>
      </c>
      <c r="M190">
        <v>20</v>
      </c>
      <c r="N190">
        <v>0.32</v>
      </c>
      <c r="O190">
        <v>0.35749999999999998</v>
      </c>
      <c r="P190" t="s">
        <v>43</v>
      </c>
    </row>
    <row r="191" spans="1:16" hidden="1" x14ac:dyDescent="0.25">
      <c r="A191" s="12">
        <v>46030.875</v>
      </c>
      <c r="B191" t="s">
        <v>7</v>
      </c>
      <c r="C191" t="s">
        <v>12</v>
      </c>
      <c r="D191">
        <v>13</v>
      </c>
      <c r="E191">
        <v>30</v>
      </c>
      <c r="F191">
        <v>23.505873628530161</v>
      </c>
      <c r="G191" t="str">
        <f>FLOOR(FinalData[[#This Row],[Temperature_C]],2)&amp;"–"&amp;(FLOOR(FinalData[[#This Row],[Temperature_C]],2)+2)&amp;"°C"</f>
        <v>22–24°C</v>
      </c>
      <c r="H191">
        <v>4.26</v>
      </c>
      <c r="I191">
        <v>2026</v>
      </c>
      <c r="J191">
        <v>1</v>
      </c>
      <c r="K191">
        <v>8</v>
      </c>
      <c r="L191">
        <v>4</v>
      </c>
      <c r="M191">
        <v>21</v>
      </c>
      <c r="N191">
        <v>0.43333333333333335</v>
      </c>
      <c r="O191">
        <v>0.32769230769230767</v>
      </c>
      <c r="P191" t="s">
        <v>40</v>
      </c>
    </row>
    <row r="192" spans="1:16" hidden="1" x14ac:dyDescent="0.25">
      <c r="A192" s="12">
        <v>46030.916666666664</v>
      </c>
      <c r="B192" t="s">
        <v>13</v>
      </c>
      <c r="C192" t="s">
        <v>23</v>
      </c>
      <c r="D192">
        <v>6</v>
      </c>
      <c r="E192">
        <v>25</v>
      </c>
      <c r="F192">
        <v>24.026211596352169</v>
      </c>
      <c r="G192" t="str">
        <f>FLOOR(FinalData[[#This Row],[Temperature_C]],2)&amp;"–"&amp;(FLOOR(FinalData[[#This Row],[Temperature_C]],2)+2)&amp;"°C"</f>
        <v>24–26°C</v>
      </c>
      <c r="H192">
        <v>2.5299999999999998</v>
      </c>
      <c r="I192">
        <v>2026</v>
      </c>
      <c r="J192">
        <v>1</v>
      </c>
      <c r="K192">
        <v>8</v>
      </c>
      <c r="L192">
        <v>4</v>
      </c>
      <c r="M192">
        <v>22</v>
      </c>
      <c r="N192">
        <v>0.24</v>
      </c>
      <c r="O192">
        <v>0.42166666666666663</v>
      </c>
      <c r="P192" t="s">
        <v>40</v>
      </c>
    </row>
    <row r="193" spans="1:16" hidden="1" x14ac:dyDescent="0.25">
      <c r="A193" s="12">
        <v>46030.958333333336</v>
      </c>
      <c r="B193" t="s">
        <v>18</v>
      </c>
      <c r="C193" t="s">
        <v>17</v>
      </c>
      <c r="D193">
        <v>9</v>
      </c>
      <c r="E193">
        <v>25</v>
      </c>
      <c r="F193">
        <v>23.734574626802679</v>
      </c>
      <c r="G193" t="str">
        <f>FLOOR(FinalData[[#This Row],[Temperature_C]],2)&amp;"–"&amp;(FLOOR(FinalData[[#This Row],[Temperature_C]],2)+2)&amp;"°C"</f>
        <v>22–24°C</v>
      </c>
      <c r="H193">
        <v>3.86</v>
      </c>
      <c r="I193">
        <v>2026</v>
      </c>
      <c r="J193">
        <v>1</v>
      </c>
      <c r="K193">
        <v>8</v>
      </c>
      <c r="L193">
        <v>4</v>
      </c>
      <c r="M193">
        <v>23</v>
      </c>
      <c r="N193">
        <v>0.36</v>
      </c>
      <c r="O193">
        <v>0.42888888888888888</v>
      </c>
      <c r="P193" t="s">
        <v>40</v>
      </c>
    </row>
    <row r="194" spans="1:16" hidden="1" x14ac:dyDescent="0.25">
      <c r="A194" s="12">
        <v>46031</v>
      </c>
      <c r="B194" t="s">
        <v>7</v>
      </c>
      <c r="C194" t="s">
        <v>16</v>
      </c>
      <c r="D194">
        <v>2</v>
      </c>
      <c r="E194">
        <v>40</v>
      </c>
      <c r="F194">
        <v>19.229599895957769</v>
      </c>
      <c r="G194" t="str">
        <f>FLOOR(FinalData[[#This Row],[Temperature_C]],2)&amp;"–"&amp;(FLOOR(FinalData[[#This Row],[Temperature_C]],2)+2)&amp;"°C"</f>
        <v>18–20°C</v>
      </c>
      <c r="H194">
        <v>1.63</v>
      </c>
      <c r="I194">
        <v>2026</v>
      </c>
      <c r="J194">
        <v>1</v>
      </c>
      <c r="K194">
        <v>9</v>
      </c>
      <c r="L194">
        <v>5</v>
      </c>
      <c r="M194">
        <v>0</v>
      </c>
      <c r="N194">
        <v>0.05</v>
      </c>
      <c r="O194">
        <v>0.81499999999999995</v>
      </c>
      <c r="P194" t="s">
        <v>40</v>
      </c>
    </row>
    <row r="195" spans="1:16" hidden="1" x14ac:dyDescent="0.25">
      <c r="A195" s="12">
        <v>46031.041666666664</v>
      </c>
      <c r="B195" t="s">
        <v>18</v>
      </c>
      <c r="C195" t="s">
        <v>14</v>
      </c>
      <c r="D195">
        <v>10</v>
      </c>
      <c r="E195">
        <v>30</v>
      </c>
      <c r="F195">
        <v>22.791101562925061</v>
      </c>
      <c r="G195" t="str">
        <f>FLOOR(FinalData[[#This Row],[Temperature_C]],2)&amp;"–"&amp;(FLOOR(FinalData[[#This Row],[Temperature_C]],2)+2)&amp;"°C"</f>
        <v>22–24°C</v>
      </c>
      <c r="H195">
        <v>3.37</v>
      </c>
      <c r="I195">
        <v>2026</v>
      </c>
      <c r="J195">
        <v>1</v>
      </c>
      <c r="K195">
        <v>9</v>
      </c>
      <c r="L195">
        <v>5</v>
      </c>
      <c r="M195">
        <v>1</v>
      </c>
      <c r="N195">
        <v>0.33333333333333331</v>
      </c>
      <c r="O195">
        <v>0.33700000000000002</v>
      </c>
      <c r="P195" t="s">
        <v>40</v>
      </c>
    </row>
    <row r="196" spans="1:16" hidden="1" x14ac:dyDescent="0.25">
      <c r="A196" s="12">
        <v>46031.083333333336</v>
      </c>
      <c r="B196" t="s">
        <v>13</v>
      </c>
      <c r="C196" t="s">
        <v>15</v>
      </c>
      <c r="D196">
        <v>8</v>
      </c>
      <c r="E196">
        <v>20</v>
      </c>
      <c r="F196">
        <v>23.530311054597771</v>
      </c>
      <c r="G196" t="str">
        <f>FLOOR(FinalData[[#This Row],[Temperature_C]],2)&amp;"–"&amp;(FLOOR(FinalData[[#This Row],[Temperature_C]],2)+2)&amp;"°C"</f>
        <v>22–24°C</v>
      </c>
      <c r="H196">
        <v>3.22</v>
      </c>
      <c r="I196">
        <v>2026</v>
      </c>
      <c r="J196">
        <v>1</v>
      </c>
      <c r="K196">
        <v>9</v>
      </c>
      <c r="L196">
        <v>5</v>
      </c>
      <c r="M196">
        <v>2</v>
      </c>
      <c r="N196">
        <v>0.4</v>
      </c>
      <c r="O196">
        <v>0.40250000000000002</v>
      </c>
      <c r="P196" t="s">
        <v>40</v>
      </c>
    </row>
    <row r="197" spans="1:16" hidden="1" x14ac:dyDescent="0.25">
      <c r="A197" s="12">
        <v>46031.125</v>
      </c>
      <c r="B197" t="s">
        <v>9</v>
      </c>
      <c r="C197" t="s">
        <v>26</v>
      </c>
      <c r="D197">
        <v>15</v>
      </c>
      <c r="E197">
        <v>30</v>
      </c>
      <c r="F197">
        <v>21.06900402834189</v>
      </c>
      <c r="G197" t="str">
        <f>FLOOR(FinalData[[#This Row],[Temperature_C]],2)&amp;"–"&amp;(FLOOR(FinalData[[#This Row],[Temperature_C]],2)+2)&amp;"°C"</f>
        <v>20–22°C</v>
      </c>
      <c r="H197">
        <v>4.7</v>
      </c>
      <c r="I197">
        <v>2026</v>
      </c>
      <c r="J197">
        <v>1</v>
      </c>
      <c r="K197">
        <v>9</v>
      </c>
      <c r="L197">
        <v>5</v>
      </c>
      <c r="M197">
        <v>3</v>
      </c>
      <c r="N197">
        <v>0.5</v>
      </c>
      <c r="O197">
        <v>0.31333333333333335</v>
      </c>
      <c r="P197" t="s">
        <v>40</v>
      </c>
    </row>
    <row r="198" spans="1:16" hidden="1" x14ac:dyDescent="0.25">
      <c r="A198" s="12">
        <v>46031.166666666664</v>
      </c>
      <c r="B198" t="s">
        <v>13</v>
      </c>
      <c r="C198" t="s">
        <v>31</v>
      </c>
      <c r="D198">
        <v>9</v>
      </c>
      <c r="E198">
        <v>20</v>
      </c>
      <c r="F198">
        <v>22.120822577936451</v>
      </c>
      <c r="G198" t="str">
        <f>FLOOR(FinalData[[#This Row],[Temperature_C]],2)&amp;"–"&amp;(FLOOR(FinalData[[#This Row],[Temperature_C]],2)+2)&amp;"°C"</f>
        <v>22–24°C</v>
      </c>
      <c r="H198">
        <v>2.41</v>
      </c>
      <c r="I198">
        <v>2026</v>
      </c>
      <c r="J198">
        <v>1</v>
      </c>
      <c r="K198">
        <v>9</v>
      </c>
      <c r="L198">
        <v>5</v>
      </c>
      <c r="M198">
        <v>4</v>
      </c>
      <c r="N198">
        <v>0.45</v>
      </c>
      <c r="O198">
        <v>0.26777777777777778</v>
      </c>
      <c r="P198" t="s">
        <v>40</v>
      </c>
    </row>
    <row r="199" spans="1:16" hidden="1" x14ac:dyDescent="0.25">
      <c r="A199" s="12">
        <v>46031.208333333336</v>
      </c>
      <c r="B199" t="s">
        <v>9</v>
      </c>
      <c r="C199" t="s">
        <v>15</v>
      </c>
      <c r="D199">
        <v>5</v>
      </c>
      <c r="E199">
        <v>25</v>
      </c>
      <c r="F199">
        <v>23.90406668917154</v>
      </c>
      <c r="G199" t="str">
        <f>FLOOR(FinalData[[#This Row],[Temperature_C]],2)&amp;"–"&amp;(FLOOR(FinalData[[#This Row],[Temperature_C]],2)+2)&amp;"°C"</f>
        <v>22–24°C</v>
      </c>
      <c r="H199">
        <v>1.96</v>
      </c>
      <c r="I199">
        <v>2026</v>
      </c>
      <c r="J199">
        <v>1</v>
      </c>
      <c r="K199">
        <v>9</v>
      </c>
      <c r="L199">
        <v>5</v>
      </c>
      <c r="M199">
        <v>5</v>
      </c>
      <c r="N199">
        <v>0.2</v>
      </c>
      <c r="O199">
        <v>0.39200000000000002</v>
      </c>
      <c r="P199" t="s">
        <v>40</v>
      </c>
    </row>
    <row r="200" spans="1:16" hidden="1" x14ac:dyDescent="0.25">
      <c r="A200" s="12">
        <v>46031.25</v>
      </c>
      <c r="B200" t="s">
        <v>18</v>
      </c>
      <c r="C200" t="s">
        <v>24</v>
      </c>
      <c r="D200">
        <v>3</v>
      </c>
      <c r="E200">
        <v>20</v>
      </c>
      <c r="F200">
        <v>25.168959166146141</v>
      </c>
      <c r="G200" t="str">
        <f>FLOOR(FinalData[[#This Row],[Temperature_C]],2)&amp;"–"&amp;(FLOOR(FinalData[[#This Row],[Temperature_C]],2)+2)&amp;"°C"</f>
        <v>24–26°C</v>
      </c>
      <c r="H200">
        <v>1.85</v>
      </c>
      <c r="I200">
        <v>2026</v>
      </c>
      <c r="J200">
        <v>1</v>
      </c>
      <c r="K200">
        <v>9</v>
      </c>
      <c r="L200">
        <v>5</v>
      </c>
      <c r="M200">
        <v>6</v>
      </c>
      <c r="N200">
        <v>0.15</v>
      </c>
      <c r="O200">
        <v>0.6166666666666667</v>
      </c>
      <c r="P200" t="s">
        <v>40</v>
      </c>
    </row>
    <row r="201" spans="1:16" hidden="1" x14ac:dyDescent="0.25">
      <c r="A201" s="12">
        <v>46031.291666666664</v>
      </c>
      <c r="B201" t="s">
        <v>13</v>
      </c>
      <c r="C201" t="s">
        <v>15</v>
      </c>
      <c r="D201">
        <v>7</v>
      </c>
      <c r="E201">
        <v>40</v>
      </c>
      <c r="F201">
        <v>23.207088277278789</v>
      </c>
      <c r="G201" t="str">
        <f>FLOOR(FinalData[[#This Row],[Temperature_C]],2)&amp;"–"&amp;(FLOOR(FinalData[[#This Row],[Temperature_C]],2)+2)&amp;"°C"</f>
        <v>22–24°C</v>
      </c>
      <c r="H201">
        <v>2.08</v>
      </c>
      <c r="I201">
        <v>2026</v>
      </c>
      <c r="J201">
        <v>1</v>
      </c>
      <c r="K201">
        <v>9</v>
      </c>
      <c r="L201">
        <v>5</v>
      </c>
      <c r="M201">
        <v>7</v>
      </c>
      <c r="N201">
        <v>0.17499999999999999</v>
      </c>
      <c r="O201">
        <v>0.29714285714285715</v>
      </c>
      <c r="P201" t="s">
        <v>41</v>
      </c>
    </row>
    <row r="202" spans="1:16" hidden="1" x14ac:dyDescent="0.25">
      <c r="A202" s="12">
        <v>46031.333333333336</v>
      </c>
      <c r="B202" t="s">
        <v>18</v>
      </c>
      <c r="C202" t="s">
        <v>21</v>
      </c>
      <c r="D202">
        <v>11</v>
      </c>
      <c r="E202">
        <v>25</v>
      </c>
      <c r="F202">
        <v>24.842495369820689</v>
      </c>
      <c r="G202" t="str">
        <f>FLOOR(FinalData[[#This Row],[Temperature_C]],2)&amp;"–"&amp;(FLOOR(FinalData[[#This Row],[Temperature_C]],2)+2)&amp;"°C"</f>
        <v>24–26°C</v>
      </c>
      <c r="H202">
        <v>3.81</v>
      </c>
      <c r="I202">
        <v>2026</v>
      </c>
      <c r="J202">
        <v>1</v>
      </c>
      <c r="K202">
        <v>9</v>
      </c>
      <c r="L202">
        <v>5</v>
      </c>
      <c r="M202">
        <v>8</v>
      </c>
      <c r="N202">
        <v>0.44</v>
      </c>
      <c r="O202">
        <v>0.34636363636363637</v>
      </c>
      <c r="P202" t="s">
        <v>41</v>
      </c>
    </row>
    <row r="203" spans="1:16" hidden="1" x14ac:dyDescent="0.25">
      <c r="A203" s="12">
        <v>46031.375</v>
      </c>
      <c r="B203" t="s">
        <v>7</v>
      </c>
      <c r="C203" t="s">
        <v>26</v>
      </c>
      <c r="D203">
        <v>4</v>
      </c>
      <c r="E203">
        <v>40</v>
      </c>
      <c r="F203">
        <v>26.22444125651085</v>
      </c>
      <c r="G203" t="str">
        <f>FLOOR(FinalData[[#This Row],[Temperature_C]],2)&amp;"–"&amp;(FLOOR(FinalData[[#This Row],[Temperature_C]],2)+2)&amp;"°C"</f>
        <v>26–28°C</v>
      </c>
      <c r="H203">
        <v>2.7</v>
      </c>
      <c r="I203">
        <v>2026</v>
      </c>
      <c r="J203">
        <v>1</v>
      </c>
      <c r="K203">
        <v>9</v>
      </c>
      <c r="L203">
        <v>5</v>
      </c>
      <c r="M203">
        <v>9</v>
      </c>
      <c r="N203">
        <v>0.1</v>
      </c>
      <c r="O203">
        <v>0.67500000000000004</v>
      </c>
      <c r="P203" t="s">
        <v>41</v>
      </c>
    </row>
    <row r="204" spans="1:16" x14ac:dyDescent="0.25">
      <c r="A204" s="12">
        <v>46031.416666666664</v>
      </c>
      <c r="B204" t="s">
        <v>11</v>
      </c>
      <c r="C204" t="s">
        <v>19</v>
      </c>
      <c r="D204">
        <v>6</v>
      </c>
      <c r="E204">
        <v>30</v>
      </c>
      <c r="F204">
        <v>24.023848182058551</v>
      </c>
      <c r="G204" t="str">
        <f>FLOOR(FinalData[[#This Row],[Temperature_C]],2)&amp;"–"&amp;(FLOOR(FinalData[[#This Row],[Temperature_C]],2)+2)&amp;"°C"</f>
        <v>24–26°C</v>
      </c>
      <c r="H204">
        <v>2.5499999999999998</v>
      </c>
      <c r="I204">
        <v>2026</v>
      </c>
      <c r="J204">
        <v>1</v>
      </c>
      <c r="K204">
        <v>9</v>
      </c>
      <c r="L204">
        <v>5</v>
      </c>
      <c r="M204">
        <v>10</v>
      </c>
      <c r="N204">
        <v>0.2</v>
      </c>
      <c r="O204">
        <v>0.42499999999999999</v>
      </c>
      <c r="P204" t="s">
        <v>41</v>
      </c>
    </row>
    <row r="205" spans="1:16" hidden="1" x14ac:dyDescent="0.25">
      <c r="A205" s="12">
        <v>46031.458333333336</v>
      </c>
      <c r="B205" t="s">
        <v>13</v>
      </c>
      <c r="C205" t="s">
        <v>8</v>
      </c>
      <c r="D205">
        <v>8</v>
      </c>
      <c r="E205">
        <v>25</v>
      </c>
      <c r="F205">
        <v>21.775125250719121</v>
      </c>
      <c r="G205" t="str">
        <f>FLOOR(FinalData[[#This Row],[Temperature_C]],2)&amp;"–"&amp;(FLOOR(FinalData[[#This Row],[Temperature_C]],2)+2)&amp;"°C"</f>
        <v>20–22°C</v>
      </c>
      <c r="H205">
        <v>2.94</v>
      </c>
      <c r="I205">
        <v>2026</v>
      </c>
      <c r="J205">
        <v>1</v>
      </c>
      <c r="K205">
        <v>9</v>
      </c>
      <c r="L205">
        <v>5</v>
      </c>
      <c r="M205">
        <v>11</v>
      </c>
      <c r="N205">
        <v>0.32</v>
      </c>
      <c r="O205">
        <v>0.36749999999999999</v>
      </c>
      <c r="P205" t="s">
        <v>41</v>
      </c>
    </row>
    <row r="206" spans="1:16" hidden="1" x14ac:dyDescent="0.25">
      <c r="A206" s="12">
        <v>46031.5</v>
      </c>
      <c r="B206" t="s">
        <v>11</v>
      </c>
      <c r="C206" t="s">
        <v>22</v>
      </c>
      <c r="D206">
        <v>4</v>
      </c>
      <c r="E206">
        <v>40</v>
      </c>
      <c r="F206">
        <v>19.605805230027499</v>
      </c>
      <c r="G206" t="str">
        <f>FLOOR(FinalData[[#This Row],[Temperature_C]],2)&amp;"–"&amp;(FLOOR(FinalData[[#This Row],[Temperature_C]],2)+2)&amp;"°C"</f>
        <v>18–20°C</v>
      </c>
      <c r="H206">
        <v>1.97</v>
      </c>
      <c r="I206">
        <v>2026</v>
      </c>
      <c r="J206">
        <v>1</v>
      </c>
      <c r="K206">
        <v>9</v>
      </c>
      <c r="L206">
        <v>5</v>
      </c>
      <c r="M206">
        <v>12</v>
      </c>
      <c r="N206">
        <v>0.1</v>
      </c>
      <c r="O206">
        <v>0.49249999999999999</v>
      </c>
      <c r="P206" t="s">
        <v>42</v>
      </c>
    </row>
    <row r="207" spans="1:16" hidden="1" x14ac:dyDescent="0.25">
      <c r="A207" s="12">
        <v>46031.541666666664</v>
      </c>
      <c r="B207" t="s">
        <v>9</v>
      </c>
      <c r="C207" t="s">
        <v>30</v>
      </c>
      <c r="D207">
        <v>5</v>
      </c>
      <c r="E207">
        <v>25</v>
      </c>
      <c r="F207">
        <v>24.710920017365289</v>
      </c>
      <c r="G207" t="str">
        <f>FLOOR(FinalData[[#This Row],[Temperature_C]],2)&amp;"–"&amp;(FLOOR(FinalData[[#This Row],[Temperature_C]],2)+2)&amp;"°C"</f>
        <v>24–26°C</v>
      </c>
      <c r="H207">
        <v>2.84</v>
      </c>
      <c r="I207">
        <v>2026</v>
      </c>
      <c r="J207">
        <v>1</v>
      </c>
      <c r="K207">
        <v>9</v>
      </c>
      <c r="L207">
        <v>5</v>
      </c>
      <c r="M207">
        <v>13</v>
      </c>
      <c r="N207">
        <v>0.2</v>
      </c>
      <c r="O207">
        <v>0.56799999999999995</v>
      </c>
      <c r="P207" t="s">
        <v>42</v>
      </c>
    </row>
    <row r="208" spans="1:16" hidden="1" x14ac:dyDescent="0.25">
      <c r="A208" s="12">
        <v>46031.583333333336</v>
      </c>
      <c r="B208" t="s">
        <v>9</v>
      </c>
      <c r="C208" t="s">
        <v>30</v>
      </c>
      <c r="D208">
        <v>14</v>
      </c>
      <c r="E208">
        <v>40</v>
      </c>
      <c r="F208">
        <v>25.60868048575631</v>
      </c>
      <c r="G208" t="str">
        <f>FLOOR(FinalData[[#This Row],[Temperature_C]],2)&amp;"–"&amp;(FLOOR(FinalData[[#This Row],[Temperature_C]],2)+2)&amp;"°C"</f>
        <v>24–26°C</v>
      </c>
      <c r="H208">
        <v>4.34</v>
      </c>
      <c r="I208">
        <v>2026</v>
      </c>
      <c r="J208">
        <v>1</v>
      </c>
      <c r="K208">
        <v>9</v>
      </c>
      <c r="L208">
        <v>5</v>
      </c>
      <c r="M208">
        <v>14</v>
      </c>
      <c r="N208">
        <v>0.35</v>
      </c>
      <c r="O208">
        <v>0.31</v>
      </c>
      <c r="P208" t="s">
        <v>42</v>
      </c>
    </row>
    <row r="209" spans="1:16" hidden="1" x14ac:dyDescent="0.25">
      <c r="A209" s="12">
        <v>46031.625</v>
      </c>
      <c r="B209" t="s">
        <v>13</v>
      </c>
      <c r="C209" t="s">
        <v>23</v>
      </c>
      <c r="D209">
        <v>8</v>
      </c>
      <c r="E209">
        <v>40</v>
      </c>
      <c r="F209">
        <v>23.099157040969409</v>
      </c>
      <c r="G209" t="str">
        <f>FLOOR(FinalData[[#This Row],[Temperature_C]],2)&amp;"–"&amp;(FLOOR(FinalData[[#This Row],[Temperature_C]],2)+2)&amp;"°C"</f>
        <v>22–24°C</v>
      </c>
      <c r="H209">
        <v>2.92</v>
      </c>
      <c r="I209">
        <v>2026</v>
      </c>
      <c r="J209">
        <v>1</v>
      </c>
      <c r="K209">
        <v>9</v>
      </c>
      <c r="L209">
        <v>5</v>
      </c>
      <c r="M209">
        <v>15</v>
      </c>
      <c r="N209">
        <v>0.2</v>
      </c>
      <c r="O209">
        <v>0.36499999999999999</v>
      </c>
      <c r="P209" t="s">
        <v>42</v>
      </c>
    </row>
    <row r="210" spans="1:16" hidden="1" x14ac:dyDescent="0.25">
      <c r="A210" s="12">
        <v>46031.666666666664</v>
      </c>
      <c r="B210" t="s">
        <v>11</v>
      </c>
      <c r="C210" t="s">
        <v>16</v>
      </c>
      <c r="D210">
        <v>7</v>
      </c>
      <c r="E210">
        <v>30</v>
      </c>
      <c r="F210">
        <v>26.782775699100679</v>
      </c>
      <c r="G210" t="str">
        <f>FLOOR(FinalData[[#This Row],[Temperature_C]],2)&amp;"–"&amp;(FLOOR(FinalData[[#This Row],[Temperature_C]],2)+2)&amp;"°C"</f>
        <v>26–28°C</v>
      </c>
      <c r="H210">
        <v>3.13</v>
      </c>
      <c r="I210">
        <v>2026</v>
      </c>
      <c r="J210">
        <v>1</v>
      </c>
      <c r="K210">
        <v>9</v>
      </c>
      <c r="L210">
        <v>5</v>
      </c>
      <c r="M210">
        <v>16</v>
      </c>
      <c r="N210">
        <v>0.23333333333333334</v>
      </c>
      <c r="O210">
        <v>0.44714285714285712</v>
      </c>
      <c r="P210" t="s">
        <v>42</v>
      </c>
    </row>
    <row r="211" spans="1:16" hidden="1" x14ac:dyDescent="0.25">
      <c r="A211" s="12">
        <v>46031.708333333336</v>
      </c>
      <c r="B211" t="s">
        <v>18</v>
      </c>
      <c r="C211" t="s">
        <v>31</v>
      </c>
      <c r="D211">
        <v>6</v>
      </c>
      <c r="E211">
        <v>30</v>
      </c>
      <c r="F211">
        <v>22.823274081589329</v>
      </c>
      <c r="G211" t="str">
        <f>FLOOR(FinalData[[#This Row],[Temperature_C]],2)&amp;"–"&amp;(FLOOR(FinalData[[#This Row],[Temperature_C]],2)+2)&amp;"°C"</f>
        <v>22–24°C</v>
      </c>
      <c r="H211">
        <v>2.31</v>
      </c>
      <c r="I211">
        <v>2026</v>
      </c>
      <c r="J211">
        <v>1</v>
      </c>
      <c r="K211">
        <v>9</v>
      </c>
      <c r="L211">
        <v>5</v>
      </c>
      <c r="M211">
        <v>17</v>
      </c>
      <c r="N211">
        <v>0.2</v>
      </c>
      <c r="O211">
        <v>0.38500000000000001</v>
      </c>
      <c r="P211" t="s">
        <v>43</v>
      </c>
    </row>
    <row r="212" spans="1:16" hidden="1" x14ac:dyDescent="0.25">
      <c r="A212" s="12">
        <v>46031.75</v>
      </c>
      <c r="B212" t="s">
        <v>11</v>
      </c>
      <c r="C212" t="s">
        <v>29</v>
      </c>
      <c r="D212">
        <v>6</v>
      </c>
      <c r="E212">
        <v>20</v>
      </c>
      <c r="F212">
        <v>22.813131858165999</v>
      </c>
      <c r="G212" t="str">
        <f>FLOOR(FinalData[[#This Row],[Temperature_C]],2)&amp;"–"&amp;(FLOOR(FinalData[[#This Row],[Temperature_C]],2)+2)&amp;"°C"</f>
        <v>22–24°C</v>
      </c>
      <c r="H212">
        <v>2.4900000000000002</v>
      </c>
      <c r="I212">
        <v>2026</v>
      </c>
      <c r="J212">
        <v>1</v>
      </c>
      <c r="K212">
        <v>9</v>
      </c>
      <c r="L212">
        <v>5</v>
      </c>
      <c r="M212">
        <v>18</v>
      </c>
      <c r="N212">
        <v>0.3</v>
      </c>
      <c r="O212">
        <v>0.41500000000000004</v>
      </c>
      <c r="P212" t="s">
        <v>43</v>
      </c>
    </row>
    <row r="213" spans="1:16" hidden="1" x14ac:dyDescent="0.25">
      <c r="A213" s="12">
        <v>46031.791666666664</v>
      </c>
      <c r="B213" t="s">
        <v>18</v>
      </c>
      <c r="C213" t="s">
        <v>12</v>
      </c>
      <c r="D213">
        <v>11</v>
      </c>
      <c r="E213">
        <v>25</v>
      </c>
      <c r="F213">
        <v>26.14562928183436</v>
      </c>
      <c r="G213" t="str">
        <f>FLOOR(FinalData[[#This Row],[Temperature_C]],2)&amp;"–"&amp;(FLOOR(FinalData[[#This Row],[Temperature_C]],2)+2)&amp;"°C"</f>
        <v>26–28°C</v>
      </c>
      <c r="H213">
        <v>4.25</v>
      </c>
      <c r="I213">
        <v>2026</v>
      </c>
      <c r="J213">
        <v>1</v>
      </c>
      <c r="K213">
        <v>9</v>
      </c>
      <c r="L213">
        <v>5</v>
      </c>
      <c r="M213">
        <v>19</v>
      </c>
      <c r="N213">
        <v>0.44</v>
      </c>
      <c r="O213">
        <v>0.38636363636363635</v>
      </c>
      <c r="P213" t="s">
        <v>43</v>
      </c>
    </row>
    <row r="214" spans="1:16" hidden="1" x14ac:dyDescent="0.25">
      <c r="A214" s="12">
        <v>46031.833333333336</v>
      </c>
      <c r="B214" t="s">
        <v>18</v>
      </c>
      <c r="C214" t="s">
        <v>8</v>
      </c>
      <c r="D214">
        <v>5</v>
      </c>
      <c r="E214">
        <v>25</v>
      </c>
      <c r="F214">
        <v>20.47709033268978</v>
      </c>
      <c r="G214" t="str">
        <f>FLOOR(FinalData[[#This Row],[Temperature_C]],2)&amp;"–"&amp;(FLOOR(FinalData[[#This Row],[Temperature_C]],2)+2)&amp;"°C"</f>
        <v>20–22°C</v>
      </c>
      <c r="H214">
        <v>2.02</v>
      </c>
      <c r="I214">
        <v>2026</v>
      </c>
      <c r="J214">
        <v>1</v>
      </c>
      <c r="K214">
        <v>9</v>
      </c>
      <c r="L214">
        <v>5</v>
      </c>
      <c r="M214">
        <v>20</v>
      </c>
      <c r="N214">
        <v>0.2</v>
      </c>
      <c r="O214">
        <v>0.40400000000000003</v>
      </c>
      <c r="P214" t="s">
        <v>43</v>
      </c>
    </row>
    <row r="215" spans="1:16" hidden="1" x14ac:dyDescent="0.25">
      <c r="A215" s="12">
        <v>46031.875</v>
      </c>
      <c r="B215" t="s">
        <v>13</v>
      </c>
      <c r="C215" t="s">
        <v>19</v>
      </c>
      <c r="D215">
        <v>12</v>
      </c>
      <c r="E215">
        <v>40</v>
      </c>
      <c r="F215">
        <v>20.54090081109517</v>
      </c>
      <c r="G215" t="str">
        <f>FLOOR(FinalData[[#This Row],[Temperature_C]],2)&amp;"–"&amp;(FLOOR(FinalData[[#This Row],[Temperature_C]],2)+2)&amp;"°C"</f>
        <v>20–22°C</v>
      </c>
      <c r="H215">
        <v>4.17</v>
      </c>
      <c r="I215">
        <v>2026</v>
      </c>
      <c r="J215">
        <v>1</v>
      </c>
      <c r="K215">
        <v>9</v>
      </c>
      <c r="L215">
        <v>5</v>
      </c>
      <c r="M215">
        <v>21</v>
      </c>
      <c r="N215">
        <v>0.3</v>
      </c>
      <c r="O215">
        <v>0.34749999999999998</v>
      </c>
      <c r="P215" t="s">
        <v>40</v>
      </c>
    </row>
    <row r="216" spans="1:16" hidden="1" x14ac:dyDescent="0.25">
      <c r="A216" s="12">
        <v>46031.916666666664</v>
      </c>
      <c r="B216" t="s">
        <v>13</v>
      </c>
      <c r="C216" t="s">
        <v>8</v>
      </c>
      <c r="D216">
        <v>8</v>
      </c>
      <c r="E216">
        <v>30</v>
      </c>
      <c r="F216">
        <v>22.27647386232637</v>
      </c>
      <c r="G216" t="str">
        <f>FLOOR(FinalData[[#This Row],[Temperature_C]],2)&amp;"–"&amp;(FLOOR(FinalData[[#This Row],[Temperature_C]],2)+2)&amp;"°C"</f>
        <v>22–24°C</v>
      </c>
      <c r="H216">
        <v>2.93</v>
      </c>
      <c r="I216">
        <v>2026</v>
      </c>
      <c r="J216">
        <v>1</v>
      </c>
      <c r="K216">
        <v>9</v>
      </c>
      <c r="L216">
        <v>5</v>
      </c>
      <c r="M216">
        <v>22</v>
      </c>
      <c r="N216">
        <v>0.26666666666666666</v>
      </c>
      <c r="O216">
        <v>0.36625000000000002</v>
      </c>
      <c r="P216" t="s">
        <v>40</v>
      </c>
    </row>
    <row r="217" spans="1:16" hidden="1" x14ac:dyDescent="0.25">
      <c r="A217" s="12">
        <v>46031.958333333336</v>
      </c>
      <c r="B217" t="s">
        <v>18</v>
      </c>
      <c r="C217" t="s">
        <v>21</v>
      </c>
      <c r="D217">
        <v>11</v>
      </c>
      <c r="E217">
        <v>20</v>
      </c>
      <c r="F217">
        <v>24.27957466359107</v>
      </c>
      <c r="G217" t="str">
        <f>FLOOR(FinalData[[#This Row],[Temperature_C]],2)&amp;"–"&amp;(FLOOR(FinalData[[#This Row],[Temperature_C]],2)+2)&amp;"°C"</f>
        <v>24–26°C</v>
      </c>
      <c r="H217">
        <v>3.67</v>
      </c>
      <c r="I217">
        <v>2026</v>
      </c>
      <c r="J217">
        <v>1</v>
      </c>
      <c r="K217">
        <v>9</v>
      </c>
      <c r="L217">
        <v>5</v>
      </c>
      <c r="M217">
        <v>23</v>
      </c>
      <c r="N217">
        <v>0.55000000000000004</v>
      </c>
      <c r="O217">
        <v>0.33363636363636362</v>
      </c>
      <c r="P217" t="s">
        <v>40</v>
      </c>
    </row>
    <row r="218" spans="1:16" hidden="1" x14ac:dyDescent="0.25">
      <c r="A218" s="12">
        <v>46032</v>
      </c>
      <c r="B218" t="s">
        <v>11</v>
      </c>
      <c r="C218" t="s">
        <v>30</v>
      </c>
      <c r="D218">
        <v>12</v>
      </c>
      <c r="E218">
        <v>40</v>
      </c>
      <c r="F218">
        <v>22.610183439294641</v>
      </c>
      <c r="G218" t="str">
        <f>FLOOR(FinalData[[#This Row],[Temperature_C]],2)&amp;"–"&amp;(FLOOR(FinalData[[#This Row],[Temperature_C]],2)+2)&amp;"°C"</f>
        <v>22–24°C</v>
      </c>
      <c r="H218">
        <v>4.2300000000000004</v>
      </c>
      <c r="I218">
        <v>2026</v>
      </c>
      <c r="J218">
        <v>1</v>
      </c>
      <c r="K218">
        <v>10</v>
      </c>
      <c r="L218">
        <v>6</v>
      </c>
      <c r="M218">
        <v>0</v>
      </c>
      <c r="N218">
        <v>0.3</v>
      </c>
      <c r="O218">
        <v>0.35250000000000004</v>
      </c>
      <c r="P218" t="s">
        <v>40</v>
      </c>
    </row>
    <row r="219" spans="1:16" hidden="1" x14ac:dyDescent="0.25">
      <c r="A219" s="12">
        <v>46032.041666666664</v>
      </c>
      <c r="B219" t="s">
        <v>18</v>
      </c>
      <c r="C219" t="s">
        <v>24</v>
      </c>
      <c r="D219">
        <v>8</v>
      </c>
      <c r="E219">
        <v>25</v>
      </c>
      <c r="F219">
        <v>26.914127281083282</v>
      </c>
      <c r="G219" t="str">
        <f>FLOOR(FinalData[[#This Row],[Temperature_C]],2)&amp;"–"&amp;(FLOOR(FinalData[[#This Row],[Temperature_C]],2)+2)&amp;"°C"</f>
        <v>26–28°C</v>
      </c>
      <c r="H219">
        <v>3.46</v>
      </c>
      <c r="I219">
        <v>2026</v>
      </c>
      <c r="J219">
        <v>1</v>
      </c>
      <c r="K219">
        <v>10</v>
      </c>
      <c r="L219">
        <v>6</v>
      </c>
      <c r="M219">
        <v>1</v>
      </c>
      <c r="N219">
        <v>0.32</v>
      </c>
      <c r="O219">
        <v>0.4325</v>
      </c>
      <c r="P219" t="s">
        <v>40</v>
      </c>
    </row>
    <row r="220" spans="1:16" hidden="1" x14ac:dyDescent="0.25">
      <c r="A220" s="12">
        <v>46032.083333333336</v>
      </c>
      <c r="B220" t="s">
        <v>11</v>
      </c>
      <c r="C220" t="s">
        <v>22</v>
      </c>
      <c r="D220">
        <v>8</v>
      </c>
      <c r="E220">
        <v>30</v>
      </c>
      <c r="F220">
        <v>24.90625009075217</v>
      </c>
      <c r="G220" t="str">
        <f>FLOOR(FinalData[[#This Row],[Temperature_C]],2)&amp;"–"&amp;(FLOOR(FinalData[[#This Row],[Temperature_C]],2)+2)&amp;"°C"</f>
        <v>24–26°C</v>
      </c>
      <c r="H220">
        <v>3.39</v>
      </c>
      <c r="I220">
        <v>2026</v>
      </c>
      <c r="J220">
        <v>1</v>
      </c>
      <c r="K220">
        <v>10</v>
      </c>
      <c r="L220">
        <v>6</v>
      </c>
      <c r="M220">
        <v>2</v>
      </c>
      <c r="N220">
        <v>0.26666666666666666</v>
      </c>
      <c r="O220">
        <v>0.42375000000000002</v>
      </c>
      <c r="P220" t="s">
        <v>40</v>
      </c>
    </row>
    <row r="221" spans="1:16" hidden="1" x14ac:dyDescent="0.25">
      <c r="A221" s="12">
        <v>46032.125</v>
      </c>
      <c r="B221" t="s">
        <v>11</v>
      </c>
      <c r="C221" t="s">
        <v>24</v>
      </c>
      <c r="D221">
        <v>5</v>
      </c>
      <c r="E221">
        <v>25</v>
      </c>
      <c r="F221">
        <v>24.60081905045536</v>
      </c>
      <c r="G221" t="str">
        <f>FLOOR(FinalData[[#This Row],[Temperature_C]],2)&amp;"–"&amp;(FLOOR(FinalData[[#This Row],[Temperature_C]],2)+2)&amp;"°C"</f>
        <v>24–26°C</v>
      </c>
      <c r="H221">
        <v>2.67</v>
      </c>
      <c r="I221">
        <v>2026</v>
      </c>
      <c r="J221">
        <v>1</v>
      </c>
      <c r="K221">
        <v>10</v>
      </c>
      <c r="L221">
        <v>6</v>
      </c>
      <c r="M221">
        <v>3</v>
      </c>
      <c r="N221">
        <v>0.2</v>
      </c>
      <c r="O221">
        <v>0.53400000000000003</v>
      </c>
      <c r="P221" t="s">
        <v>40</v>
      </c>
    </row>
    <row r="222" spans="1:16" hidden="1" x14ac:dyDescent="0.25">
      <c r="A222" s="12">
        <v>46032.166666666664</v>
      </c>
      <c r="B222" t="s">
        <v>7</v>
      </c>
      <c r="C222" t="s">
        <v>20</v>
      </c>
      <c r="D222">
        <v>8</v>
      </c>
      <c r="E222">
        <v>40</v>
      </c>
      <c r="F222">
        <v>22.617904620105939</v>
      </c>
      <c r="G222" t="str">
        <f>FLOOR(FinalData[[#This Row],[Temperature_C]],2)&amp;"–"&amp;(FLOOR(FinalData[[#This Row],[Temperature_C]],2)+2)&amp;"°C"</f>
        <v>22–24°C</v>
      </c>
      <c r="H222">
        <v>2.73</v>
      </c>
      <c r="I222">
        <v>2026</v>
      </c>
      <c r="J222">
        <v>1</v>
      </c>
      <c r="K222">
        <v>10</v>
      </c>
      <c r="L222">
        <v>6</v>
      </c>
      <c r="M222">
        <v>4</v>
      </c>
      <c r="N222">
        <v>0.2</v>
      </c>
      <c r="O222">
        <v>0.34125</v>
      </c>
      <c r="P222" t="s">
        <v>40</v>
      </c>
    </row>
    <row r="223" spans="1:16" hidden="1" x14ac:dyDescent="0.25">
      <c r="A223" s="12">
        <v>46032.208333333336</v>
      </c>
      <c r="B223" t="s">
        <v>11</v>
      </c>
      <c r="C223" t="s">
        <v>23</v>
      </c>
      <c r="D223">
        <v>7</v>
      </c>
      <c r="E223">
        <v>20</v>
      </c>
      <c r="F223">
        <v>25.910042445526329</v>
      </c>
      <c r="G223" t="str">
        <f>FLOOR(FinalData[[#This Row],[Temperature_C]],2)&amp;"–"&amp;(FLOOR(FinalData[[#This Row],[Temperature_C]],2)+2)&amp;"°C"</f>
        <v>24–26°C</v>
      </c>
      <c r="H223">
        <v>3.14</v>
      </c>
      <c r="I223">
        <v>2026</v>
      </c>
      <c r="J223">
        <v>1</v>
      </c>
      <c r="K223">
        <v>10</v>
      </c>
      <c r="L223">
        <v>6</v>
      </c>
      <c r="M223">
        <v>5</v>
      </c>
      <c r="N223">
        <v>0.35</v>
      </c>
      <c r="O223">
        <v>0.44857142857142857</v>
      </c>
      <c r="P223" t="s">
        <v>40</v>
      </c>
    </row>
    <row r="224" spans="1:16" hidden="1" x14ac:dyDescent="0.25">
      <c r="A224" s="12">
        <v>46032.25</v>
      </c>
      <c r="B224" t="s">
        <v>13</v>
      </c>
      <c r="C224" t="s">
        <v>15</v>
      </c>
      <c r="D224">
        <v>4</v>
      </c>
      <c r="E224">
        <v>40</v>
      </c>
      <c r="F224">
        <v>21.4617153004254</v>
      </c>
      <c r="G224" t="str">
        <f>FLOOR(FinalData[[#This Row],[Temperature_C]],2)&amp;"–"&amp;(FLOOR(FinalData[[#This Row],[Temperature_C]],2)+2)&amp;"°C"</f>
        <v>20–22°C</v>
      </c>
      <c r="H224">
        <v>1.6</v>
      </c>
      <c r="I224">
        <v>2026</v>
      </c>
      <c r="J224">
        <v>1</v>
      </c>
      <c r="K224">
        <v>10</v>
      </c>
      <c r="L224">
        <v>6</v>
      </c>
      <c r="M224">
        <v>6</v>
      </c>
      <c r="N224">
        <v>0.1</v>
      </c>
      <c r="O224">
        <v>0.4</v>
      </c>
      <c r="P224" t="s">
        <v>40</v>
      </c>
    </row>
    <row r="225" spans="1:16" hidden="1" x14ac:dyDescent="0.25">
      <c r="A225" s="12">
        <v>46032.291666666664</v>
      </c>
      <c r="B225" t="s">
        <v>7</v>
      </c>
      <c r="C225" t="s">
        <v>14</v>
      </c>
      <c r="D225">
        <v>12</v>
      </c>
      <c r="E225">
        <v>20</v>
      </c>
      <c r="F225">
        <v>23.015928565294661</v>
      </c>
      <c r="G225" t="str">
        <f>FLOOR(FinalData[[#This Row],[Temperature_C]],2)&amp;"–"&amp;(FLOOR(FinalData[[#This Row],[Temperature_C]],2)+2)&amp;"°C"</f>
        <v>22–24°C</v>
      </c>
      <c r="H225">
        <v>4.25</v>
      </c>
      <c r="I225">
        <v>2026</v>
      </c>
      <c r="J225">
        <v>1</v>
      </c>
      <c r="K225">
        <v>10</v>
      </c>
      <c r="L225">
        <v>6</v>
      </c>
      <c r="M225">
        <v>7</v>
      </c>
      <c r="N225">
        <v>0.6</v>
      </c>
      <c r="O225">
        <v>0.35416666666666669</v>
      </c>
      <c r="P225" t="s">
        <v>41</v>
      </c>
    </row>
    <row r="226" spans="1:16" hidden="1" x14ac:dyDescent="0.25">
      <c r="A226" s="12">
        <v>46032.333333333336</v>
      </c>
      <c r="B226" t="s">
        <v>18</v>
      </c>
      <c r="C226" t="s">
        <v>8</v>
      </c>
      <c r="D226">
        <v>10</v>
      </c>
      <c r="E226">
        <v>30</v>
      </c>
      <c r="F226">
        <v>23.784831934357531</v>
      </c>
      <c r="G226" t="str">
        <f>FLOOR(FinalData[[#This Row],[Temperature_C]],2)&amp;"–"&amp;(FLOOR(FinalData[[#This Row],[Temperature_C]],2)+2)&amp;"°C"</f>
        <v>22–24°C</v>
      </c>
      <c r="H226">
        <v>3.42</v>
      </c>
      <c r="I226">
        <v>2026</v>
      </c>
      <c r="J226">
        <v>1</v>
      </c>
      <c r="K226">
        <v>10</v>
      </c>
      <c r="L226">
        <v>6</v>
      </c>
      <c r="M226">
        <v>8</v>
      </c>
      <c r="N226">
        <v>0.33333333333333331</v>
      </c>
      <c r="O226">
        <v>0.34199999999999997</v>
      </c>
      <c r="P226" t="s">
        <v>41</v>
      </c>
    </row>
    <row r="227" spans="1:16" x14ac:dyDescent="0.25">
      <c r="A227" s="12">
        <v>46032.375</v>
      </c>
      <c r="B227" t="s">
        <v>11</v>
      </c>
      <c r="C227" t="s">
        <v>24</v>
      </c>
      <c r="D227">
        <v>5</v>
      </c>
      <c r="E227">
        <v>30</v>
      </c>
      <c r="F227">
        <v>21.3551601352356</v>
      </c>
      <c r="G227" t="str">
        <f>FLOOR(FinalData[[#This Row],[Temperature_C]],2)&amp;"–"&amp;(FLOOR(FinalData[[#This Row],[Temperature_C]],2)+2)&amp;"°C"</f>
        <v>20–22°C</v>
      </c>
      <c r="H227">
        <v>2.48</v>
      </c>
      <c r="I227">
        <v>2026</v>
      </c>
      <c r="J227">
        <v>1</v>
      </c>
      <c r="K227">
        <v>10</v>
      </c>
      <c r="L227">
        <v>6</v>
      </c>
      <c r="M227">
        <v>9</v>
      </c>
      <c r="N227">
        <v>0.16666666666666666</v>
      </c>
      <c r="O227">
        <v>0.496</v>
      </c>
      <c r="P227" t="s">
        <v>41</v>
      </c>
    </row>
    <row r="228" spans="1:16" hidden="1" x14ac:dyDescent="0.25">
      <c r="A228" s="12">
        <v>46032.416666666664</v>
      </c>
      <c r="B228" t="s">
        <v>13</v>
      </c>
      <c r="C228" t="s">
        <v>27</v>
      </c>
      <c r="D228">
        <v>0</v>
      </c>
      <c r="E228">
        <v>20</v>
      </c>
      <c r="F228">
        <v>21.74761993555687</v>
      </c>
      <c r="G228" t="str">
        <f>FLOOR(FinalData[[#This Row],[Temperature_C]],2)&amp;"–"&amp;(FLOOR(FinalData[[#This Row],[Temperature_C]],2)+2)&amp;"°C"</f>
        <v>20–22°C</v>
      </c>
      <c r="H228">
        <v>0.84</v>
      </c>
      <c r="I228">
        <v>2026</v>
      </c>
      <c r="J228">
        <v>1</v>
      </c>
      <c r="K228">
        <v>10</v>
      </c>
      <c r="L228">
        <v>6</v>
      </c>
      <c r="M228">
        <v>10</v>
      </c>
      <c r="N228">
        <v>0</v>
      </c>
      <c r="P228" t="s">
        <v>41</v>
      </c>
    </row>
    <row r="229" spans="1:16" hidden="1" x14ac:dyDescent="0.25">
      <c r="A229" s="12">
        <v>46032.458333333336</v>
      </c>
      <c r="B229" t="s">
        <v>18</v>
      </c>
      <c r="C229" t="s">
        <v>15</v>
      </c>
      <c r="D229">
        <v>4</v>
      </c>
      <c r="E229">
        <v>20</v>
      </c>
      <c r="F229">
        <v>24.650196529335268</v>
      </c>
      <c r="G229" t="str">
        <f>FLOOR(FinalData[[#This Row],[Temperature_C]],2)&amp;"–"&amp;(FLOOR(FinalData[[#This Row],[Temperature_C]],2)+2)&amp;"°C"</f>
        <v>24–26°C</v>
      </c>
      <c r="H229">
        <v>1.94</v>
      </c>
      <c r="I229">
        <v>2026</v>
      </c>
      <c r="J229">
        <v>1</v>
      </c>
      <c r="K229">
        <v>10</v>
      </c>
      <c r="L229">
        <v>6</v>
      </c>
      <c r="M229">
        <v>11</v>
      </c>
      <c r="N229">
        <v>0.2</v>
      </c>
      <c r="O229">
        <v>0.48499999999999999</v>
      </c>
      <c r="P229" t="s">
        <v>41</v>
      </c>
    </row>
    <row r="230" spans="1:16" hidden="1" x14ac:dyDescent="0.25">
      <c r="A230" s="12">
        <v>46032.5</v>
      </c>
      <c r="B230" t="s">
        <v>11</v>
      </c>
      <c r="C230" t="s">
        <v>8</v>
      </c>
      <c r="D230">
        <v>8</v>
      </c>
      <c r="E230">
        <v>25</v>
      </c>
      <c r="F230">
        <v>22.5474782576525</v>
      </c>
      <c r="G230" t="str">
        <f>FLOOR(FinalData[[#This Row],[Temperature_C]],2)&amp;"–"&amp;(FLOOR(FinalData[[#This Row],[Temperature_C]],2)+2)&amp;"°C"</f>
        <v>22–24°C</v>
      </c>
      <c r="H230">
        <v>3.11</v>
      </c>
      <c r="I230">
        <v>2026</v>
      </c>
      <c r="J230">
        <v>1</v>
      </c>
      <c r="K230">
        <v>10</v>
      </c>
      <c r="L230">
        <v>6</v>
      </c>
      <c r="M230">
        <v>12</v>
      </c>
      <c r="N230">
        <v>0.32</v>
      </c>
      <c r="O230">
        <v>0.38874999999999998</v>
      </c>
      <c r="P230" t="s">
        <v>42</v>
      </c>
    </row>
    <row r="231" spans="1:16" hidden="1" x14ac:dyDescent="0.25">
      <c r="A231" s="12">
        <v>46032.541666666664</v>
      </c>
      <c r="B231" t="s">
        <v>13</v>
      </c>
      <c r="C231" t="s">
        <v>28</v>
      </c>
      <c r="D231">
        <v>7</v>
      </c>
      <c r="E231">
        <v>40</v>
      </c>
      <c r="F231">
        <v>24.044487362496021</v>
      </c>
      <c r="G231" t="str">
        <f>FLOOR(FinalData[[#This Row],[Temperature_C]],2)&amp;"–"&amp;(FLOOR(FinalData[[#This Row],[Temperature_C]],2)+2)&amp;"°C"</f>
        <v>24–26°C</v>
      </c>
      <c r="H231">
        <v>2.61</v>
      </c>
      <c r="I231">
        <v>2026</v>
      </c>
      <c r="J231">
        <v>1</v>
      </c>
      <c r="K231">
        <v>10</v>
      </c>
      <c r="L231">
        <v>6</v>
      </c>
      <c r="M231">
        <v>13</v>
      </c>
      <c r="N231">
        <v>0.17499999999999999</v>
      </c>
      <c r="O231">
        <v>0.37285714285714283</v>
      </c>
      <c r="P231" t="s">
        <v>42</v>
      </c>
    </row>
    <row r="232" spans="1:16" hidden="1" x14ac:dyDescent="0.25">
      <c r="A232" s="12">
        <v>46032.583333333336</v>
      </c>
      <c r="B232" t="s">
        <v>7</v>
      </c>
      <c r="C232" t="s">
        <v>29</v>
      </c>
      <c r="D232">
        <v>9</v>
      </c>
      <c r="E232">
        <v>30</v>
      </c>
      <c r="F232">
        <v>23.815850035028571</v>
      </c>
      <c r="G232" t="str">
        <f>FLOOR(FinalData[[#This Row],[Temperature_C]],2)&amp;"–"&amp;(FLOOR(FinalData[[#This Row],[Temperature_C]],2)+2)&amp;"°C"</f>
        <v>22–24°C</v>
      </c>
      <c r="H232">
        <v>3.28</v>
      </c>
      <c r="I232">
        <v>2026</v>
      </c>
      <c r="J232">
        <v>1</v>
      </c>
      <c r="K232">
        <v>10</v>
      </c>
      <c r="L232">
        <v>6</v>
      </c>
      <c r="M232">
        <v>14</v>
      </c>
      <c r="N232">
        <v>0.3</v>
      </c>
      <c r="O232">
        <v>0.3644444444444444</v>
      </c>
      <c r="P232" t="s">
        <v>42</v>
      </c>
    </row>
    <row r="233" spans="1:16" hidden="1" x14ac:dyDescent="0.25">
      <c r="A233" s="12">
        <v>46032.625</v>
      </c>
      <c r="B233" t="s">
        <v>13</v>
      </c>
      <c r="C233" t="s">
        <v>14</v>
      </c>
      <c r="D233">
        <v>6</v>
      </c>
      <c r="E233">
        <v>30</v>
      </c>
      <c r="F233">
        <v>22.09350318195397</v>
      </c>
      <c r="G233" t="str">
        <f>FLOOR(FinalData[[#This Row],[Temperature_C]],2)&amp;"–"&amp;(FLOOR(FinalData[[#This Row],[Temperature_C]],2)+2)&amp;"°C"</f>
        <v>22–24°C</v>
      </c>
      <c r="H233">
        <v>2.75</v>
      </c>
      <c r="I233">
        <v>2026</v>
      </c>
      <c r="J233">
        <v>1</v>
      </c>
      <c r="K233">
        <v>10</v>
      </c>
      <c r="L233">
        <v>6</v>
      </c>
      <c r="M233">
        <v>15</v>
      </c>
      <c r="N233">
        <v>0.2</v>
      </c>
      <c r="O233">
        <v>0.45833333333333331</v>
      </c>
      <c r="P233" t="s">
        <v>42</v>
      </c>
    </row>
    <row r="234" spans="1:16" hidden="1" x14ac:dyDescent="0.25">
      <c r="A234" s="12">
        <v>46032.666666666664</v>
      </c>
      <c r="B234" t="s">
        <v>7</v>
      </c>
      <c r="C234" t="s">
        <v>31</v>
      </c>
      <c r="D234">
        <v>10</v>
      </c>
      <c r="E234">
        <v>20</v>
      </c>
      <c r="F234">
        <v>25.54918375058703</v>
      </c>
      <c r="G234" t="str">
        <f>FLOOR(FinalData[[#This Row],[Temperature_C]],2)&amp;"–"&amp;(FLOOR(FinalData[[#This Row],[Temperature_C]],2)+2)&amp;"°C"</f>
        <v>24–26°C</v>
      </c>
      <c r="H234">
        <v>4.08</v>
      </c>
      <c r="I234">
        <v>2026</v>
      </c>
      <c r="J234">
        <v>1</v>
      </c>
      <c r="K234">
        <v>10</v>
      </c>
      <c r="L234">
        <v>6</v>
      </c>
      <c r="M234">
        <v>16</v>
      </c>
      <c r="N234">
        <v>0.5</v>
      </c>
      <c r="O234">
        <v>0.40800000000000003</v>
      </c>
      <c r="P234" t="s">
        <v>42</v>
      </c>
    </row>
    <row r="235" spans="1:16" hidden="1" x14ac:dyDescent="0.25">
      <c r="A235" s="12">
        <v>46032.708333333336</v>
      </c>
      <c r="B235" t="s">
        <v>7</v>
      </c>
      <c r="C235" t="s">
        <v>19</v>
      </c>
      <c r="D235">
        <v>8</v>
      </c>
      <c r="E235">
        <v>30</v>
      </c>
      <c r="F235">
        <v>23.08183835079144</v>
      </c>
      <c r="G235" t="str">
        <f>FLOOR(FinalData[[#This Row],[Temperature_C]],2)&amp;"–"&amp;(FLOOR(FinalData[[#This Row],[Temperature_C]],2)+2)&amp;"°C"</f>
        <v>22–24°C</v>
      </c>
      <c r="H235">
        <v>2.66</v>
      </c>
      <c r="I235">
        <v>2026</v>
      </c>
      <c r="J235">
        <v>1</v>
      </c>
      <c r="K235">
        <v>10</v>
      </c>
      <c r="L235">
        <v>6</v>
      </c>
      <c r="M235">
        <v>17</v>
      </c>
      <c r="N235">
        <v>0.26666666666666666</v>
      </c>
      <c r="O235">
        <v>0.33250000000000002</v>
      </c>
      <c r="P235" t="s">
        <v>43</v>
      </c>
    </row>
    <row r="236" spans="1:16" hidden="1" x14ac:dyDescent="0.25">
      <c r="A236" s="12">
        <v>46032.75</v>
      </c>
      <c r="B236" t="s">
        <v>7</v>
      </c>
      <c r="C236" t="s">
        <v>8</v>
      </c>
      <c r="D236">
        <v>5</v>
      </c>
      <c r="E236">
        <v>40</v>
      </c>
      <c r="F236">
        <v>22.54280016931996</v>
      </c>
      <c r="G236" t="str">
        <f>FLOOR(FinalData[[#This Row],[Temperature_C]],2)&amp;"–"&amp;(FLOOR(FinalData[[#This Row],[Temperature_C]],2)+2)&amp;"°C"</f>
        <v>22–24°C</v>
      </c>
      <c r="H236">
        <v>1.83</v>
      </c>
      <c r="I236">
        <v>2026</v>
      </c>
      <c r="J236">
        <v>1</v>
      </c>
      <c r="K236">
        <v>10</v>
      </c>
      <c r="L236">
        <v>6</v>
      </c>
      <c r="M236">
        <v>18</v>
      </c>
      <c r="N236">
        <v>0.125</v>
      </c>
      <c r="O236">
        <v>0.36599999999999999</v>
      </c>
      <c r="P236" t="s">
        <v>43</v>
      </c>
    </row>
    <row r="237" spans="1:16" hidden="1" x14ac:dyDescent="0.25">
      <c r="A237" s="12">
        <v>46032.791666666664</v>
      </c>
      <c r="B237" t="s">
        <v>11</v>
      </c>
      <c r="C237" t="s">
        <v>29</v>
      </c>
      <c r="D237">
        <v>5</v>
      </c>
      <c r="E237">
        <v>40</v>
      </c>
      <c r="F237">
        <v>23.04493178562409</v>
      </c>
      <c r="G237" t="str">
        <f>FLOOR(FinalData[[#This Row],[Temperature_C]],2)&amp;"–"&amp;(FLOOR(FinalData[[#This Row],[Temperature_C]],2)+2)&amp;"°C"</f>
        <v>22–24°C</v>
      </c>
      <c r="H237">
        <v>2.37</v>
      </c>
      <c r="I237">
        <v>2026</v>
      </c>
      <c r="J237">
        <v>1</v>
      </c>
      <c r="K237">
        <v>10</v>
      </c>
      <c r="L237">
        <v>6</v>
      </c>
      <c r="M237">
        <v>19</v>
      </c>
      <c r="N237">
        <v>0.125</v>
      </c>
      <c r="O237">
        <v>0.47400000000000003</v>
      </c>
      <c r="P237" t="s">
        <v>43</v>
      </c>
    </row>
    <row r="238" spans="1:16" hidden="1" x14ac:dyDescent="0.25">
      <c r="A238" s="12">
        <v>46032.833333333336</v>
      </c>
      <c r="B238" t="s">
        <v>9</v>
      </c>
      <c r="C238" t="s">
        <v>12</v>
      </c>
      <c r="D238">
        <v>7</v>
      </c>
      <c r="E238">
        <v>40</v>
      </c>
      <c r="F238">
        <v>24.345722471933641</v>
      </c>
      <c r="G238" t="str">
        <f>FLOOR(FinalData[[#This Row],[Temperature_C]],2)&amp;"–"&amp;(FLOOR(FinalData[[#This Row],[Temperature_C]],2)+2)&amp;"°C"</f>
        <v>24–26°C</v>
      </c>
      <c r="H238">
        <v>3.08</v>
      </c>
      <c r="I238">
        <v>2026</v>
      </c>
      <c r="J238">
        <v>1</v>
      </c>
      <c r="K238">
        <v>10</v>
      </c>
      <c r="L238">
        <v>6</v>
      </c>
      <c r="M238">
        <v>20</v>
      </c>
      <c r="N238">
        <v>0.17499999999999999</v>
      </c>
      <c r="O238">
        <v>0.44</v>
      </c>
      <c r="P238" t="s">
        <v>43</v>
      </c>
    </row>
    <row r="239" spans="1:16" hidden="1" x14ac:dyDescent="0.25">
      <c r="A239" s="12">
        <v>46032.875</v>
      </c>
      <c r="B239" t="s">
        <v>13</v>
      </c>
      <c r="C239" t="s">
        <v>17</v>
      </c>
      <c r="D239">
        <v>3</v>
      </c>
      <c r="E239">
        <v>25</v>
      </c>
      <c r="F239">
        <v>23.203712590523971</v>
      </c>
      <c r="G239" t="str">
        <f>FLOOR(FinalData[[#This Row],[Temperature_C]],2)&amp;"–"&amp;(FLOOR(FinalData[[#This Row],[Temperature_C]],2)+2)&amp;"°C"</f>
        <v>22–24°C</v>
      </c>
      <c r="H239">
        <v>2.2000000000000002</v>
      </c>
      <c r="I239">
        <v>2026</v>
      </c>
      <c r="J239">
        <v>1</v>
      </c>
      <c r="K239">
        <v>10</v>
      </c>
      <c r="L239">
        <v>6</v>
      </c>
      <c r="M239">
        <v>21</v>
      </c>
      <c r="N239">
        <v>0.12</v>
      </c>
      <c r="O239">
        <v>0.73333333333333339</v>
      </c>
      <c r="P239" t="s">
        <v>40</v>
      </c>
    </row>
    <row r="240" spans="1:16" hidden="1" x14ac:dyDescent="0.25">
      <c r="A240" s="12">
        <v>46032.916666666664</v>
      </c>
      <c r="B240" t="s">
        <v>7</v>
      </c>
      <c r="C240" t="s">
        <v>19</v>
      </c>
      <c r="D240">
        <v>2</v>
      </c>
      <c r="E240">
        <v>30</v>
      </c>
      <c r="F240">
        <v>24.97733833871601</v>
      </c>
      <c r="G240" t="str">
        <f>FLOOR(FinalData[[#This Row],[Temperature_C]],2)&amp;"–"&amp;(FLOOR(FinalData[[#This Row],[Temperature_C]],2)+2)&amp;"°C"</f>
        <v>24–26°C</v>
      </c>
      <c r="H240">
        <v>1.34</v>
      </c>
      <c r="I240">
        <v>2026</v>
      </c>
      <c r="J240">
        <v>1</v>
      </c>
      <c r="K240">
        <v>10</v>
      </c>
      <c r="L240">
        <v>6</v>
      </c>
      <c r="M240">
        <v>22</v>
      </c>
      <c r="N240">
        <v>6.6666666666666666E-2</v>
      </c>
      <c r="O240">
        <v>0.67</v>
      </c>
      <c r="P240" t="s">
        <v>40</v>
      </c>
    </row>
    <row r="241" spans="1:16" hidden="1" x14ac:dyDescent="0.25">
      <c r="A241" s="12">
        <v>46032.958333333336</v>
      </c>
      <c r="B241" t="s">
        <v>18</v>
      </c>
      <c r="C241" t="s">
        <v>8</v>
      </c>
      <c r="D241">
        <v>9</v>
      </c>
      <c r="E241">
        <v>20</v>
      </c>
      <c r="F241">
        <v>21.51373147046403</v>
      </c>
      <c r="G241" t="str">
        <f>FLOOR(FinalData[[#This Row],[Temperature_C]],2)&amp;"–"&amp;(FLOOR(FinalData[[#This Row],[Temperature_C]],2)+2)&amp;"°C"</f>
        <v>20–22°C</v>
      </c>
      <c r="H241">
        <v>2.88</v>
      </c>
      <c r="I241">
        <v>2026</v>
      </c>
      <c r="J241">
        <v>1</v>
      </c>
      <c r="K241">
        <v>10</v>
      </c>
      <c r="L241">
        <v>6</v>
      </c>
      <c r="M241">
        <v>23</v>
      </c>
      <c r="N241">
        <v>0.45</v>
      </c>
      <c r="O241">
        <v>0.32</v>
      </c>
      <c r="P241" t="s">
        <v>40</v>
      </c>
    </row>
    <row r="242" spans="1:16" hidden="1" x14ac:dyDescent="0.25">
      <c r="A242" s="12">
        <v>46033</v>
      </c>
      <c r="B242" t="s">
        <v>13</v>
      </c>
      <c r="C242" t="s">
        <v>16</v>
      </c>
      <c r="D242">
        <v>10</v>
      </c>
      <c r="E242">
        <v>40</v>
      </c>
      <c r="F242">
        <v>20.479670469654842</v>
      </c>
      <c r="G242" t="str">
        <f>FLOOR(FinalData[[#This Row],[Temperature_C]],2)&amp;"–"&amp;(FLOOR(FinalData[[#This Row],[Temperature_C]],2)+2)&amp;"°C"</f>
        <v>20–22°C</v>
      </c>
      <c r="H242">
        <v>3.34</v>
      </c>
      <c r="I242">
        <v>2026</v>
      </c>
      <c r="J242">
        <v>1</v>
      </c>
      <c r="K242">
        <v>11</v>
      </c>
      <c r="L242">
        <v>0</v>
      </c>
      <c r="M242">
        <v>0</v>
      </c>
      <c r="N242">
        <v>0.25</v>
      </c>
      <c r="O242">
        <v>0.33399999999999996</v>
      </c>
      <c r="P242" t="s">
        <v>40</v>
      </c>
    </row>
    <row r="243" spans="1:16" hidden="1" x14ac:dyDescent="0.25">
      <c r="A243" s="12">
        <v>46033.041666666664</v>
      </c>
      <c r="B243" t="s">
        <v>7</v>
      </c>
      <c r="C243" t="s">
        <v>31</v>
      </c>
      <c r="D243">
        <v>8</v>
      </c>
      <c r="E243">
        <v>25</v>
      </c>
      <c r="F243">
        <v>20.65996469880217</v>
      </c>
      <c r="G243" t="str">
        <f>FLOOR(FinalData[[#This Row],[Temperature_C]],2)&amp;"–"&amp;(FLOOR(FinalData[[#This Row],[Temperature_C]],2)+2)&amp;"°C"</f>
        <v>20–22°C</v>
      </c>
      <c r="H243">
        <v>3.26</v>
      </c>
      <c r="I243">
        <v>2026</v>
      </c>
      <c r="J243">
        <v>1</v>
      </c>
      <c r="K243">
        <v>11</v>
      </c>
      <c r="L243">
        <v>0</v>
      </c>
      <c r="M243">
        <v>1</v>
      </c>
      <c r="N243">
        <v>0.32</v>
      </c>
      <c r="O243">
        <v>0.40749999999999997</v>
      </c>
      <c r="P243" t="s">
        <v>40</v>
      </c>
    </row>
    <row r="244" spans="1:16" hidden="1" x14ac:dyDescent="0.25">
      <c r="A244" s="12">
        <v>46033.083333333336</v>
      </c>
      <c r="B244" t="s">
        <v>7</v>
      </c>
      <c r="C244" t="s">
        <v>10</v>
      </c>
      <c r="D244">
        <v>7</v>
      </c>
      <c r="E244">
        <v>20</v>
      </c>
      <c r="F244">
        <v>20.82183976770439</v>
      </c>
      <c r="G244" t="str">
        <f>FLOOR(FinalData[[#This Row],[Temperature_C]],2)&amp;"–"&amp;(FLOOR(FinalData[[#This Row],[Temperature_C]],2)+2)&amp;"°C"</f>
        <v>20–22°C</v>
      </c>
      <c r="H244">
        <v>2.68</v>
      </c>
      <c r="I244">
        <v>2026</v>
      </c>
      <c r="J244">
        <v>1</v>
      </c>
      <c r="K244">
        <v>11</v>
      </c>
      <c r="L244">
        <v>0</v>
      </c>
      <c r="M244">
        <v>2</v>
      </c>
      <c r="N244">
        <v>0.35</v>
      </c>
      <c r="O244">
        <v>0.3828571428571429</v>
      </c>
      <c r="P244" t="s">
        <v>40</v>
      </c>
    </row>
    <row r="245" spans="1:16" hidden="1" x14ac:dyDescent="0.25">
      <c r="A245" s="12">
        <v>46033.125</v>
      </c>
      <c r="B245" t="s">
        <v>18</v>
      </c>
      <c r="C245" t="s">
        <v>29</v>
      </c>
      <c r="D245">
        <v>8</v>
      </c>
      <c r="E245">
        <v>25</v>
      </c>
      <c r="F245">
        <v>18.57627617734099</v>
      </c>
      <c r="G245" t="str">
        <f>FLOOR(FinalData[[#This Row],[Temperature_C]],2)&amp;"–"&amp;(FLOOR(FinalData[[#This Row],[Temperature_C]],2)+2)&amp;"°C"</f>
        <v>18–20°C</v>
      </c>
      <c r="H245">
        <v>3.77</v>
      </c>
      <c r="I245">
        <v>2026</v>
      </c>
      <c r="J245">
        <v>1</v>
      </c>
      <c r="K245">
        <v>11</v>
      </c>
      <c r="L245">
        <v>0</v>
      </c>
      <c r="M245">
        <v>3</v>
      </c>
      <c r="N245">
        <v>0.32</v>
      </c>
      <c r="O245">
        <v>0.47125</v>
      </c>
      <c r="P245" t="s">
        <v>40</v>
      </c>
    </row>
    <row r="246" spans="1:16" hidden="1" x14ac:dyDescent="0.25">
      <c r="A246" s="12">
        <v>46033.166666666664</v>
      </c>
      <c r="B246" t="s">
        <v>11</v>
      </c>
      <c r="C246" t="s">
        <v>15</v>
      </c>
      <c r="D246">
        <v>4</v>
      </c>
      <c r="E246">
        <v>20</v>
      </c>
      <c r="F246">
        <v>23.895723495503589</v>
      </c>
      <c r="G246" t="str">
        <f>FLOOR(FinalData[[#This Row],[Temperature_C]],2)&amp;"–"&amp;(FLOOR(FinalData[[#This Row],[Temperature_C]],2)+2)&amp;"°C"</f>
        <v>22–24°C</v>
      </c>
      <c r="H246">
        <v>2.2000000000000002</v>
      </c>
      <c r="I246">
        <v>2026</v>
      </c>
      <c r="J246">
        <v>1</v>
      </c>
      <c r="K246">
        <v>11</v>
      </c>
      <c r="L246">
        <v>0</v>
      </c>
      <c r="M246">
        <v>4</v>
      </c>
      <c r="N246">
        <v>0.2</v>
      </c>
      <c r="O246">
        <v>0.55000000000000004</v>
      </c>
      <c r="P246" t="s">
        <v>40</v>
      </c>
    </row>
    <row r="247" spans="1:16" hidden="1" x14ac:dyDescent="0.25">
      <c r="A247" s="12">
        <v>46033.208333333336</v>
      </c>
      <c r="B247" t="s">
        <v>18</v>
      </c>
      <c r="C247" t="s">
        <v>28</v>
      </c>
      <c r="D247">
        <v>11</v>
      </c>
      <c r="E247">
        <v>40</v>
      </c>
      <c r="F247">
        <v>23.325488829692791</v>
      </c>
      <c r="G247" t="str">
        <f>FLOOR(FinalData[[#This Row],[Temperature_C]],2)&amp;"–"&amp;(FLOOR(FinalData[[#This Row],[Temperature_C]],2)+2)&amp;"°C"</f>
        <v>22–24°C</v>
      </c>
      <c r="H247">
        <v>3.76</v>
      </c>
      <c r="I247">
        <v>2026</v>
      </c>
      <c r="J247">
        <v>1</v>
      </c>
      <c r="K247">
        <v>11</v>
      </c>
      <c r="L247">
        <v>0</v>
      </c>
      <c r="M247">
        <v>5</v>
      </c>
      <c r="N247">
        <v>0.27500000000000002</v>
      </c>
      <c r="O247">
        <v>0.3418181818181818</v>
      </c>
      <c r="P247" t="s">
        <v>40</v>
      </c>
    </row>
    <row r="248" spans="1:16" hidden="1" x14ac:dyDescent="0.25">
      <c r="A248" s="12">
        <v>46033.25</v>
      </c>
      <c r="B248" t="s">
        <v>7</v>
      </c>
      <c r="C248" t="s">
        <v>27</v>
      </c>
      <c r="D248">
        <v>13</v>
      </c>
      <c r="E248">
        <v>20</v>
      </c>
      <c r="F248">
        <v>23.46431189948407</v>
      </c>
      <c r="G248" t="str">
        <f>FLOOR(FinalData[[#This Row],[Temperature_C]],2)&amp;"–"&amp;(FLOOR(FinalData[[#This Row],[Temperature_C]],2)+2)&amp;"°C"</f>
        <v>22–24°C</v>
      </c>
      <c r="H248">
        <v>3.91</v>
      </c>
      <c r="I248">
        <v>2026</v>
      </c>
      <c r="J248">
        <v>1</v>
      </c>
      <c r="K248">
        <v>11</v>
      </c>
      <c r="L248">
        <v>0</v>
      </c>
      <c r="M248">
        <v>6</v>
      </c>
      <c r="N248">
        <v>0.65</v>
      </c>
      <c r="O248">
        <v>0.30076923076923079</v>
      </c>
      <c r="P248" t="s">
        <v>40</v>
      </c>
    </row>
    <row r="249" spans="1:16" hidden="1" x14ac:dyDescent="0.25">
      <c r="A249" s="12">
        <v>46033.291666666664</v>
      </c>
      <c r="B249" t="s">
        <v>7</v>
      </c>
      <c r="C249" t="s">
        <v>26</v>
      </c>
      <c r="D249">
        <v>3</v>
      </c>
      <c r="E249">
        <v>20</v>
      </c>
      <c r="F249">
        <v>24.236976760912949</v>
      </c>
      <c r="G249" t="str">
        <f>FLOOR(FinalData[[#This Row],[Temperature_C]],2)&amp;"–"&amp;(FLOOR(FinalData[[#This Row],[Temperature_C]],2)+2)&amp;"°C"</f>
        <v>24–26°C</v>
      </c>
      <c r="H249">
        <v>1.82</v>
      </c>
      <c r="I249">
        <v>2026</v>
      </c>
      <c r="J249">
        <v>1</v>
      </c>
      <c r="K249">
        <v>11</v>
      </c>
      <c r="L249">
        <v>0</v>
      </c>
      <c r="M249">
        <v>7</v>
      </c>
      <c r="N249">
        <v>0.15</v>
      </c>
      <c r="O249">
        <v>0.60666666666666669</v>
      </c>
      <c r="P249" t="s">
        <v>41</v>
      </c>
    </row>
    <row r="250" spans="1:16" x14ac:dyDescent="0.25">
      <c r="A250" s="12">
        <v>46033.333333333336</v>
      </c>
      <c r="B250" t="s">
        <v>11</v>
      </c>
      <c r="C250" t="s">
        <v>17</v>
      </c>
      <c r="D250">
        <v>7</v>
      </c>
      <c r="E250">
        <v>30</v>
      </c>
      <c r="F250">
        <v>22.96050181293074</v>
      </c>
      <c r="G250" t="str">
        <f>FLOOR(FinalData[[#This Row],[Temperature_C]],2)&amp;"–"&amp;(FLOOR(FinalData[[#This Row],[Temperature_C]],2)+2)&amp;"°C"</f>
        <v>22–24°C</v>
      </c>
      <c r="H250">
        <v>2.5499999999999998</v>
      </c>
      <c r="I250">
        <v>2026</v>
      </c>
      <c r="J250">
        <v>1</v>
      </c>
      <c r="K250">
        <v>11</v>
      </c>
      <c r="L250">
        <v>0</v>
      </c>
      <c r="M250">
        <v>8</v>
      </c>
      <c r="N250">
        <v>0.23333333333333334</v>
      </c>
      <c r="O250">
        <v>0.36428571428571427</v>
      </c>
      <c r="P250" t="s">
        <v>41</v>
      </c>
    </row>
    <row r="251" spans="1:16" hidden="1" x14ac:dyDescent="0.25">
      <c r="A251" s="12">
        <v>46033.375</v>
      </c>
      <c r="B251" t="s">
        <v>9</v>
      </c>
      <c r="C251" t="s">
        <v>24</v>
      </c>
      <c r="D251">
        <v>7</v>
      </c>
      <c r="E251">
        <v>25</v>
      </c>
      <c r="F251">
        <v>20.311771059273621</v>
      </c>
      <c r="G251" t="str">
        <f>FLOOR(FinalData[[#This Row],[Temperature_C]],2)&amp;"–"&amp;(FLOOR(FinalData[[#This Row],[Temperature_C]],2)+2)&amp;"°C"</f>
        <v>20–22°C</v>
      </c>
      <c r="H251">
        <v>2.3199999999999998</v>
      </c>
      <c r="I251">
        <v>2026</v>
      </c>
      <c r="J251">
        <v>1</v>
      </c>
      <c r="K251">
        <v>11</v>
      </c>
      <c r="L251">
        <v>0</v>
      </c>
      <c r="M251">
        <v>9</v>
      </c>
      <c r="N251">
        <v>0.28000000000000003</v>
      </c>
      <c r="O251">
        <v>0.33142857142857141</v>
      </c>
      <c r="P251" t="s">
        <v>41</v>
      </c>
    </row>
    <row r="252" spans="1:16" hidden="1" x14ac:dyDescent="0.25">
      <c r="A252" s="12">
        <v>46033.416666666664</v>
      </c>
      <c r="B252" t="s">
        <v>9</v>
      </c>
      <c r="C252" t="s">
        <v>12</v>
      </c>
      <c r="D252">
        <v>11</v>
      </c>
      <c r="E252">
        <v>25</v>
      </c>
      <c r="F252">
        <v>19.947458006555571</v>
      </c>
      <c r="G252" t="str">
        <f>FLOOR(FinalData[[#This Row],[Temperature_C]],2)&amp;"–"&amp;(FLOOR(FinalData[[#This Row],[Temperature_C]],2)+2)&amp;"°C"</f>
        <v>18–20°C</v>
      </c>
      <c r="H252">
        <v>3.87</v>
      </c>
      <c r="I252">
        <v>2026</v>
      </c>
      <c r="J252">
        <v>1</v>
      </c>
      <c r="K252">
        <v>11</v>
      </c>
      <c r="L252">
        <v>0</v>
      </c>
      <c r="M252">
        <v>10</v>
      </c>
      <c r="N252">
        <v>0.44</v>
      </c>
      <c r="O252">
        <v>0.35181818181818181</v>
      </c>
      <c r="P252" t="s">
        <v>41</v>
      </c>
    </row>
    <row r="253" spans="1:16" hidden="1" x14ac:dyDescent="0.25">
      <c r="A253" s="12">
        <v>46033.458333333336</v>
      </c>
      <c r="B253" t="s">
        <v>18</v>
      </c>
      <c r="C253" t="s">
        <v>17</v>
      </c>
      <c r="D253">
        <v>2</v>
      </c>
      <c r="E253">
        <v>40</v>
      </c>
      <c r="F253">
        <v>22.185927374146441</v>
      </c>
      <c r="G253" t="str">
        <f>FLOOR(FinalData[[#This Row],[Temperature_C]],2)&amp;"–"&amp;(FLOOR(FinalData[[#This Row],[Temperature_C]],2)+2)&amp;"°C"</f>
        <v>22–24°C</v>
      </c>
      <c r="H253">
        <v>1.53</v>
      </c>
      <c r="I253">
        <v>2026</v>
      </c>
      <c r="J253">
        <v>1</v>
      </c>
      <c r="K253">
        <v>11</v>
      </c>
      <c r="L253">
        <v>0</v>
      </c>
      <c r="M253">
        <v>11</v>
      </c>
      <c r="N253">
        <v>0.05</v>
      </c>
      <c r="O253">
        <v>0.76500000000000001</v>
      </c>
      <c r="P253" t="s">
        <v>41</v>
      </c>
    </row>
    <row r="254" spans="1:16" hidden="1" x14ac:dyDescent="0.25">
      <c r="A254" s="12">
        <v>46033.5</v>
      </c>
      <c r="B254" t="s">
        <v>13</v>
      </c>
      <c r="C254" t="s">
        <v>24</v>
      </c>
      <c r="D254">
        <v>14</v>
      </c>
      <c r="E254">
        <v>25</v>
      </c>
      <c r="F254">
        <v>23.81805610748528</v>
      </c>
      <c r="G254" t="str">
        <f>FLOOR(FinalData[[#This Row],[Temperature_C]],2)&amp;"–"&amp;(FLOOR(FinalData[[#This Row],[Temperature_C]],2)+2)&amp;"°C"</f>
        <v>22–24°C</v>
      </c>
      <c r="H254">
        <v>4.18</v>
      </c>
      <c r="I254">
        <v>2026</v>
      </c>
      <c r="J254">
        <v>1</v>
      </c>
      <c r="K254">
        <v>11</v>
      </c>
      <c r="L254">
        <v>0</v>
      </c>
      <c r="M254">
        <v>12</v>
      </c>
      <c r="N254">
        <v>0.56000000000000005</v>
      </c>
      <c r="O254">
        <v>0.29857142857142854</v>
      </c>
      <c r="P254" t="s">
        <v>42</v>
      </c>
    </row>
    <row r="255" spans="1:16" hidden="1" x14ac:dyDescent="0.25">
      <c r="A255" s="12">
        <v>46033.541666666664</v>
      </c>
      <c r="B255" t="s">
        <v>9</v>
      </c>
      <c r="C255" t="s">
        <v>8</v>
      </c>
      <c r="D255">
        <v>5</v>
      </c>
      <c r="E255">
        <v>20</v>
      </c>
      <c r="F255">
        <v>23.02228312609752</v>
      </c>
      <c r="G255" t="str">
        <f>FLOOR(FinalData[[#This Row],[Temperature_C]],2)&amp;"–"&amp;(FLOOR(FinalData[[#This Row],[Temperature_C]],2)+2)&amp;"°C"</f>
        <v>22–24°C</v>
      </c>
      <c r="H255">
        <v>2.42</v>
      </c>
      <c r="I255">
        <v>2026</v>
      </c>
      <c r="J255">
        <v>1</v>
      </c>
      <c r="K255">
        <v>11</v>
      </c>
      <c r="L255">
        <v>0</v>
      </c>
      <c r="M255">
        <v>13</v>
      </c>
      <c r="N255">
        <v>0.25</v>
      </c>
      <c r="O255">
        <v>0.48399999999999999</v>
      </c>
      <c r="P255" t="s">
        <v>42</v>
      </c>
    </row>
    <row r="256" spans="1:16" hidden="1" x14ac:dyDescent="0.25">
      <c r="A256" s="12">
        <v>46033.583333333336</v>
      </c>
      <c r="B256" t="s">
        <v>11</v>
      </c>
      <c r="C256" t="s">
        <v>16</v>
      </c>
      <c r="D256">
        <v>11</v>
      </c>
      <c r="E256">
        <v>25</v>
      </c>
      <c r="F256">
        <v>24.380473600760549</v>
      </c>
      <c r="G256" t="str">
        <f>FLOOR(FinalData[[#This Row],[Temperature_C]],2)&amp;"–"&amp;(FLOOR(FinalData[[#This Row],[Temperature_C]],2)+2)&amp;"°C"</f>
        <v>24–26°C</v>
      </c>
      <c r="H256">
        <v>3.14</v>
      </c>
      <c r="I256">
        <v>2026</v>
      </c>
      <c r="J256">
        <v>1</v>
      </c>
      <c r="K256">
        <v>11</v>
      </c>
      <c r="L256">
        <v>0</v>
      </c>
      <c r="M256">
        <v>14</v>
      </c>
      <c r="N256">
        <v>0.44</v>
      </c>
      <c r="O256">
        <v>0.28545454545454546</v>
      </c>
      <c r="P256" t="s">
        <v>42</v>
      </c>
    </row>
    <row r="257" spans="1:16" hidden="1" x14ac:dyDescent="0.25">
      <c r="A257" s="12">
        <v>46033.625</v>
      </c>
      <c r="B257" t="s">
        <v>9</v>
      </c>
      <c r="C257" t="s">
        <v>30</v>
      </c>
      <c r="D257">
        <v>5</v>
      </c>
      <c r="E257">
        <v>25</v>
      </c>
      <c r="F257">
        <v>25.434747139503258</v>
      </c>
      <c r="G257" t="str">
        <f>FLOOR(FinalData[[#This Row],[Temperature_C]],2)&amp;"–"&amp;(FLOOR(FinalData[[#This Row],[Temperature_C]],2)+2)&amp;"°C"</f>
        <v>24–26°C</v>
      </c>
      <c r="H257">
        <v>2.81</v>
      </c>
      <c r="I257">
        <v>2026</v>
      </c>
      <c r="J257">
        <v>1</v>
      </c>
      <c r="K257">
        <v>11</v>
      </c>
      <c r="L257">
        <v>0</v>
      </c>
      <c r="M257">
        <v>15</v>
      </c>
      <c r="N257">
        <v>0.2</v>
      </c>
      <c r="O257">
        <v>0.56200000000000006</v>
      </c>
      <c r="P257" t="s">
        <v>42</v>
      </c>
    </row>
    <row r="258" spans="1:16" hidden="1" x14ac:dyDescent="0.25">
      <c r="A258" s="12">
        <v>46033.666666666664</v>
      </c>
      <c r="B258" t="s">
        <v>18</v>
      </c>
      <c r="C258" t="s">
        <v>25</v>
      </c>
      <c r="D258">
        <v>12</v>
      </c>
      <c r="E258">
        <v>30</v>
      </c>
      <c r="F258">
        <v>26.477799327595161</v>
      </c>
      <c r="G258" t="str">
        <f>FLOOR(FinalData[[#This Row],[Temperature_C]],2)&amp;"–"&amp;(FLOOR(FinalData[[#This Row],[Temperature_C]],2)+2)&amp;"°C"</f>
        <v>26–28°C</v>
      </c>
      <c r="H258">
        <v>4.7699999999999996</v>
      </c>
      <c r="I258">
        <v>2026</v>
      </c>
      <c r="J258">
        <v>1</v>
      </c>
      <c r="K258">
        <v>11</v>
      </c>
      <c r="L258">
        <v>0</v>
      </c>
      <c r="M258">
        <v>16</v>
      </c>
      <c r="N258">
        <v>0.4</v>
      </c>
      <c r="O258">
        <v>0.39749999999999996</v>
      </c>
      <c r="P258" t="s">
        <v>42</v>
      </c>
    </row>
    <row r="259" spans="1:16" hidden="1" x14ac:dyDescent="0.25">
      <c r="A259" s="12">
        <v>46033.708333333336</v>
      </c>
      <c r="B259" t="s">
        <v>9</v>
      </c>
      <c r="C259" t="s">
        <v>28</v>
      </c>
      <c r="D259">
        <v>7</v>
      </c>
      <c r="E259">
        <v>25</v>
      </c>
      <c r="F259">
        <v>24.30090018507228</v>
      </c>
      <c r="G259" t="str">
        <f>FLOOR(FinalData[[#This Row],[Temperature_C]],2)&amp;"–"&amp;(FLOOR(FinalData[[#This Row],[Temperature_C]],2)+2)&amp;"°C"</f>
        <v>24–26°C</v>
      </c>
      <c r="H259">
        <v>2.44</v>
      </c>
      <c r="I259">
        <v>2026</v>
      </c>
      <c r="J259">
        <v>1</v>
      </c>
      <c r="K259">
        <v>11</v>
      </c>
      <c r="L259">
        <v>0</v>
      </c>
      <c r="M259">
        <v>17</v>
      </c>
      <c r="N259">
        <v>0.28000000000000003</v>
      </c>
      <c r="O259">
        <v>0.34857142857142859</v>
      </c>
      <c r="P259" t="s">
        <v>43</v>
      </c>
    </row>
    <row r="260" spans="1:16" hidden="1" x14ac:dyDescent="0.25">
      <c r="A260" s="12">
        <v>46033.75</v>
      </c>
      <c r="B260" t="s">
        <v>7</v>
      </c>
      <c r="C260" t="s">
        <v>30</v>
      </c>
      <c r="D260">
        <v>11</v>
      </c>
      <c r="E260">
        <v>20</v>
      </c>
      <c r="F260">
        <v>23.460141518382809</v>
      </c>
      <c r="G260" t="str">
        <f>FLOOR(FinalData[[#This Row],[Temperature_C]],2)&amp;"–"&amp;(FLOOR(FinalData[[#This Row],[Temperature_C]],2)+2)&amp;"°C"</f>
        <v>22–24°C</v>
      </c>
      <c r="H260">
        <v>3.92</v>
      </c>
      <c r="I260">
        <v>2026</v>
      </c>
      <c r="J260">
        <v>1</v>
      </c>
      <c r="K260">
        <v>11</v>
      </c>
      <c r="L260">
        <v>0</v>
      </c>
      <c r="M260">
        <v>18</v>
      </c>
      <c r="N260">
        <v>0.55000000000000004</v>
      </c>
      <c r="O260">
        <v>0.35636363636363638</v>
      </c>
      <c r="P260" t="s">
        <v>43</v>
      </c>
    </row>
    <row r="261" spans="1:16" hidden="1" x14ac:dyDescent="0.25">
      <c r="A261" s="12">
        <v>46033.791666666664</v>
      </c>
      <c r="B261" t="s">
        <v>13</v>
      </c>
      <c r="C261" t="s">
        <v>24</v>
      </c>
      <c r="D261">
        <v>14</v>
      </c>
      <c r="E261">
        <v>20</v>
      </c>
      <c r="F261">
        <v>23.908366334379679</v>
      </c>
      <c r="G261" t="str">
        <f>FLOOR(FinalData[[#This Row],[Temperature_C]],2)&amp;"–"&amp;(FLOOR(FinalData[[#This Row],[Temperature_C]],2)+2)&amp;"°C"</f>
        <v>22–24°C</v>
      </c>
      <c r="H261">
        <v>4.43</v>
      </c>
      <c r="I261">
        <v>2026</v>
      </c>
      <c r="J261">
        <v>1</v>
      </c>
      <c r="K261">
        <v>11</v>
      </c>
      <c r="L261">
        <v>0</v>
      </c>
      <c r="M261">
        <v>19</v>
      </c>
      <c r="N261">
        <v>0.7</v>
      </c>
      <c r="O261">
        <v>0.31642857142857139</v>
      </c>
      <c r="P261" t="s">
        <v>43</v>
      </c>
    </row>
    <row r="262" spans="1:16" hidden="1" x14ac:dyDescent="0.25">
      <c r="A262" s="12">
        <v>46033.833333333336</v>
      </c>
      <c r="B262" t="s">
        <v>18</v>
      </c>
      <c r="C262" t="s">
        <v>22</v>
      </c>
      <c r="D262">
        <v>4</v>
      </c>
      <c r="E262">
        <v>40</v>
      </c>
      <c r="F262">
        <v>19.964252506638381</v>
      </c>
      <c r="G262" t="str">
        <f>FLOOR(FinalData[[#This Row],[Temperature_C]],2)&amp;"–"&amp;(FLOOR(FinalData[[#This Row],[Temperature_C]],2)+2)&amp;"°C"</f>
        <v>18–20°C</v>
      </c>
      <c r="H262">
        <v>2</v>
      </c>
      <c r="I262">
        <v>2026</v>
      </c>
      <c r="J262">
        <v>1</v>
      </c>
      <c r="K262">
        <v>11</v>
      </c>
      <c r="L262">
        <v>0</v>
      </c>
      <c r="M262">
        <v>20</v>
      </c>
      <c r="N262">
        <v>0.1</v>
      </c>
      <c r="O262">
        <v>0.5</v>
      </c>
      <c r="P262" t="s">
        <v>43</v>
      </c>
    </row>
    <row r="263" spans="1:16" hidden="1" x14ac:dyDescent="0.25">
      <c r="A263" s="12">
        <v>46033.875</v>
      </c>
      <c r="B263" t="s">
        <v>18</v>
      </c>
      <c r="C263" t="s">
        <v>30</v>
      </c>
      <c r="D263">
        <v>11</v>
      </c>
      <c r="E263">
        <v>20</v>
      </c>
      <c r="F263">
        <v>22.04232508798319</v>
      </c>
      <c r="G263" t="str">
        <f>FLOOR(FinalData[[#This Row],[Temperature_C]],2)&amp;"–"&amp;(FLOOR(FinalData[[#This Row],[Temperature_C]],2)+2)&amp;"°C"</f>
        <v>22–24°C</v>
      </c>
      <c r="H263">
        <v>3.3</v>
      </c>
      <c r="I263">
        <v>2026</v>
      </c>
      <c r="J263">
        <v>1</v>
      </c>
      <c r="K263">
        <v>11</v>
      </c>
      <c r="L263">
        <v>0</v>
      </c>
      <c r="M263">
        <v>21</v>
      </c>
      <c r="N263">
        <v>0.55000000000000004</v>
      </c>
      <c r="O263">
        <v>0.3</v>
      </c>
      <c r="P263" t="s">
        <v>40</v>
      </c>
    </row>
    <row r="264" spans="1:16" hidden="1" x14ac:dyDescent="0.25">
      <c r="A264" s="12">
        <v>46033.916666666664</v>
      </c>
      <c r="B264" t="s">
        <v>13</v>
      </c>
      <c r="C264" t="s">
        <v>23</v>
      </c>
      <c r="D264">
        <v>9</v>
      </c>
      <c r="E264">
        <v>25</v>
      </c>
      <c r="F264">
        <v>22.261445721507599</v>
      </c>
      <c r="G264" t="str">
        <f>FLOOR(FinalData[[#This Row],[Temperature_C]],2)&amp;"–"&amp;(FLOOR(FinalData[[#This Row],[Temperature_C]],2)+2)&amp;"°C"</f>
        <v>22–24°C</v>
      </c>
      <c r="H264">
        <v>3.13</v>
      </c>
      <c r="I264">
        <v>2026</v>
      </c>
      <c r="J264">
        <v>1</v>
      </c>
      <c r="K264">
        <v>11</v>
      </c>
      <c r="L264">
        <v>0</v>
      </c>
      <c r="M264">
        <v>22</v>
      </c>
      <c r="N264">
        <v>0.36</v>
      </c>
      <c r="O264">
        <v>0.34777777777777774</v>
      </c>
      <c r="P264" t="s">
        <v>40</v>
      </c>
    </row>
    <row r="265" spans="1:16" hidden="1" x14ac:dyDescent="0.25">
      <c r="A265" s="12">
        <v>46033.958333333336</v>
      </c>
      <c r="B265" t="s">
        <v>11</v>
      </c>
      <c r="C265" t="s">
        <v>25</v>
      </c>
      <c r="D265">
        <v>8</v>
      </c>
      <c r="E265">
        <v>40</v>
      </c>
      <c r="F265">
        <v>21.59269090086698</v>
      </c>
      <c r="G265" t="str">
        <f>FLOOR(FinalData[[#This Row],[Temperature_C]],2)&amp;"–"&amp;(FLOOR(FinalData[[#This Row],[Temperature_C]],2)+2)&amp;"°C"</f>
        <v>20–22°C</v>
      </c>
      <c r="H265">
        <v>3.14</v>
      </c>
      <c r="I265">
        <v>2026</v>
      </c>
      <c r="J265">
        <v>1</v>
      </c>
      <c r="K265">
        <v>11</v>
      </c>
      <c r="L265">
        <v>0</v>
      </c>
      <c r="M265">
        <v>23</v>
      </c>
      <c r="N265">
        <v>0.2</v>
      </c>
      <c r="O265">
        <v>0.39250000000000002</v>
      </c>
      <c r="P265" t="s">
        <v>40</v>
      </c>
    </row>
    <row r="266" spans="1:16" hidden="1" x14ac:dyDescent="0.25">
      <c r="A266" s="12">
        <v>46034</v>
      </c>
      <c r="B266" t="s">
        <v>13</v>
      </c>
      <c r="C266" t="s">
        <v>22</v>
      </c>
      <c r="D266">
        <v>9</v>
      </c>
      <c r="E266">
        <v>30</v>
      </c>
      <c r="F266">
        <v>26.040678474619011</v>
      </c>
      <c r="G266" t="str">
        <f>FLOOR(FinalData[[#This Row],[Temperature_C]],2)&amp;"–"&amp;(FLOOR(FinalData[[#This Row],[Temperature_C]],2)+2)&amp;"°C"</f>
        <v>26–28°C</v>
      </c>
      <c r="H266">
        <v>3.51</v>
      </c>
      <c r="I266">
        <v>2026</v>
      </c>
      <c r="J266">
        <v>1</v>
      </c>
      <c r="K266">
        <v>12</v>
      </c>
      <c r="L266">
        <v>1</v>
      </c>
      <c r="M266">
        <v>0</v>
      </c>
      <c r="N266">
        <v>0.3</v>
      </c>
      <c r="O266">
        <v>0.38999999999999996</v>
      </c>
      <c r="P266" t="s">
        <v>40</v>
      </c>
    </row>
    <row r="267" spans="1:16" hidden="1" x14ac:dyDescent="0.25">
      <c r="A267" s="12">
        <v>46034.041666666664</v>
      </c>
      <c r="B267" t="s">
        <v>11</v>
      </c>
      <c r="C267" t="s">
        <v>10</v>
      </c>
      <c r="D267">
        <v>5</v>
      </c>
      <c r="E267">
        <v>40</v>
      </c>
      <c r="F267">
        <v>20.343370097069901</v>
      </c>
      <c r="G267" t="str">
        <f>FLOOR(FinalData[[#This Row],[Temperature_C]],2)&amp;"–"&amp;(FLOOR(FinalData[[#This Row],[Temperature_C]],2)+2)&amp;"°C"</f>
        <v>20–22°C</v>
      </c>
      <c r="H267">
        <v>2.3199999999999998</v>
      </c>
      <c r="I267">
        <v>2026</v>
      </c>
      <c r="J267">
        <v>1</v>
      </c>
      <c r="K267">
        <v>12</v>
      </c>
      <c r="L267">
        <v>1</v>
      </c>
      <c r="M267">
        <v>1</v>
      </c>
      <c r="N267">
        <v>0.125</v>
      </c>
      <c r="O267">
        <v>0.46399999999999997</v>
      </c>
      <c r="P267" t="s">
        <v>40</v>
      </c>
    </row>
    <row r="268" spans="1:16" hidden="1" x14ac:dyDescent="0.25">
      <c r="A268" s="12">
        <v>46034.083333333336</v>
      </c>
      <c r="B268" t="s">
        <v>7</v>
      </c>
      <c r="C268" t="s">
        <v>29</v>
      </c>
      <c r="D268">
        <v>9</v>
      </c>
      <c r="E268">
        <v>40</v>
      </c>
      <c r="F268">
        <v>19.505093830609869</v>
      </c>
      <c r="G268" t="str">
        <f>FLOOR(FinalData[[#This Row],[Temperature_C]],2)&amp;"–"&amp;(FLOOR(FinalData[[#This Row],[Temperature_C]],2)+2)&amp;"°C"</f>
        <v>18–20°C</v>
      </c>
      <c r="H268">
        <v>3.39</v>
      </c>
      <c r="I268">
        <v>2026</v>
      </c>
      <c r="J268">
        <v>1</v>
      </c>
      <c r="K268">
        <v>12</v>
      </c>
      <c r="L268">
        <v>1</v>
      </c>
      <c r="M268">
        <v>2</v>
      </c>
      <c r="N268">
        <v>0.22500000000000001</v>
      </c>
      <c r="O268">
        <v>0.37666666666666671</v>
      </c>
      <c r="P268" t="s">
        <v>40</v>
      </c>
    </row>
    <row r="269" spans="1:16" hidden="1" x14ac:dyDescent="0.25">
      <c r="A269" s="12">
        <v>46034.125</v>
      </c>
      <c r="B269" t="s">
        <v>18</v>
      </c>
      <c r="C269" t="s">
        <v>29</v>
      </c>
      <c r="D269">
        <v>7</v>
      </c>
      <c r="E269">
        <v>20</v>
      </c>
      <c r="F269">
        <v>23.394654525190418</v>
      </c>
      <c r="G269" t="str">
        <f>FLOOR(FinalData[[#This Row],[Temperature_C]],2)&amp;"–"&amp;(FLOOR(FinalData[[#This Row],[Temperature_C]],2)+2)&amp;"°C"</f>
        <v>22–24°C</v>
      </c>
      <c r="H269">
        <v>2.52</v>
      </c>
      <c r="I269">
        <v>2026</v>
      </c>
      <c r="J269">
        <v>1</v>
      </c>
      <c r="K269">
        <v>12</v>
      </c>
      <c r="L269">
        <v>1</v>
      </c>
      <c r="M269">
        <v>3</v>
      </c>
      <c r="N269">
        <v>0.35</v>
      </c>
      <c r="O269">
        <v>0.36</v>
      </c>
      <c r="P269" t="s">
        <v>40</v>
      </c>
    </row>
    <row r="270" spans="1:16" hidden="1" x14ac:dyDescent="0.25">
      <c r="A270" s="12">
        <v>46034.166666666664</v>
      </c>
      <c r="B270" t="s">
        <v>13</v>
      </c>
      <c r="C270" t="s">
        <v>26</v>
      </c>
      <c r="D270">
        <v>6</v>
      </c>
      <c r="E270">
        <v>25</v>
      </c>
      <c r="F270">
        <v>24.63755528750972</v>
      </c>
      <c r="G270" t="str">
        <f>FLOOR(FinalData[[#This Row],[Temperature_C]],2)&amp;"–"&amp;(FLOOR(FinalData[[#This Row],[Temperature_C]],2)+2)&amp;"°C"</f>
        <v>24–26°C</v>
      </c>
      <c r="H270">
        <v>3.16</v>
      </c>
      <c r="I270">
        <v>2026</v>
      </c>
      <c r="J270">
        <v>1</v>
      </c>
      <c r="K270">
        <v>12</v>
      </c>
      <c r="L270">
        <v>1</v>
      </c>
      <c r="M270">
        <v>4</v>
      </c>
      <c r="N270">
        <v>0.24</v>
      </c>
      <c r="O270">
        <v>0.52666666666666673</v>
      </c>
      <c r="P270" t="s">
        <v>40</v>
      </c>
    </row>
    <row r="271" spans="1:16" hidden="1" x14ac:dyDescent="0.25">
      <c r="A271" s="12">
        <v>46034.208333333336</v>
      </c>
      <c r="B271" t="s">
        <v>11</v>
      </c>
      <c r="C271" t="s">
        <v>26</v>
      </c>
      <c r="D271">
        <v>10</v>
      </c>
      <c r="E271">
        <v>25</v>
      </c>
      <c r="F271">
        <v>26.328634196249268</v>
      </c>
      <c r="G271" t="str">
        <f>FLOOR(FinalData[[#This Row],[Temperature_C]],2)&amp;"–"&amp;(FLOOR(FinalData[[#This Row],[Temperature_C]],2)+2)&amp;"°C"</f>
        <v>26–28°C</v>
      </c>
      <c r="H271">
        <v>4.17</v>
      </c>
      <c r="I271">
        <v>2026</v>
      </c>
      <c r="J271">
        <v>1</v>
      </c>
      <c r="K271">
        <v>12</v>
      </c>
      <c r="L271">
        <v>1</v>
      </c>
      <c r="M271">
        <v>5</v>
      </c>
      <c r="N271">
        <v>0.4</v>
      </c>
      <c r="O271">
        <v>0.41699999999999998</v>
      </c>
      <c r="P271" t="s">
        <v>40</v>
      </c>
    </row>
    <row r="272" spans="1:16" hidden="1" x14ac:dyDescent="0.25">
      <c r="A272" s="12">
        <v>46034.25</v>
      </c>
      <c r="B272" t="s">
        <v>13</v>
      </c>
      <c r="C272" t="s">
        <v>14</v>
      </c>
      <c r="D272">
        <v>5</v>
      </c>
      <c r="E272">
        <v>25</v>
      </c>
      <c r="F272">
        <v>22.780460992367711</v>
      </c>
      <c r="G272" t="str">
        <f>FLOOR(FinalData[[#This Row],[Temperature_C]],2)&amp;"–"&amp;(FLOOR(FinalData[[#This Row],[Temperature_C]],2)+2)&amp;"°C"</f>
        <v>22–24°C</v>
      </c>
      <c r="H272">
        <v>2.3199999999999998</v>
      </c>
      <c r="I272">
        <v>2026</v>
      </c>
      <c r="J272">
        <v>1</v>
      </c>
      <c r="K272">
        <v>12</v>
      </c>
      <c r="L272">
        <v>1</v>
      </c>
      <c r="M272">
        <v>6</v>
      </c>
      <c r="N272">
        <v>0.2</v>
      </c>
      <c r="O272">
        <v>0.46399999999999997</v>
      </c>
      <c r="P272" t="s">
        <v>40</v>
      </c>
    </row>
    <row r="273" spans="1:16" hidden="1" x14ac:dyDescent="0.25">
      <c r="A273" s="12">
        <v>46034.291666666664</v>
      </c>
      <c r="B273" t="s">
        <v>18</v>
      </c>
      <c r="C273" t="s">
        <v>26</v>
      </c>
      <c r="D273">
        <v>5</v>
      </c>
      <c r="E273">
        <v>40</v>
      </c>
      <c r="F273">
        <v>21.271217858171639</v>
      </c>
      <c r="G273" t="str">
        <f>FLOOR(FinalData[[#This Row],[Temperature_C]],2)&amp;"–"&amp;(FLOOR(FinalData[[#This Row],[Temperature_C]],2)+2)&amp;"°C"</f>
        <v>20–22°C</v>
      </c>
      <c r="H273">
        <v>2.12</v>
      </c>
      <c r="I273">
        <v>2026</v>
      </c>
      <c r="J273">
        <v>1</v>
      </c>
      <c r="K273">
        <v>12</v>
      </c>
      <c r="L273">
        <v>1</v>
      </c>
      <c r="M273">
        <v>7</v>
      </c>
      <c r="N273">
        <v>0.125</v>
      </c>
      <c r="O273">
        <v>0.42400000000000004</v>
      </c>
      <c r="P273" t="s">
        <v>41</v>
      </c>
    </row>
    <row r="274" spans="1:16" x14ac:dyDescent="0.25">
      <c r="A274" s="12">
        <v>46034.333333333336</v>
      </c>
      <c r="B274" t="s">
        <v>11</v>
      </c>
      <c r="C274" t="s">
        <v>26</v>
      </c>
      <c r="D274">
        <v>6</v>
      </c>
      <c r="E274">
        <v>20</v>
      </c>
      <c r="F274">
        <v>26.499167808410839</v>
      </c>
      <c r="G274" t="str">
        <f>FLOOR(FinalData[[#This Row],[Temperature_C]],2)&amp;"–"&amp;(FLOOR(FinalData[[#This Row],[Temperature_C]],2)+2)&amp;"°C"</f>
        <v>26–28°C</v>
      </c>
      <c r="H274">
        <v>3.39</v>
      </c>
      <c r="I274">
        <v>2026</v>
      </c>
      <c r="J274">
        <v>1</v>
      </c>
      <c r="K274">
        <v>12</v>
      </c>
      <c r="L274">
        <v>1</v>
      </c>
      <c r="M274">
        <v>8</v>
      </c>
      <c r="N274">
        <v>0.3</v>
      </c>
      <c r="O274">
        <v>0.56500000000000006</v>
      </c>
      <c r="P274" t="s">
        <v>41</v>
      </c>
    </row>
    <row r="275" spans="1:16" hidden="1" x14ac:dyDescent="0.25">
      <c r="A275" s="12">
        <v>46034.375</v>
      </c>
      <c r="B275" t="s">
        <v>7</v>
      </c>
      <c r="C275" t="s">
        <v>19</v>
      </c>
      <c r="D275">
        <v>7</v>
      </c>
      <c r="E275">
        <v>25</v>
      </c>
      <c r="F275">
        <v>21.432468668827209</v>
      </c>
      <c r="G275" t="str">
        <f>FLOOR(FinalData[[#This Row],[Temperature_C]],2)&amp;"–"&amp;(FLOOR(FinalData[[#This Row],[Temperature_C]],2)+2)&amp;"°C"</f>
        <v>20–22°C</v>
      </c>
      <c r="H275">
        <v>2.4300000000000002</v>
      </c>
      <c r="I275">
        <v>2026</v>
      </c>
      <c r="J275">
        <v>1</v>
      </c>
      <c r="K275">
        <v>12</v>
      </c>
      <c r="L275">
        <v>1</v>
      </c>
      <c r="M275">
        <v>9</v>
      </c>
      <c r="N275">
        <v>0.28000000000000003</v>
      </c>
      <c r="O275">
        <v>0.34714285714285714</v>
      </c>
      <c r="P275" t="s">
        <v>41</v>
      </c>
    </row>
    <row r="276" spans="1:16" x14ac:dyDescent="0.25">
      <c r="A276" s="12">
        <v>46034.416666666664</v>
      </c>
      <c r="B276" t="s">
        <v>11</v>
      </c>
      <c r="C276" t="s">
        <v>16</v>
      </c>
      <c r="D276">
        <v>7</v>
      </c>
      <c r="E276">
        <v>30</v>
      </c>
      <c r="F276">
        <v>23.999370220605869</v>
      </c>
      <c r="G276" t="str">
        <f>FLOOR(FinalData[[#This Row],[Temperature_C]],2)&amp;"–"&amp;(FLOOR(FinalData[[#This Row],[Temperature_C]],2)+2)&amp;"°C"</f>
        <v>22–24°C</v>
      </c>
      <c r="H276">
        <v>2.99</v>
      </c>
      <c r="I276">
        <v>2026</v>
      </c>
      <c r="J276">
        <v>1</v>
      </c>
      <c r="K276">
        <v>12</v>
      </c>
      <c r="L276">
        <v>1</v>
      </c>
      <c r="M276">
        <v>10</v>
      </c>
      <c r="N276">
        <v>0.23333333333333334</v>
      </c>
      <c r="O276">
        <v>0.42714285714285716</v>
      </c>
      <c r="P276" t="s">
        <v>41</v>
      </c>
    </row>
    <row r="277" spans="1:16" hidden="1" x14ac:dyDescent="0.25">
      <c r="A277" s="12">
        <v>46034.458333333336</v>
      </c>
      <c r="B277" t="s">
        <v>13</v>
      </c>
      <c r="C277" t="s">
        <v>17</v>
      </c>
      <c r="D277">
        <v>10</v>
      </c>
      <c r="E277">
        <v>30</v>
      </c>
      <c r="F277">
        <v>19.564411808383479</v>
      </c>
      <c r="G277" t="str">
        <f>FLOOR(FinalData[[#This Row],[Temperature_C]],2)&amp;"–"&amp;(FLOOR(FinalData[[#This Row],[Temperature_C]],2)+2)&amp;"°C"</f>
        <v>18–20°C</v>
      </c>
      <c r="H277">
        <v>3.75</v>
      </c>
      <c r="I277">
        <v>2026</v>
      </c>
      <c r="J277">
        <v>1</v>
      </c>
      <c r="K277">
        <v>12</v>
      </c>
      <c r="L277">
        <v>1</v>
      </c>
      <c r="M277">
        <v>11</v>
      </c>
      <c r="N277">
        <v>0.33333333333333331</v>
      </c>
      <c r="O277">
        <v>0.375</v>
      </c>
      <c r="P277" t="s">
        <v>41</v>
      </c>
    </row>
    <row r="278" spans="1:16" hidden="1" x14ac:dyDescent="0.25">
      <c r="A278" s="12">
        <v>46034.5</v>
      </c>
      <c r="B278" t="s">
        <v>18</v>
      </c>
      <c r="C278" t="s">
        <v>20</v>
      </c>
      <c r="D278">
        <v>12</v>
      </c>
      <c r="E278">
        <v>30</v>
      </c>
      <c r="F278">
        <v>21.900885728182839</v>
      </c>
      <c r="G278" t="str">
        <f>FLOOR(FinalData[[#This Row],[Temperature_C]],2)&amp;"–"&amp;(FLOOR(FinalData[[#This Row],[Temperature_C]],2)+2)&amp;"°C"</f>
        <v>20–22°C</v>
      </c>
      <c r="H278">
        <v>4.07</v>
      </c>
      <c r="I278">
        <v>2026</v>
      </c>
      <c r="J278">
        <v>1</v>
      </c>
      <c r="K278">
        <v>12</v>
      </c>
      <c r="L278">
        <v>1</v>
      </c>
      <c r="M278">
        <v>12</v>
      </c>
      <c r="N278">
        <v>0.4</v>
      </c>
      <c r="O278">
        <v>0.33916666666666667</v>
      </c>
      <c r="P278" t="s">
        <v>42</v>
      </c>
    </row>
    <row r="279" spans="1:16" hidden="1" x14ac:dyDescent="0.25">
      <c r="A279" s="12">
        <v>46034.541666666664</v>
      </c>
      <c r="B279" t="s">
        <v>11</v>
      </c>
      <c r="C279" t="s">
        <v>31</v>
      </c>
      <c r="D279">
        <v>4</v>
      </c>
      <c r="E279">
        <v>30</v>
      </c>
      <c r="F279">
        <v>24.586338733586199</v>
      </c>
      <c r="G279" t="str">
        <f>FLOOR(FinalData[[#This Row],[Temperature_C]],2)&amp;"–"&amp;(FLOOR(FinalData[[#This Row],[Temperature_C]],2)+2)&amp;"°C"</f>
        <v>24–26°C</v>
      </c>
      <c r="H279">
        <v>2.1800000000000002</v>
      </c>
      <c r="I279">
        <v>2026</v>
      </c>
      <c r="J279">
        <v>1</v>
      </c>
      <c r="K279">
        <v>12</v>
      </c>
      <c r="L279">
        <v>1</v>
      </c>
      <c r="M279">
        <v>13</v>
      </c>
      <c r="N279">
        <v>0.13333333333333333</v>
      </c>
      <c r="O279">
        <v>0.54500000000000004</v>
      </c>
      <c r="P279" t="s">
        <v>42</v>
      </c>
    </row>
    <row r="280" spans="1:16" hidden="1" x14ac:dyDescent="0.25">
      <c r="A280" s="12">
        <v>46034.583333333336</v>
      </c>
      <c r="B280" t="s">
        <v>11</v>
      </c>
      <c r="C280" t="s">
        <v>26</v>
      </c>
      <c r="D280">
        <v>6</v>
      </c>
      <c r="E280">
        <v>20</v>
      </c>
      <c r="F280">
        <v>24.580743792103419</v>
      </c>
      <c r="G280" t="str">
        <f>FLOOR(FinalData[[#This Row],[Temperature_C]],2)&amp;"–"&amp;(FLOOR(FinalData[[#This Row],[Temperature_C]],2)+2)&amp;"°C"</f>
        <v>24–26°C</v>
      </c>
      <c r="H280">
        <v>2.79</v>
      </c>
      <c r="I280">
        <v>2026</v>
      </c>
      <c r="J280">
        <v>1</v>
      </c>
      <c r="K280">
        <v>12</v>
      </c>
      <c r="L280">
        <v>1</v>
      </c>
      <c r="M280">
        <v>14</v>
      </c>
      <c r="N280">
        <v>0.3</v>
      </c>
      <c r="O280">
        <v>0.46500000000000002</v>
      </c>
      <c r="P280" t="s">
        <v>42</v>
      </c>
    </row>
    <row r="281" spans="1:16" hidden="1" x14ac:dyDescent="0.25">
      <c r="A281" s="12">
        <v>46034.625</v>
      </c>
      <c r="B281" t="s">
        <v>13</v>
      </c>
      <c r="C281" t="s">
        <v>10</v>
      </c>
      <c r="D281">
        <v>8</v>
      </c>
      <c r="E281">
        <v>25</v>
      </c>
      <c r="F281">
        <v>25.097939885182338</v>
      </c>
      <c r="G281" t="str">
        <f>FLOOR(FinalData[[#This Row],[Temperature_C]],2)&amp;"–"&amp;(FLOOR(FinalData[[#This Row],[Temperature_C]],2)+2)&amp;"°C"</f>
        <v>24–26°C</v>
      </c>
      <c r="H281">
        <v>3.12</v>
      </c>
      <c r="I281">
        <v>2026</v>
      </c>
      <c r="J281">
        <v>1</v>
      </c>
      <c r="K281">
        <v>12</v>
      </c>
      <c r="L281">
        <v>1</v>
      </c>
      <c r="M281">
        <v>15</v>
      </c>
      <c r="N281">
        <v>0.32</v>
      </c>
      <c r="O281">
        <v>0.39</v>
      </c>
      <c r="P281" t="s">
        <v>42</v>
      </c>
    </row>
    <row r="282" spans="1:16" hidden="1" x14ac:dyDescent="0.25">
      <c r="A282" s="12">
        <v>46034.666666666664</v>
      </c>
      <c r="B282" t="s">
        <v>11</v>
      </c>
      <c r="C282" t="s">
        <v>28</v>
      </c>
      <c r="D282">
        <v>11</v>
      </c>
      <c r="E282">
        <v>40</v>
      </c>
      <c r="F282">
        <v>20.198652017762871</v>
      </c>
      <c r="G282" t="str">
        <f>FLOOR(FinalData[[#This Row],[Temperature_C]],2)&amp;"–"&amp;(FLOOR(FinalData[[#This Row],[Temperature_C]],2)+2)&amp;"°C"</f>
        <v>20–22°C</v>
      </c>
      <c r="H282">
        <v>3.82</v>
      </c>
      <c r="I282">
        <v>2026</v>
      </c>
      <c r="J282">
        <v>1</v>
      </c>
      <c r="K282">
        <v>12</v>
      </c>
      <c r="L282">
        <v>1</v>
      </c>
      <c r="M282">
        <v>16</v>
      </c>
      <c r="N282">
        <v>0.27500000000000002</v>
      </c>
      <c r="O282">
        <v>0.34727272727272723</v>
      </c>
      <c r="P282" t="s">
        <v>42</v>
      </c>
    </row>
    <row r="283" spans="1:16" hidden="1" x14ac:dyDescent="0.25">
      <c r="A283" s="12">
        <v>46034.708333333336</v>
      </c>
      <c r="B283" t="s">
        <v>7</v>
      </c>
      <c r="C283" t="s">
        <v>16</v>
      </c>
      <c r="D283">
        <v>11</v>
      </c>
      <c r="E283">
        <v>20</v>
      </c>
      <c r="F283">
        <v>23.224209893649039</v>
      </c>
      <c r="G283" t="str">
        <f>FLOOR(FinalData[[#This Row],[Temperature_C]],2)&amp;"–"&amp;(FLOOR(FinalData[[#This Row],[Temperature_C]],2)+2)&amp;"°C"</f>
        <v>22–24°C</v>
      </c>
      <c r="H283">
        <v>4.26</v>
      </c>
      <c r="I283">
        <v>2026</v>
      </c>
      <c r="J283">
        <v>1</v>
      </c>
      <c r="K283">
        <v>12</v>
      </c>
      <c r="L283">
        <v>1</v>
      </c>
      <c r="M283">
        <v>17</v>
      </c>
      <c r="N283">
        <v>0.55000000000000004</v>
      </c>
      <c r="O283">
        <v>0.38727272727272727</v>
      </c>
      <c r="P283" t="s">
        <v>43</v>
      </c>
    </row>
    <row r="284" spans="1:16" hidden="1" x14ac:dyDescent="0.25">
      <c r="A284" s="12">
        <v>46034.75</v>
      </c>
      <c r="B284" t="s">
        <v>11</v>
      </c>
      <c r="C284" t="s">
        <v>16</v>
      </c>
      <c r="D284">
        <v>2</v>
      </c>
      <c r="E284">
        <v>30</v>
      </c>
      <c r="F284">
        <v>21.580840290501651</v>
      </c>
      <c r="G284" t="str">
        <f>FLOOR(FinalData[[#This Row],[Temperature_C]],2)&amp;"–"&amp;(FLOOR(FinalData[[#This Row],[Temperature_C]],2)+2)&amp;"°C"</f>
        <v>20–22°C</v>
      </c>
      <c r="H284">
        <v>0.99</v>
      </c>
      <c r="I284">
        <v>2026</v>
      </c>
      <c r="J284">
        <v>1</v>
      </c>
      <c r="K284">
        <v>12</v>
      </c>
      <c r="L284">
        <v>1</v>
      </c>
      <c r="M284">
        <v>18</v>
      </c>
      <c r="N284">
        <v>6.6666666666666666E-2</v>
      </c>
      <c r="O284">
        <v>0.495</v>
      </c>
      <c r="P284" t="s">
        <v>43</v>
      </c>
    </row>
    <row r="285" spans="1:16" hidden="1" x14ac:dyDescent="0.25">
      <c r="A285" s="12">
        <v>46034.791666666664</v>
      </c>
      <c r="B285" t="s">
        <v>9</v>
      </c>
      <c r="C285" t="s">
        <v>17</v>
      </c>
      <c r="D285">
        <v>5</v>
      </c>
      <c r="E285">
        <v>20</v>
      </c>
      <c r="F285">
        <v>20.244764998491529</v>
      </c>
      <c r="G285" t="str">
        <f>FLOOR(FinalData[[#This Row],[Temperature_C]],2)&amp;"–"&amp;(FLOOR(FinalData[[#This Row],[Temperature_C]],2)+2)&amp;"°C"</f>
        <v>20–22°C</v>
      </c>
      <c r="H285">
        <v>2.14</v>
      </c>
      <c r="I285">
        <v>2026</v>
      </c>
      <c r="J285">
        <v>1</v>
      </c>
      <c r="K285">
        <v>12</v>
      </c>
      <c r="L285">
        <v>1</v>
      </c>
      <c r="M285">
        <v>19</v>
      </c>
      <c r="N285">
        <v>0.25</v>
      </c>
      <c r="O285">
        <v>0.42800000000000005</v>
      </c>
      <c r="P285" t="s">
        <v>43</v>
      </c>
    </row>
    <row r="286" spans="1:16" hidden="1" x14ac:dyDescent="0.25">
      <c r="A286" s="12">
        <v>46034.833333333336</v>
      </c>
      <c r="B286" t="s">
        <v>9</v>
      </c>
      <c r="C286" t="s">
        <v>25</v>
      </c>
      <c r="D286">
        <v>10</v>
      </c>
      <c r="E286">
        <v>30</v>
      </c>
      <c r="F286">
        <v>25.030456183330141</v>
      </c>
      <c r="G286" t="str">
        <f>FLOOR(FinalData[[#This Row],[Temperature_C]],2)&amp;"–"&amp;(FLOOR(FinalData[[#This Row],[Temperature_C]],2)+2)&amp;"°C"</f>
        <v>24–26°C</v>
      </c>
      <c r="H286">
        <v>3.68</v>
      </c>
      <c r="I286">
        <v>2026</v>
      </c>
      <c r="J286">
        <v>1</v>
      </c>
      <c r="K286">
        <v>12</v>
      </c>
      <c r="L286">
        <v>1</v>
      </c>
      <c r="M286">
        <v>20</v>
      </c>
      <c r="N286">
        <v>0.33333333333333331</v>
      </c>
      <c r="O286">
        <v>0.36799999999999999</v>
      </c>
      <c r="P286" t="s">
        <v>43</v>
      </c>
    </row>
    <row r="287" spans="1:16" hidden="1" x14ac:dyDescent="0.25">
      <c r="A287" s="12">
        <v>46034.875</v>
      </c>
      <c r="B287" t="s">
        <v>13</v>
      </c>
      <c r="C287" t="s">
        <v>8</v>
      </c>
      <c r="D287">
        <v>6</v>
      </c>
      <c r="E287">
        <v>20</v>
      </c>
      <c r="F287">
        <v>21.008369210419541</v>
      </c>
      <c r="G287" t="str">
        <f>FLOOR(FinalData[[#This Row],[Temperature_C]],2)&amp;"–"&amp;(FLOOR(FinalData[[#This Row],[Temperature_C]],2)+2)&amp;"°C"</f>
        <v>20–22°C</v>
      </c>
      <c r="H287">
        <v>2.64</v>
      </c>
      <c r="I287">
        <v>2026</v>
      </c>
      <c r="J287">
        <v>1</v>
      </c>
      <c r="K287">
        <v>12</v>
      </c>
      <c r="L287">
        <v>1</v>
      </c>
      <c r="M287">
        <v>21</v>
      </c>
      <c r="N287">
        <v>0.3</v>
      </c>
      <c r="O287">
        <v>0.44</v>
      </c>
      <c r="P287" t="s">
        <v>40</v>
      </c>
    </row>
    <row r="288" spans="1:16" hidden="1" x14ac:dyDescent="0.25">
      <c r="A288" s="12">
        <v>46034.916666666664</v>
      </c>
      <c r="B288" t="s">
        <v>11</v>
      </c>
      <c r="C288" t="s">
        <v>28</v>
      </c>
      <c r="D288">
        <v>5</v>
      </c>
      <c r="E288">
        <v>40</v>
      </c>
      <c r="F288">
        <v>28.241586182059951</v>
      </c>
      <c r="G288" t="str">
        <f>FLOOR(FinalData[[#This Row],[Temperature_C]],2)&amp;"–"&amp;(FLOOR(FinalData[[#This Row],[Temperature_C]],2)+2)&amp;"°C"</f>
        <v>28–30°C</v>
      </c>
      <c r="H288">
        <v>2.65</v>
      </c>
      <c r="I288">
        <v>2026</v>
      </c>
      <c r="J288">
        <v>1</v>
      </c>
      <c r="K288">
        <v>12</v>
      </c>
      <c r="L288">
        <v>1</v>
      </c>
      <c r="M288">
        <v>22</v>
      </c>
      <c r="N288">
        <v>0.125</v>
      </c>
      <c r="O288">
        <v>0.53</v>
      </c>
      <c r="P288" t="s">
        <v>40</v>
      </c>
    </row>
    <row r="289" spans="1:16" hidden="1" x14ac:dyDescent="0.25">
      <c r="A289" s="12">
        <v>46034.958333333336</v>
      </c>
      <c r="B289" t="s">
        <v>11</v>
      </c>
      <c r="C289" t="s">
        <v>30</v>
      </c>
      <c r="D289">
        <v>7</v>
      </c>
      <c r="E289">
        <v>20</v>
      </c>
      <c r="F289">
        <v>22.893758693964909</v>
      </c>
      <c r="G289" t="str">
        <f>FLOOR(FinalData[[#This Row],[Temperature_C]],2)&amp;"–"&amp;(FLOOR(FinalData[[#This Row],[Temperature_C]],2)+2)&amp;"°C"</f>
        <v>22–24°C</v>
      </c>
      <c r="H289">
        <v>3.05</v>
      </c>
      <c r="I289">
        <v>2026</v>
      </c>
      <c r="J289">
        <v>1</v>
      </c>
      <c r="K289">
        <v>12</v>
      </c>
      <c r="L289">
        <v>1</v>
      </c>
      <c r="M289">
        <v>23</v>
      </c>
      <c r="N289">
        <v>0.35</v>
      </c>
      <c r="O289">
        <v>0.43571428571428567</v>
      </c>
      <c r="P289" t="s">
        <v>40</v>
      </c>
    </row>
    <row r="290" spans="1:16" hidden="1" x14ac:dyDescent="0.25">
      <c r="A290" s="12">
        <v>46035</v>
      </c>
      <c r="B290" t="s">
        <v>11</v>
      </c>
      <c r="C290" t="s">
        <v>23</v>
      </c>
      <c r="D290">
        <v>8</v>
      </c>
      <c r="E290">
        <v>20</v>
      </c>
      <c r="F290">
        <v>22.448595614158268</v>
      </c>
      <c r="G290" t="str">
        <f>FLOOR(FinalData[[#This Row],[Temperature_C]],2)&amp;"–"&amp;(FLOOR(FinalData[[#This Row],[Temperature_C]],2)+2)&amp;"°C"</f>
        <v>22–24°C</v>
      </c>
      <c r="H290">
        <v>3.15</v>
      </c>
      <c r="I290">
        <v>2026</v>
      </c>
      <c r="J290">
        <v>1</v>
      </c>
      <c r="K290">
        <v>13</v>
      </c>
      <c r="L290">
        <v>2</v>
      </c>
      <c r="M290">
        <v>0</v>
      </c>
      <c r="N290">
        <v>0.4</v>
      </c>
      <c r="O290">
        <v>0.39374999999999999</v>
      </c>
      <c r="P290" t="s">
        <v>40</v>
      </c>
    </row>
    <row r="291" spans="1:16" hidden="1" x14ac:dyDescent="0.25">
      <c r="A291" s="12">
        <v>46035.041666666664</v>
      </c>
      <c r="B291" t="s">
        <v>7</v>
      </c>
      <c r="C291" t="s">
        <v>17</v>
      </c>
      <c r="D291">
        <v>7</v>
      </c>
      <c r="E291">
        <v>20</v>
      </c>
      <c r="F291">
        <v>20.844256377245621</v>
      </c>
      <c r="G291" t="str">
        <f>FLOOR(FinalData[[#This Row],[Temperature_C]],2)&amp;"–"&amp;(FLOOR(FinalData[[#This Row],[Temperature_C]],2)+2)&amp;"°C"</f>
        <v>20–22°C</v>
      </c>
      <c r="H291">
        <v>2.52</v>
      </c>
      <c r="I291">
        <v>2026</v>
      </c>
      <c r="J291">
        <v>1</v>
      </c>
      <c r="K291">
        <v>13</v>
      </c>
      <c r="L291">
        <v>2</v>
      </c>
      <c r="M291">
        <v>1</v>
      </c>
      <c r="N291">
        <v>0.35</v>
      </c>
      <c r="O291">
        <v>0.36</v>
      </c>
      <c r="P291" t="s">
        <v>40</v>
      </c>
    </row>
    <row r="292" spans="1:16" hidden="1" x14ac:dyDescent="0.25">
      <c r="A292" s="12">
        <v>46035.083333333336</v>
      </c>
      <c r="B292" t="s">
        <v>7</v>
      </c>
      <c r="C292" t="s">
        <v>24</v>
      </c>
      <c r="D292">
        <v>8</v>
      </c>
      <c r="E292">
        <v>30</v>
      </c>
      <c r="F292">
        <v>24.303043982679011</v>
      </c>
      <c r="G292" t="str">
        <f>FLOOR(FinalData[[#This Row],[Temperature_C]],2)&amp;"–"&amp;(FLOOR(FinalData[[#This Row],[Temperature_C]],2)+2)&amp;"°C"</f>
        <v>24–26°C</v>
      </c>
      <c r="H292">
        <v>2.8</v>
      </c>
      <c r="I292">
        <v>2026</v>
      </c>
      <c r="J292">
        <v>1</v>
      </c>
      <c r="K292">
        <v>13</v>
      </c>
      <c r="L292">
        <v>2</v>
      </c>
      <c r="M292">
        <v>2</v>
      </c>
      <c r="N292">
        <v>0.26666666666666666</v>
      </c>
      <c r="O292">
        <v>0.35</v>
      </c>
      <c r="P292" t="s">
        <v>40</v>
      </c>
    </row>
    <row r="293" spans="1:16" hidden="1" x14ac:dyDescent="0.25">
      <c r="A293" s="12">
        <v>46035.125</v>
      </c>
      <c r="B293" t="s">
        <v>13</v>
      </c>
      <c r="C293" t="s">
        <v>14</v>
      </c>
      <c r="D293">
        <v>5</v>
      </c>
      <c r="E293">
        <v>30</v>
      </c>
      <c r="F293">
        <v>23.91456080923048</v>
      </c>
      <c r="G293" t="str">
        <f>FLOOR(FinalData[[#This Row],[Temperature_C]],2)&amp;"–"&amp;(FLOOR(FinalData[[#This Row],[Temperature_C]],2)+2)&amp;"°C"</f>
        <v>22–24°C</v>
      </c>
      <c r="H293">
        <v>2.77</v>
      </c>
      <c r="I293">
        <v>2026</v>
      </c>
      <c r="J293">
        <v>1</v>
      </c>
      <c r="K293">
        <v>13</v>
      </c>
      <c r="L293">
        <v>2</v>
      </c>
      <c r="M293">
        <v>3</v>
      </c>
      <c r="N293">
        <v>0.16666666666666666</v>
      </c>
      <c r="O293">
        <v>0.55400000000000005</v>
      </c>
      <c r="P293" t="s">
        <v>40</v>
      </c>
    </row>
    <row r="294" spans="1:16" hidden="1" x14ac:dyDescent="0.25">
      <c r="A294" s="12">
        <v>46035.166666666664</v>
      </c>
      <c r="B294" t="s">
        <v>9</v>
      </c>
      <c r="C294" t="s">
        <v>30</v>
      </c>
      <c r="D294">
        <v>10</v>
      </c>
      <c r="E294">
        <v>25</v>
      </c>
      <c r="F294">
        <v>23.712005258450048</v>
      </c>
      <c r="G294" t="str">
        <f>FLOOR(FinalData[[#This Row],[Temperature_C]],2)&amp;"–"&amp;(FLOOR(FinalData[[#This Row],[Temperature_C]],2)+2)&amp;"°C"</f>
        <v>22–24°C</v>
      </c>
      <c r="H294">
        <v>3.62</v>
      </c>
      <c r="I294">
        <v>2026</v>
      </c>
      <c r="J294">
        <v>1</v>
      </c>
      <c r="K294">
        <v>13</v>
      </c>
      <c r="L294">
        <v>2</v>
      </c>
      <c r="M294">
        <v>4</v>
      </c>
      <c r="N294">
        <v>0.4</v>
      </c>
      <c r="O294">
        <v>0.36199999999999999</v>
      </c>
      <c r="P294" t="s">
        <v>40</v>
      </c>
    </row>
    <row r="295" spans="1:16" hidden="1" x14ac:dyDescent="0.25">
      <c r="A295" s="12">
        <v>46035.208333333336</v>
      </c>
      <c r="B295" t="s">
        <v>7</v>
      </c>
      <c r="C295" t="s">
        <v>30</v>
      </c>
      <c r="D295">
        <v>10</v>
      </c>
      <c r="E295">
        <v>40</v>
      </c>
      <c r="F295">
        <v>20.820733925315221</v>
      </c>
      <c r="G295" t="str">
        <f>FLOOR(FinalData[[#This Row],[Temperature_C]],2)&amp;"–"&amp;(FLOOR(FinalData[[#This Row],[Temperature_C]],2)+2)&amp;"°C"</f>
        <v>20–22°C</v>
      </c>
      <c r="H295">
        <v>3.24</v>
      </c>
      <c r="I295">
        <v>2026</v>
      </c>
      <c r="J295">
        <v>1</v>
      </c>
      <c r="K295">
        <v>13</v>
      </c>
      <c r="L295">
        <v>2</v>
      </c>
      <c r="M295">
        <v>5</v>
      </c>
      <c r="N295">
        <v>0.25</v>
      </c>
      <c r="O295">
        <v>0.32400000000000001</v>
      </c>
      <c r="P295" t="s">
        <v>40</v>
      </c>
    </row>
    <row r="296" spans="1:16" hidden="1" x14ac:dyDescent="0.25">
      <c r="A296" s="12">
        <v>46035.25</v>
      </c>
      <c r="B296" t="s">
        <v>18</v>
      </c>
      <c r="C296" t="s">
        <v>26</v>
      </c>
      <c r="D296">
        <v>7</v>
      </c>
      <c r="E296">
        <v>30</v>
      </c>
      <c r="F296">
        <v>24.021584177055189</v>
      </c>
      <c r="G296" t="str">
        <f>FLOOR(FinalData[[#This Row],[Temperature_C]],2)&amp;"–"&amp;(FLOOR(FinalData[[#This Row],[Temperature_C]],2)+2)&amp;"°C"</f>
        <v>24–26°C</v>
      </c>
      <c r="H296">
        <v>3.16</v>
      </c>
      <c r="I296">
        <v>2026</v>
      </c>
      <c r="J296">
        <v>1</v>
      </c>
      <c r="K296">
        <v>13</v>
      </c>
      <c r="L296">
        <v>2</v>
      </c>
      <c r="M296">
        <v>6</v>
      </c>
      <c r="N296">
        <v>0.23333333333333334</v>
      </c>
      <c r="O296">
        <v>0.45142857142857146</v>
      </c>
      <c r="P296" t="s">
        <v>40</v>
      </c>
    </row>
    <row r="297" spans="1:16" hidden="1" x14ac:dyDescent="0.25">
      <c r="A297" s="12">
        <v>46035.291666666664</v>
      </c>
      <c r="B297" t="s">
        <v>13</v>
      </c>
      <c r="C297" t="s">
        <v>15</v>
      </c>
      <c r="D297">
        <v>9</v>
      </c>
      <c r="E297">
        <v>30</v>
      </c>
      <c r="F297">
        <v>23.92641258419825</v>
      </c>
      <c r="G297" t="str">
        <f>FLOOR(FinalData[[#This Row],[Temperature_C]],2)&amp;"–"&amp;(FLOOR(FinalData[[#This Row],[Temperature_C]],2)+2)&amp;"°C"</f>
        <v>22–24°C</v>
      </c>
      <c r="H297">
        <v>2.93</v>
      </c>
      <c r="I297">
        <v>2026</v>
      </c>
      <c r="J297">
        <v>1</v>
      </c>
      <c r="K297">
        <v>13</v>
      </c>
      <c r="L297">
        <v>2</v>
      </c>
      <c r="M297">
        <v>7</v>
      </c>
      <c r="N297">
        <v>0.3</v>
      </c>
      <c r="O297">
        <v>0.3255555555555556</v>
      </c>
      <c r="P297" t="s">
        <v>41</v>
      </c>
    </row>
    <row r="298" spans="1:16" hidden="1" x14ac:dyDescent="0.25">
      <c r="A298" s="12">
        <v>46035.333333333336</v>
      </c>
      <c r="B298" t="s">
        <v>13</v>
      </c>
      <c r="C298" t="s">
        <v>17</v>
      </c>
      <c r="D298">
        <v>9</v>
      </c>
      <c r="E298">
        <v>40</v>
      </c>
      <c r="F298">
        <v>23.699300094599391</v>
      </c>
      <c r="G298" t="str">
        <f>FLOOR(FinalData[[#This Row],[Temperature_C]],2)&amp;"–"&amp;(FLOOR(FinalData[[#This Row],[Temperature_C]],2)+2)&amp;"°C"</f>
        <v>22–24°C</v>
      </c>
      <c r="H298">
        <v>2.84</v>
      </c>
      <c r="I298">
        <v>2026</v>
      </c>
      <c r="J298">
        <v>1</v>
      </c>
      <c r="K298">
        <v>13</v>
      </c>
      <c r="L298">
        <v>2</v>
      </c>
      <c r="M298">
        <v>8</v>
      </c>
      <c r="N298">
        <v>0.22500000000000001</v>
      </c>
      <c r="O298">
        <v>0.31555555555555553</v>
      </c>
      <c r="P298" t="s">
        <v>41</v>
      </c>
    </row>
    <row r="299" spans="1:16" hidden="1" x14ac:dyDescent="0.25">
      <c r="A299" s="12">
        <v>46035.375</v>
      </c>
      <c r="B299" t="s">
        <v>13</v>
      </c>
      <c r="C299" t="s">
        <v>16</v>
      </c>
      <c r="D299">
        <v>11</v>
      </c>
      <c r="E299">
        <v>30</v>
      </c>
      <c r="F299">
        <v>24.513577359973969</v>
      </c>
      <c r="G299" t="str">
        <f>FLOOR(FinalData[[#This Row],[Temperature_C]],2)&amp;"–"&amp;(FLOOR(FinalData[[#This Row],[Temperature_C]],2)+2)&amp;"°C"</f>
        <v>24–26°C</v>
      </c>
      <c r="H299">
        <v>4.1100000000000003</v>
      </c>
      <c r="I299">
        <v>2026</v>
      </c>
      <c r="J299">
        <v>1</v>
      </c>
      <c r="K299">
        <v>13</v>
      </c>
      <c r="L299">
        <v>2</v>
      </c>
      <c r="M299">
        <v>9</v>
      </c>
      <c r="N299">
        <v>0.36666666666666664</v>
      </c>
      <c r="O299">
        <v>0.37363636363636366</v>
      </c>
      <c r="P299" t="s">
        <v>41</v>
      </c>
    </row>
    <row r="300" spans="1:16" hidden="1" x14ac:dyDescent="0.25">
      <c r="A300" s="12">
        <v>46035.416666666664</v>
      </c>
      <c r="B300" t="s">
        <v>13</v>
      </c>
      <c r="C300" t="s">
        <v>25</v>
      </c>
      <c r="D300">
        <v>6</v>
      </c>
      <c r="E300">
        <v>20</v>
      </c>
      <c r="F300">
        <v>25.42959411378877</v>
      </c>
      <c r="G300" t="str">
        <f>FLOOR(FinalData[[#This Row],[Temperature_C]],2)&amp;"–"&amp;(FLOOR(FinalData[[#This Row],[Temperature_C]],2)+2)&amp;"°C"</f>
        <v>24–26°C</v>
      </c>
      <c r="H300">
        <v>2.64</v>
      </c>
      <c r="I300">
        <v>2026</v>
      </c>
      <c r="J300">
        <v>1</v>
      </c>
      <c r="K300">
        <v>13</v>
      </c>
      <c r="L300">
        <v>2</v>
      </c>
      <c r="M300">
        <v>10</v>
      </c>
      <c r="N300">
        <v>0.3</v>
      </c>
      <c r="O300">
        <v>0.44</v>
      </c>
      <c r="P300" t="s">
        <v>41</v>
      </c>
    </row>
    <row r="301" spans="1:16" hidden="1" x14ac:dyDescent="0.25">
      <c r="A301" s="12">
        <v>46035.458333333336</v>
      </c>
      <c r="B301" t="s">
        <v>9</v>
      </c>
      <c r="C301" t="s">
        <v>29</v>
      </c>
      <c r="D301">
        <v>5</v>
      </c>
      <c r="E301">
        <v>25</v>
      </c>
      <c r="F301">
        <v>25.669806495686888</v>
      </c>
      <c r="G301" t="str">
        <f>FLOOR(FinalData[[#This Row],[Temperature_C]],2)&amp;"–"&amp;(FLOOR(FinalData[[#This Row],[Temperature_C]],2)+2)&amp;"°C"</f>
        <v>24–26°C</v>
      </c>
      <c r="H301">
        <v>2.79</v>
      </c>
      <c r="I301">
        <v>2026</v>
      </c>
      <c r="J301">
        <v>1</v>
      </c>
      <c r="K301">
        <v>13</v>
      </c>
      <c r="L301">
        <v>2</v>
      </c>
      <c r="M301">
        <v>11</v>
      </c>
      <c r="N301">
        <v>0.2</v>
      </c>
      <c r="O301">
        <v>0.55800000000000005</v>
      </c>
      <c r="P301" t="s">
        <v>41</v>
      </c>
    </row>
    <row r="302" spans="1:16" hidden="1" x14ac:dyDescent="0.25">
      <c r="A302" s="12">
        <v>46035.5</v>
      </c>
      <c r="B302" t="s">
        <v>11</v>
      </c>
      <c r="C302" t="s">
        <v>12</v>
      </c>
      <c r="D302">
        <v>12</v>
      </c>
      <c r="E302">
        <v>20</v>
      </c>
      <c r="F302">
        <v>23.999728247480739</v>
      </c>
      <c r="G302" t="str">
        <f>FLOOR(FinalData[[#This Row],[Temperature_C]],2)&amp;"–"&amp;(FLOOR(FinalData[[#This Row],[Temperature_C]],2)+2)&amp;"°C"</f>
        <v>22–24°C</v>
      </c>
      <c r="H302">
        <v>3.68</v>
      </c>
      <c r="I302">
        <v>2026</v>
      </c>
      <c r="J302">
        <v>1</v>
      </c>
      <c r="K302">
        <v>13</v>
      </c>
      <c r="L302">
        <v>2</v>
      </c>
      <c r="M302">
        <v>12</v>
      </c>
      <c r="N302">
        <v>0.6</v>
      </c>
      <c r="O302">
        <v>0.3066666666666667</v>
      </c>
      <c r="P302" t="s">
        <v>42</v>
      </c>
    </row>
    <row r="303" spans="1:16" hidden="1" x14ac:dyDescent="0.25">
      <c r="A303" s="12">
        <v>46035.541666666664</v>
      </c>
      <c r="B303" t="s">
        <v>18</v>
      </c>
      <c r="C303" t="s">
        <v>19</v>
      </c>
      <c r="D303">
        <v>12</v>
      </c>
      <c r="E303">
        <v>30</v>
      </c>
      <c r="F303">
        <v>25.379030085330079</v>
      </c>
      <c r="G303" t="str">
        <f>FLOOR(FinalData[[#This Row],[Temperature_C]],2)&amp;"–"&amp;(FLOOR(FinalData[[#This Row],[Temperature_C]],2)+2)&amp;"°C"</f>
        <v>24–26°C</v>
      </c>
      <c r="H303">
        <v>4.66</v>
      </c>
      <c r="I303">
        <v>2026</v>
      </c>
      <c r="J303">
        <v>1</v>
      </c>
      <c r="K303">
        <v>13</v>
      </c>
      <c r="L303">
        <v>2</v>
      </c>
      <c r="M303">
        <v>13</v>
      </c>
      <c r="N303">
        <v>0.4</v>
      </c>
      <c r="O303">
        <v>0.38833333333333336</v>
      </c>
      <c r="P303" t="s">
        <v>42</v>
      </c>
    </row>
    <row r="304" spans="1:16" hidden="1" x14ac:dyDescent="0.25">
      <c r="A304" s="12">
        <v>46035.583333333336</v>
      </c>
      <c r="B304" t="s">
        <v>9</v>
      </c>
      <c r="C304" t="s">
        <v>25</v>
      </c>
      <c r="D304">
        <v>9</v>
      </c>
      <c r="E304">
        <v>30</v>
      </c>
      <c r="F304">
        <v>20.58799959785506</v>
      </c>
      <c r="G304" t="str">
        <f>FLOOR(FinalData[[#This Row],[Temperature_C]],2)&amp;"–"&amp;(FLOOR(FinalData[[#This Row],[Temperature_C]],2)+2)&amp;"°C"</f>
        <v>20–22°C</v>
      </c>
      <c r="H304">
        <v>3.37</v>
      </c>
      <c r="I304">
        <v>2026</v>
      </c>
      <c r="J304">
        <v>1</v>
      </c>
      <c r="K304">
        <v>13</v>
      </c>
      <c r="L304">
        <v>2</v>
      </c>
      <c r="M304">
        <v>14</v>
      </c>
      <c r="N304">
        <v>0.3</v>
      </c>
      <c r="O304">
        <v>0.37444444444444447</v>
      </c>
      <c r="P304" t="s">
        <v>42</v>
      </c>
    </row>
    <row r="305" spans="1:16" hidden="1" x14ac:dyDescent="0.25">
      <c r="A305" s="12">
        <v>46035.625</v>
      </c>
      <c r="B305" t="s">
        <v>18</v>
      </c>
      <c r="C305" t="s">
        <v>24</v>
      </c>
      <c r="D305">
        <v>7</v>
      </c>
      <c r="E305">
        <v>25</v>
      </c>
      <c r="F305">
        <v>24.69303618345468</v>
      </c>
      <c r="G305" t="str">
        <f>FLOOR(FinalData[[#This Row],[Temperature_C]],2)&amp;"–"&amp;(FLOOR(FinalData[[#This Row],[Temperature_C]],2)+2)&amp;"°C"</f>
        <v>24–26°C</v>
      </c>
      <c r="H305">
        <v>3.1</v>
      </c>
      <c r="I305">
        <v>2026</v>
      </c>
      <c r="J305">
        <v>1</v>
      </c>
      <c r="K305">
        <v>13</v>
      </c>
      <c r="L305">
        <v>2</v>
      </c>
      <c r="M305">
        <v>15</v>
      </c>
      <c r="N305">
        <v>0.28000000000000003</v>
      </c>
      <c r="O305">
        <v>0.44285714285714289</v>
      </c>
      <c r="P305" t="s">
        <v>42</v>
      </c>
    </row>
    <row r="306" spans="1:16" hidden="1" x14ac:dyDescent="0.25">
      <c r="A306" s="12">
        <v>46035.666666666664</v>
      </c>
      <c r="B306" t="s">
        <v>11</v>
      </c>
      <c r="C306" t="s">
        <v>31</v>
      </c>
      <c r="D306">
        <v>11</v>
      </c>
      <c r="E306">
        <v>20</v>
      </c>
      <c r="F306">
        <v>21.38512919706077</v>
      </c>
      <c r="G306" t="str">
        <f>FLOOR(FinalData[[#This Row],[Temperature_C]],2)&amp;"–"&amp;(FLOOR(FinalData[[#This Row],[Temperature_C]],2)+2)&amp;"°C"</f>
        <v>20–22°C</v>
      </c>
      <c r="H306">
        <v>3.6</v>
      </c>
      <c r="I306">
        <v>2026</v>
      </c>
      <c r="J306">
        <v>1</v>
      </c>
      <c r="K306">
        <v>13</v>
      </c>
      <c r="L306">
        <v>2</v>
      </c>
      <c r="M306">
        <v>16</v>
      </c>
      <c r="N306">
        <v>0.55000000000000004</v>
      </c>
      <c r="O306">
        <v>0.32727272727272727</v>
      </c>
      <c r="P306" t="s">
        <v>42</v>
      </c>
    </row>
    <row r="307" spans="1:16" hidden="1" x14ac:dyDescent="0.25">
      <c r="A307" s="12">
        <v>46035.708333333336</v>
      </c>
      <c r="B307" t="s">
        <v>18</v>
      </c>
      <c r="C307" t="s">
        <v>24</v>
      </c>
      <c r="D307">
        <v>12</v>
      </c>
      <c r="E307">
        <v>30</v>
      </c>
      <c r="F307">
        <v>23.506330476075959</v>
      </c>
      <c r="G307" t="str">
        <f>FLOOR(FinalData[[#This Row],[Temperature_C]],2)&amp;"–"&amp;(FLOOR(FinalData[[#This Row],[Temperature_C]],2)+2)&amp;"°C"</f>
        <v>22–24°C</v>
      </c>
      <c r="H307">
        <v>4.2699999999999996</v>
      </c>
      <c r="I307">
        <v>2026</v>
      </c>
      <c r="J307">
        <v>1</v>
      </c>
      <c r="K307">
        <v>13</v>
      </c>
      <c r="L307">
        <v>2</v>
      </c>
      <c r="M307">
        <v>17</v>
      </c>
      <c r="N307">
        <v>0.4</v>
      </c>
      <c r="O307">
        <v>0.35583333333333328</v>
      </c>
      <c r="P307" t="s">
        <v>43</v>
      </c>
    </row>
    <row r="308" spans="1:16" hidden="1" x14ac:dyDescent="0.25">
      <c r="A308" s="12">
        <v>46035.75</v>
      </c>
      <c r="B308" t="s">
        <v>18</v>
      </c>
      <c r="C308" t="s">
        <v>14</v>
      </c>
      <c r="D308">
        <v>10</v>
      </c>
      <c r="E308">
        <v>30</v>
      </c>
      <c r="F308">
        <v>21.66743159898019</v>
      </c>
      <c r="G308" t="str">
        <f>FLOOR(FinalData[[#This Row],[Temperature_C]],2)&amp;"–"&amp;(FLOOR(FinalData[[#This Row],[Temperature_C]],2)+2)&amp;"°C"</f>
        <v>20–22°C</v>
      </c>
      <c r="H308">
        <v>3.3</v>
      </c>
      <c r="I308">
        <v>2026</v>
      </c>
      <c r="J308">
        <v>1</v>
      </c>
      <c r="K308">
        <v>13</v>
      </c>
      <c r="L308">
        <v>2</v>
      </c>
      <c r="M308">
        <v>18</v>
      </c>
      <c r="N308">
        <v>0.33333333333333331</v>
      </c>
      <c r="O308">
        <v>0.32999999999999996</v>
      </c>
      <c r="P308" t="s">
        <v>43</v>
      </c>
    </row>
    <row r="309" spans="1:16" hidden="1" x14ac:dyDescent="0.25">
      <c r="A309" s="12">
        <v>46035.791666666664</v>
      </c>
      <c r="B309" t="s">
        <v>18</v>
      </c>
      <c r="C309" t="s">
        <v>26</v>
      </c>
      <c r="D309">
        <v>5</v>
      </c>
      <c r="E309">
        <v>25</v>
      </c>
      <c r="F309">
        <v>19.59557346783998</v>
      </c>
      <c r="G309" t="str">
        <f>FLOOR(FinalData[[#This Row],[Temperature_C]],2)&amp;"–"&amp;(FLOOR(FinalData[[#This Row],[Temperature_C]],2)+2)&amp;"°C"</f>
        <v>18–20°C</v>
      </c>
      <c r="H309">
        <v>2.27</v>
      </c>
      <c r="I309">
        <v>2026</v>
      </c>
      <c r="J309">
        <v>1</v>
      </c>
      <c r="K309">
        <v>13</v>
      </c>
      <c r="L309">
        <v>2</v>
      </c>
      <c r="M309">
        <v>19</v>
      </c>
      <c r="N309">
        <v>0.2</v>
      </c>
      <c r="O309">
        <v>0.45400000000000001</v>
      </c>
      <c r="P309" t="s">
        <v>43</v>
      </c>
    </row>
    <row r="310" spans="1:16" hidden="1" x14ac:dyDescent="0.25">
      <c r="A310" s="12">
        <v>46035.833333333336</v>
      </c>
      <c r="B310" t="s">
        <v>18</v>
      </c>
      <c r="C310" t="s">
        <v>23</v>
      </c>
      <c r="D310">
        <v>6</v>
      </c>
      <c r="E310">
        <v>20</v>
      </c>
      <c r="F310">
        <v>22.087758345051618</v>
      </c>
      <c r="G310" t="str">
        <f>FLOOR(FinalData[[#This Row],[Temperature_C]],2)&amp;"–"&amp;(FLOOR(FinalData[[#This Row],[Temperature_C]],2)+2)&amp;"°C"</f>
        <v>22–24°C</v>
      </c>
      <c r="H310">
        <v>2.37</v>
      </c>
      <c r="I310">
        <v>2026</v>
      </c>
      <c r="J310">
        <v>1</v>
      </c>
      <c r="K310">
        <v>13</v>
      </c>
      <c r="L310">
        <v>2</v>
      </c>
      <c r="M310">
        <v>20</v>
      </c>
      <c r="N310">
        <v>0.3</v>
      </c>
      <c r="O310">
        <v>0.39500000000000002</v>
      </c>
      <c r="P310" t="s">
        <v>43</v>
      </c>
    </row>
    <row r="311" spans="1:16" hidden="1" x14ac:dyDescent="0.25">
      <c r="A311" s="12">
        <v>46035.875</v>
      </c>
      <c r="B311" t="s">
        <v>9</v>
      </c>
      <c r="C311" t="s">
        <v>27</v>
      </c>
      <c r="D311">
        <v>6</v>
      </c>
      <c r="E311">
        <v>25</v>
      </c>
      <c r="F311">
        <v>19.163800798992419</v>
      </c>
      <c r="G311" t="str">
        <f>FLOOR(FinalData[[#This Row],[Temperature_C]],2)&amp;"–"&amp;(FLOOR(FinalData[[#This Row],[Temperature_C]],2)+2)&amp;"°C"</f>
        <v>18–20°C</v>
      </c>
      <c r="H311">
        <v>2.68</v>
      </c>
      <c r="I311">
        <v>2026</v>
      </c>
      <c r="J311">
        <v>1</v>
      </c>
      <c r="K311">
        <v>13</v>
      </c>
      <c r="L311">
        <v>2</v>
      </c>
      <c r="M311">
        <v>21</v>
      </c>
      <c r="N311">
        <v>0.24</v>
      </c>
      <c r="O311">
        <v>0.44666666666666671</v>
      </c>
      <c r="P311" t="s">
        <v>40</v>
      </c>
    </row>
    <row r="312" spans="1:16" hidden="1" x14ac:dyDescent="0.25">
      <c r="A312" s="12">
        <v>46035.916666666664</v>
      </c>
      <c r="B312" t="s">
        <v>11</v>
      </c>
      <c r="C312" t="s">
        <v>30</v>
      </c>
      <c r="D312">
        <v>8</v>
      </c>
      <c r="E312">
        <v>20</v>
      </c>
      <c r="F312">
        <v>22.838800501406482</v>
      </c>
      <c r="G312" t="str">
        <f>FLOOR(FinalData[[#This Row],[Temperature_C]],2)&amp;"–"&amp;(FLOOR(FinalData[[#This Row],[Temperature_C]],2)+2)&amp;"°C"</f>
        <v>22–24°C</v>
      </c>
      <c r="H312">
        <v>2.68</v>
      </c>
      <c r="I312">
        <v>2026</v>
      </c>
      <c r="J312">
        <v>1</v>
      </c>
      <c r="K312">
        <v>13</v>
      </c>
      <c r="L312">
        <v>2</v>
      </c>
      <c r="M312">
        <v>22</v>
      </c>
      <c r="N312">
        <v>0.4</v>
      </c>
      <c r="O312">
        <v>0.33500000000000002</v>
      </c>
      <c r="P312" t="s">
        <v>40</v>
      </c>
    </row>
    <row r="313" spans="1:16" hidden="1" x14ac:dyDescent="0.25">
      <c r="A313" s="12">
        <v>46035.958333333336</v>
      </c>
      <c r="B313" t="s">
        <v>13</v>
      </c>
      <c r="C313" t="s">
        <v>20</v>
      </c>
      <c r="D313">
        <v>10</v>
      </c>
      <c r="E313">
        <v>25</v>
      </c>
      <c r="F313">
        <v>25.44770639714746</v>
      </c>
      <c r="G313" t="str">
        <f>FLOOR(FinalData[[#This Row],[Temperature_C]],2)&amp;"–"&amp;(FLOOR(FinalData[[#This Row],[Temperature_C]],2)+2)&amp;"°C"</f>
        <v>24–26°C</v>
      </c>
      <c r="H313">
        <v>3.86</v>
      </c>
      <c r="I313">
        <v>2026</v>
      </c>
      <c r="J313">
        <v>1</v>
      </c>
      <c r="K313">
        <v>13</v>
      </c>
      <c r="L313">
        <v>2</v>
      </c>
      <c r="M313">
        <v>23</v>
      </c>
      <c r="N313">
        <v>0.4</v>
      </c>
      <c r="O313">
        <v>0.38600000000000001</v>
      </c>
      <c r="P313" t="s">
        <v>40</v>
      </c>
    </row>
    <row r="314" spans="1:16" hidden="1" x14ac:dyDescent="0.25">
      <c r="A314" s="12">
        <v>46036</v>
      </c>
      <c r="B314" t="s">
        <v>13</v>
      </c>
      <c r="C314" t="s">
        <v>19</v>
      </c>
      <c r="D314">
        <v>12</v>
      </c>
      <c r="E314">
        <v>30</v>
      </c>
      <c r="F314">
        <v>26.1257775370164</v>
      </c>
      <c r="G314" t="str">
        <f>FLOOR(FinalData[[#This Row],[Temperature_C]],2)&amp;"–"&amp;(FLOOR(FinalData[[#This Row],[Temperature_C]],2)+2)&amp;"°C"</f>
        <v>26–28°C</v>
      </c>
      <c r="H314">
        <v>4.34</v>
      </c>
      <c r="I314">
        <v>2026</v>
      </c>
      <c r="J314">
        <v>1</v>
      </c>
      <c r="K314">
        <v>14</v>
      </c>
      <c r="L314">
        <v>3</v>
      </c>
      <c r="M314">
        <v>0</v>
      </c>
      <c r="N314">
        <v>0.4</v>
      </c>
      <c r="O314">
        <v>0.36166666666666664</v>
      </c>
      <c r="P314" t="s">
        <v>40</v>
      </c>
    </row>
    <row r="315" spans="1:16" hidden="1" x14ac:dyDescent="0.25">
      <c r="A315" s="12">
        <v>46036.041666666664</v>
      </c>
      <c r="B315" t="s">
        <v>7</v>
      </c>
      <c r="C315" t="s">
        <v>17</v>
      </c>
      <c r="D315">
        <v>8</v>
      </c>
      <c r="E315">
        <v>20</v>
      </c>
      <c r="F315">
        <v>18.80664860286041</v>
      </c>
      <c r="G315" t="str">
        <f>FLOOR(FinalData[[#This Row],[Temperature_C]],2)&amp;"–"&amp;(FLOOR(FinalData[[#This Row],[Temperature_C]],2)+2)&amp;"°C"</f>
        <v>18–20°C</v>
      </c>
      <c r="H315">
        <v>3.54</v>
      </c>
      <c r="I315">
        <v>2026</v>
      </c>
      <c r="J315">
        <v>1</v>
      </c>
      <c r="K315">
        <v>14</v>
      </c>
      <c r="L315">
        <v>3</v>
      </c>
      <c r="M315">
        <v>1</v>
      </c>
      <c r="N315">
        <v>0.4</v>
      </c>
      <c r="O315">
        <v>0.4425</v>
      </c>
      <c r="P315" t="s">
        <v>40</v>
      </c>
    </row>
    <row r="316" spans="1:16" hidden="1" x14ac:dyDescent="0.25">
      <c r="A316" s="12">
        <v>46036.083333333336</v>
      </c>
      <c r="B316" t="s">
        <v>18</v>
      </c>
      <c r="C316" t="s">
        <v>16</v>
      </c>
      <c r="D316">
        <v>6</v>
      </c>
      <c r="E316">
        <v>40</v>
      </c>
      <c r="F316">
        <v>21.903462410149849</v>
      </c>
      <c r="G316" t="str">
        <f>FLOOR(FinalData[[#This Row],[Temperature_C]],2)&amp;"–"&amp;(FLOOR(FinalData[[#This Row],[Temperature_C]],2)+2)&amp;"°C"</f>
        <v>20–22°C</v>
      </c>
      <c r="H316">
        <v>2.56</v>
      </c>
      <c r="I316">
        <v>2026</v>
      </c>
      <c r="J316">
        <v>1</v>
      </c>
      <c r="K316">
        <v>14</v>
      </c>
      <c r="L316">
        <v>3</v>
      </c>
      <c r="M316">
        <v>2</v>
      </c>
      <c r="N316">
        <v>0.15</v>
      </c>
      <c r="O316">
        <v>0.42666666666666669</v>
      </c>
      <c r="P316" t="s">
        <v>40</v>
      </c>
    </row>
    <row r="317" spans="1:16" hidden="1" x14ac:dyDescent="0.25">
      <c r="A317" s="12">
        <v>46036.125</v>
      </c>
      <c r="B317" t="s">
        <v>13</v>
      </c>
      <c r="C317" t="s">
        <v>15</v>
      </c>
      <c r="D317">
        <v>9</v>
      </c>
      <c r="E317">
        <v>20</v>
      </c>
      <c r="F317">
        <v>21.937571410784798</v>
      </c>
      <c r="G317" t="str">
        <f>FLOOR(FinalData[[#This Row],[Temperature_C]],2)&amp;"–"&amp;(FLOOR(FinalData[[#This Row],[Temperature_C]],2)+2)&amp;"°C"</f>
        <v>20–22°C</v>
      </c>
      <c r="H317">
        <v>3.2</v>
      </c>
      <c r="I317">
        <v>2026</v>
      </c>
      <c r="J317">
        <v>1</v>
      </c>
      <c r="K317">
        <v>14</v>
      </c>
      <c r="L317">
        <v>3</v>
      </c>
      <c r="M317">
        <v>3</v>
      </c>
      <c r="N317">
        <v>0.45</v>
      </c>
      <c r="O317">
        <v>0.35555555555555557</v>
      </c>
      <c r="P317" t="s">
        <v>40</v>
      </c>
    </row>
    <row r="318" spans="1:16" hidden="1" x14ac:dyDescent="0.25">
      <c r="A318" s="12">
        <v>46036.166666666664</v>
      </c>
      <c r="B318" t="s">
        <v>13</v>
      </c>
      <c r="C318" t="s">
        <v>17</v>
      </c>
      <c r="D318">
        <v>6</v>
      </c>
      <c r="E318">
        <v>25</v>
      </c>
      <c r="F318">
        <v>23.592369609462029</v>
      </c>
      <c r="G318" t="str">
        <f>FLOOR(FinalData[[#This Row],[Temperature_C]],2)&amp;"–"&amp;(FLOOR(FinalData[[#This Row],[Temperature_C]],2)+2)&amp;"°C"</f>
        <v>22–24°C</v>
      </c>
      <c r="H318">
        <v>2.65</v>
      </c>
      <c r="I318">
        <v>2026</v>
      </c>
      <c r="J318">
        <v>1</v>
      </c>
      <c r="K318">
        <v>14</v>
      </c>
      <c r="L318">
        <v>3</v>
      </c>
      <c r="M318">
        <v>4</v>
      </c>
      <c r="N318">
        <v>0.24</v>
      </c>
      <c r="O318">
        <v>0.44166666666666665</v>
      </c>
      <c r="P318" t="s">
        <v>40</v>
      </c>
    </row>
    <row r="319" spans="1:16" hidden="1" x14ac:dyDescent="0.25">
      <c r="A319" s="12">
        <v>46036.208333333336</v>
      </c>
      <c r="B319" t="s">
        <v>18</v>
      </c>
      <c r="C319" t="s">
        <v>8</v>
      </c>
      <c r="D319">
        <v>8</v>
      </c>
      <c r="E319">
        <v>40</v>
      </c>
      <c r="F319">
        <v>21.126987250420811</v>
      </c>
      <c r="G319" t="str">
        <f>FLOOR(FinalData[[#This Row],[Temperature_C]],2)&amp;"–"&amp;(FLOOR(FinalData[[#This Row],[Temperature_C]],2)+2)&amp;"°C"</f>
        <v>20–22°C</v>
      </c>
      <c r="H319">
        <v>2.73</v>
      </c>
      <c r="I319">
        <v>2026</v>
      </c>
      <c r="J319">
        <v>1</v>
      </c>
      <c r="K319">
        <v>14</v>
      </c>
      <c r="L319">
        <v>3</v>
      </c>
      <c r="M319">
        <v>5</v>
      </c>
      <c r="N319">
        <v>0.2</v>
      </c>
      <c r="O319">
        <v>0.34125</v>
      </c>
      <c r="P319" t="s">
        <v>40</v>
      </c>
    </row>
    <row r="320" spans="1:16" hidden="1" x14ac:dyDescent="0.25">
      <c r="A320" s="12">
        <v>46036.25</v>
      </c>
      <c r="B320" t="s">
        <v>13</v>
      </c>
      <c r="C320" t="s">
        <v>16</v>
      </c>
      <c r="D320">
        <v>11</v>
      </c>
      <c r="E320">
        <v>30</v>
      </c>
      <c r="F320">
        <v>22.229956376574268</v>
      </c>
      <c r="G320" t="str">
        <f>FLOOR(FinalData[[#This Row],[Temperature_C]],2)&amp;"–"&amp;(FLOOR(FinalData[[#This Row],[Temperature_C]],2)+2)&amp;"°C"</f>
        <v>22–24°C</v>
      </c>
      <c r="H320">
        <v>3.7</v>
      </c>
      <c r="I320">
        <v>2026</v>
      </c>
      <c r="J320">
        <v>1</v>
      </c>
      <c r="K320">
        <v>14</v>
      </c>
      <c r="L320">
        <v>3</v>
      </c>
      <c r="M320">
        <v>6</v>
      </c>
      <c r="N320">
        <v>0.36666666666666664</v>
      </c>
      <c r="O320">
        <v>0.33636363636363636</v>
      </c>
      <c r="P320" t="s">
        <v>40</v>
      </c>
    </row>
    <row r="321" spans="1:16" hidden="1" x14ac:dyDescent="0.25">
      <c r="A321" s="12">
        <v>46036.291666666664</v>
      </c>
      <c r="B321" t="s">
        <v>7</v>
      </c>
      <c r="C321" t="s">
        <v>17</v>
      </c>
      <c r="D321">
        <v>6</v>
      </c>
      <c r="E321">
        <v>25</v>
      </c>
      <c r="F321">
        <v>21.698334548740071</v>
      </c>
      <c r="G321" t="str">
        <f>FLOOR(FinalData[[#This Row],[Temperature_C]],2)&amp;"–"&amp;(FLOOR(FinalData[[#This Row],[Temperature_C]],2)+2)&amp;"°C"</f>
        <v>20–22°C</v>
      </c>
      <c r="H321">
        <v>2.35</v>
      </c>
      <c r="I321">
        <v>2026</v>
      </c>
      <c r="J321">
        <v>1</v>
      </c>
      <c r="K321">
        <v>14</v>
      </c>
      <c r="L321">
        <v>3</v>
      </c>
      <c r="M321">
        <v>7</v>
      </c>
      <c r="N321">
        <v>0.24</v>
      </c>
      <c r="O321">
        <v>0.39166666666666666</v>
      </c>
      <c r="P321" t="s">
        <v>41</v>
      </c>
    </row>
    <row r="322" spans="1:16" x14ac:dyDescent="0.25">
      <c r="A322" s="12">
        <v>46036.333333333336</v>
      </c>
      <c r="B322" t="s">
        <v>11</v>
      </c>
      <c r="C322" t="s">
        <v>29</v>
      </c>
      <c r="D322">
        <v>5</v>
      </c>
      <c r="E322">
        <v>25</v>
      </c>
      <c r="F322">
        <v>19.893735893262338</v>
      </c>
      <c r="G322" t="str">
        <f>FLOOR(FinalData[[#This Row],[Temperature_C]],2)&amp;"–"&amp;(FLOOR(FinalData[[#This Row],[Temperature_C]],2)+2)&amp;"°C"</f>
        <v>18–20°C</v>
      </c>
      <c r="H322">
        <v>2.2799999999999998</v>
      </c>
      <c r="I322">
        <v>2026</v>
      </c>
      <c r="J322">
        <v>1</v>
      </c>
      <c r="K322">
        <v>14</v>
      </c>
      <c r="L322">
        <v>3</v>
      </c>
      <c r="M322">
        <v>8</v>
      </c>
      <c r="N322">
        <v>0.2</v>
      </c>
      <c r="O322">
        <v>0.45599999999999996</v>
      </c>
      <c r="P322" t="s">
        <v>41</v>
      </c>
    </row>
    <row r="323" spans="1:16" hidden="1" x14ac:dyDescent="0.25">
      <c r="A323" s="12">
        <v>46036.375</v>
      </c>
      <c r="B323" t="s">
        <v>7</v>
      </c>
      <c r="C323" t="s">
        <v>30</v>
      </c>
      <c r="D323">
        <v>5</v>
      </c>
      <c r="E323">
        <v>20</v>
      </c>
      <c r="F323">
        <v>25.442471320133919</v>
      </c>
      <c r="G323" t="str">
        <f>FLOOR(FinalData[[#This Row],[Temperature_C]],2)&amp;"–"&amp;(FLOOR(FinalData[[#This Row],[Temperature_C]],2)+2)&amp;"°C"</f>
        <v>24–26°C</v>
      </c>
      <c r="H323">
        <v>2.42</v>
      </c>
      <c r="I323">
        <v>2026</v>
      </c>
      <c r="J323">
        <v>1</v>
      </c>
      <c r="K323">
        <v>14</v>
      </c>
      <c r="L323">
        <v>3</v>
      </c>
      <c r="M323">
        <v>9</v>
      </c>
      <c r="N323">
        <v>0.25</v>
      </c>
      <c r="O323">
        <v>0.48399999999999999</v>
      </c>
      <c r="P323" t="s">
        <v>41</v>
      </c>
    </row>
    <row r="324" spans="1:16" x14ac:dyDescent="0.25">
      <c r="A324" s="12">
        <v>46036.416666666664</v>
      </c>
      <c r="B324" t="s">
        <v>11</v>
      </c>
      <c r="C324" t="s">
        <v>10</v>
      </c>
      <c r="D324">
        <v>9</v>
      </c>
      <c r="E324">
        <v>25</v>
      </c>
      <c r="F324">
        <v>26.067709882064349</v>
      </c>
      <c r="G324" t="str">
        <f>FLOOR(FinalData[[#This Row],[Temperature_C]],2)&amp;"–"&amp;(FLOOR(FinalData[[#This Row],[Temperature_C]],2)+2)&amp;"°C"</f>
        <v>26–28°C</v>
      </c>
      <c r="H324">
        <v>3.7</v>
      </c>
      <c r="I324">
        <v>2026</v>
      </c>
      <c r="J324">
        <v>1</v>
      </c>
      <c r="K324">
        <v>14</v>
      </c>
      <c r="L324">
        <v>3</v>
      </c>
      <c r="M324">
        <v>10</v>
      </c>
      <c r="N324">
        <v>0.36</v>
      </c>
      <c r="O324">
        <v>0.41111111111111115</v>
      </c>
      <c r="P324" t="s">
        <v>41</v>
      </c>
    </row>
    <row r="325" spans="1:16" hidden="1" x14ac:dyDescent="0.25">
      <c r="A325" s="12">
        <v>46036.458333333336</v>
      </c>
      <c r="B325" t="s">
        <v>7</v>
      </c>
      <c r="C325" t="s">
        <v>19</v>
      </c>
      <c r="D325">
        <v>7</v>
      </c>
      <c r="E325">
        <v>25</v>
      </c>
      <c r="F325">
        <v>20.655479094217</v>
      </c>
      <c r="G325" t="str">
        <f>FLOOR(FinalData[[#This Row],[Temperature_C]],2)&amp;"–"&amp;(FLOOR(FinalData[[#This Row],[Temperature_C]],2)+2)&amp;"°C"</f>
        <v>20–22°C</v>
      </c>
      <c r="H325">
        <v>3.1</v>
      </c>
      <c r="I325">
        <v>2026</v>
      </c>
      <c r="J325">
        <v>1</v>
      </c>
      <c r="K325">
        <v>14</v>
      </c>
      <c r="L325">
        <v>3</v>
      </c>
      <c r="M325">
        <v>11</v>
      </c>
      <c r="N325">
        <v>0.28000000000000003</v>
      </c>
      <c r="O325">
        <v>0.44285714285714289</v>
      </c>
      <c r="P325" t="s">
        <v>41</v>
      </c>
    </row>
    <row r="326" spans="1:16" hidden="1" x14ac:dyDescent="0.25">
      <c r="A326" s="12">
        <v>46036.5</v>
      </c>
      <c r="B326" t="s">
        <v>18</v>
      </c>
      <c r="C326" t="s">
        <v>29</v>
      </c>
      <c r="D326">
        <v>8</v>
      </c>
      <c r="E326">
        <v>20</v>
      </c>
      <c r="F326">
        <v>24.75209358505959</v>
      </c>
      <c r="G326" t="str">
        <f>FLOOR(FinalData[[#This Row],[Temperature_C]],2)&amp;"–"&amp;(FLOOR(FinalData[[#This Row],[Temperature_C]],2)+2)&amp;"°C"</f>
        <v>24–26°C</v>
      </c>
      <c r="H326">
        <v>3.65</v>
      </c>
      <c r="I326">
        <v>2026</v>
      </c>
      <c r="J326">
        <v>1</v>
      </c>
      <c r="K326">
        <v>14</v>
      </c>
      <c r="L326">
        <v>3</v>
      </c>
      <c r="M326">
        <v>12</v>
      </c>
      <c r="N326">
        <v>0.4</v>
      </c>
      <c r="O326">
        <v>0.45624999999999999</v>
      </c>
      <c r="P326" t="s">
        <v>42</v>
      </c>
    </row>
    <row r="327" spans="1:16" hidden="1" x14ac:dyDescent="0.25">
      <c r="A327" s="12">
        <v>46036.541666666664</v>
      </c>
      <c r="B327" t="s">
        <v>13</v>
      </c>
      <c r="C327" t="s">
        <v>19</v>
      </c>
      <c r="D327">
        <v>6</v>
      </c>
      <c r="E327">
        <v>30</v>
      </c>
      <c r="F327">
        <v>22.063132303439271</v>
      </c>
      <c r="G327" t="str">
        <f>FLOOR(FinalData[[#This Row],[Temperature_C]],2)&amp;"–"&amp;(FLOOR(FinalData[[#This Row],[Temperature_C]],2)+2)&amp;"°C"</f>
        <v>22–24°C</v>
      </c>
      <c r="H327">
        <v>1.96</v>
      </c>
      <c r="I327">
        <v>2026</v>
      </c>
      <c r="J327">
        <v>1</v>
      </c>
      <c r="K327">
        <v>14</v>
      </c>
      <c r="L327">
        <v>3</v>
      </c>
      <c r="M327">
        <v>13</v>
      </c>
      <c r="N327">
        <v>0.2</v>
      </c>
      <c r="O327">
        <v>0.32666666666666666</v>
      </c>
      <c r="P327" t="s">
        <v>42</v>
      </c>
    </row>
    <row r="328" spans="1:16" hidden="1" x14ac:dyDescent="0.25">
      <c r="A328" s="12">
        <v>46036.583333333336</v>
      </c>
      <c r="B328" t="s">
        <v>13</v>
      </c>
      <c r="C328" t="s">
        <v>20</v>
      </c>
      <c r="D328">
        <v>5</v>
      </c>
      <c r="E328">
        <v>40</v>
      </c>
      <c r="F328">
        <v>22.889603531425252</v>
      </c>
      <c r="G328" t="str">
        <f>FLOOR(FinalData[[#This Row],[Temperature_C]],2)&amp;"–"&amp;(FLOOR(FinalData[[#This Row],[Temperature_C]],2)+2)&amp;"°C"</f>
        <v>22–24°C</v>
      </c>
      <c r="H328">
        <v>2.33</v>
      </c>
      <c r="I328">
        <v>2026</v>
      </c>
      <c r="J328">
        <v>1</v>
      </c>
      <c r="K328">
        <v>14</v>
      </c>
      <c r="L328">
        <v>3</v>
      </c>
      <c r="M328">
        <v>14</v>
      </c>
      <c r="N328">
        <v>0.125</v>
      </c>
      <c r="O328">
        <v>0.46600000000000003</v>
      </c>
      <c r="P328" t="s">
        <v>42</v>
      </c>
    </row>
    <row r="329" spans="1:16" hidden="1" x14ac:dyDescent="0.25">
      <c r="A329" s="12">
        <v>46036.625</v>
      </c>
      <c r="B329" t="s">
        <v>11</v>
      </c>
      <c r="C329" t="s">
        <v>16</v>
      </c>
      <c r="D329">
        <v>11</v>
      </c>
      <c r="E329">
        <v>25</v>
      </c>
      <c r="F329">
        <v>24.270892056628711</v>
      </c>
      <c r="G329" t="str">
        <f>FLOOR(FinalData[[#This Row],[Temperature_C]],2)&amp;"–"&amp;(FLOOR(FinalData[[#This Row],[Temperature_C]],2)+2)&amp;"°C"</f>
        <v>24–26°C</v>
      </c>
      <c r="H329">
        <v>3.56</v>
      </c>
      <c r="I329">
        <v>2026</v>
      </c>
      <c r="J329">
        <v>1</v>
      </c>
      <c r="K329">
        <v>14</v>
      </c>
      <c r="L329">
        <v>3</v>
      </c>
      <c r="M329">
        <v>15</v>
      </c>
      <c r="N329">
        <v>0.44</v>
      </c>
      <c r="O329">
        <v>0.32363636363636367</v>
      </c>
      <c r="P329" t="s">
        <v>42</v>
      </c>
    </row>
    <row r="330" spans="1:16" hidden="1" x14ac:dyDescent="0.25">
      <c r="A330" s="12">
        <v>46036.666666666664</v>
      </c>
      <c r="B330" t="s">
        <v>18</v>
      </c>
      <c r="C330" t="s">
        <v>15</v>
      </c>
      <c r="D330">
        <v>9</v>
      </c>
      <c r="E330">
        <v>40</v>
      </c>
      <c r="F330">
        <v>21.3277860082408</v>
      </c>
      <c r="G330" t="str">
        <f>FLOOR(FinalData[[#This Row],[Temperature_C]],2)&amp;"–"&amp;(FLOOR(FinalData[[#This Row],[Temperature_C]],2)+2)&amp;"°C"</f>
        <v>20–22°C</v>
      </c>
      <c r="H330">
        <v>2.59</v>
      </c>
      <c r="I330">
        <v>2026</v>
      </c>
      <c r="J330">
        <v>1</v>
      </c>
      <c r="K330">
        <v>14</v>
      </c>
      <c r="L330">
        <v>3</v>
      </c>
      <c r="M330">
        <v>16</v>
      </c>
      <c r="N330">
        <v>0.22500000000000001</v>
      </c>
      <c r="O330">
        <v>0.28777777777777774</v>
      </c>
      <c r="P330" t="s">
        <v>42</v>
      </c>
    </row>
    <row r="331" spans="1:16" hidden="1" x14ac:dyDescent="0.25">
      <c r="A331" s="12">
        <v>46036.708333333336</v>
      </c>
      <c r="B331" t="s">
        <v>18</v>
      </c>
      <c r="C331" t="s">
        <v>21</v>
      </c>
      <c r="D331">
        <v>9</v>
      </c>
      <c r="E331">
        <v>30</v>
      </c>
      <c r="F331">
        <v>23.245686877080399</v>
      </c>
      <c r="G331" t="str">
        <f>FLOOR(FinalData[[#This Row],[Temperature_C]],2)&amp;"–"&amp;(FLOOR(FinalData[[#This Row],[Temperature_C]],2)+2)&amp;"°C"</f>
        <v>22–24°C</v>
      </c>
      <c r="H331">
        <v>2.93</v>
      </c>
      <c r="I331">
        <v>2026</v>
      </c>
      <c r="J331">
        <v>1</v>
      </c>
      <c r="K331">
        <v>14</v>
      </c>
      <c r="L331">
        <v>3</v>
      </c>
      <c r="M331">
        <v>17</v>
      </c>
      <c r="N331">
        <v>0.3</v>
      </c>
      <c r="O331">
        <v>0.3255555555555556</v>
      </c>
      <c r="P331" t="s">
        <v>43</v>
      </c>
    </row>
    <row r="332" spans="1:16" hidden="1" x14ac:dyDescent="0.25">
      <c r="A332" s="12">
        <v>46036.75</v>
      </c>
      <c r="B332" t="s">
        <v>13</v>
      </c>
      <c r="C332" t="s">
        <v>26</v>
      </c>
      <c r="D332">
        <v>11</v>
      </c>
      <c r="E332">
        <v>40</v>
      </c>
      <c r="F332">
        <v>23.933432468010359</v>
      </c>
      <c r="G332" t="str">
        <f>FLOOR(FinalData[[#This Row],[Temperature_C]],2)&amp;"–"&amp;(FLOOR(FinalData[[#This Row],[Temperature_C]],2)+2)&amp;"°C"</f>
        <v>22–24°C</v>
      </c>
      <c r="H332">
        <v>3.99</v>
      </c>
      <c r="I332">
        <v>2026</v>
      </c>
      <c r="J332">
        <v>1</v>
      </c>
      <c r="K332">
        <v>14</v>
      </c>
      <c r="L332">
        <v>3</v>
      </c>
      <c r="M332">
        <v>18</v>
      </c>
      <c r="N332">
        <v>0.27500000000000002</v>
      </c>
      <c r="O332">
        <v>0.36272727272727273</v>
      </c>
      <c r="P332" t="s">
        <v>43</v>
      </c>
    </row>
    <row r="333" spans="1:16" hidden="1" x14ac:dyDescent="0.25">
      <c r="A333" s="12">
        <v>46036.791666666664</v>
      </c>
      <c r="B333" t="s">
        <v>7</v>
      </c>
      <c r="C333" t="s">
        <v>16</v>
      </c>
      <c r="D333">
        <v>6</v>
      </c>
      <c r="E333">
        <v>40</v>
      </c>
      <c r="F333">
        <v>26.032788110507141</v>
      </c>
      <c r="G333" t="str">
        <f>FLOOR(FinalData[[#This Row],[Temperature_C]],2)&amp;"–"&amp;(FLOOR(FinalData[[#This Row],[Temperature_C]],2)+2)&amp;"°C"</f>
        <v>26–28°C</v>
      </c>
      <c r="H333">
        <v>3.09</v>
      </c>
      <c r="I333">
        <v>2026</v>
      </c>
      <c r="J333">
        <v>1</v>
      </c>
      <c r="K333">
        <v>14</v>
      </c>
      <c r="L333">
        <v>3</v>
      </c>
      <c r="M333">
        <v>19</v>
      </c>
      <c r="N333">
        <v>0.15</v>
      </c>
      <c r="O333">
        <v>0.51500000000000001</v>
      </c>
      <c r="P333" t="s">
        <v>43</v>
      </c>
    </row>
    <row r="334" spans="1:16" hidden="1" x14ac:dyDescent="0.25">
      <c r="A334" s="12">
        <v>46036.833333333336</v>
      </c>
      <c r="B334" t="s">
        <v>11</v>
      </c>
      <c r="C334" t="s">
        <v>19</v>
      </c>
      <c r="D334">
        <v>4</v>
      </c>
      <c r="E334">
        <v>40</v>
      </c>
      <c r="F334">
        <v>19.51133856144348</v>
      </c>
      <c r="G334" t="str">
        <f>FLOOR(FinalData[[#This Row],[Temperature_C]],2)&amp;"–"&amp;(FLOOR(FinalData[[#This Row],[Temperature_C]],2)+2)&amp;"°C"</f>
        <v>18–20°C</v>
      </c>
      <c r="H334">
        <v>2.35</v>
      </c>
      <c r="I334">
        <v>2026</v>
      </c>
      <c r="J334">
        <v>1</v>
      </c>
      <c r="K334">
        <v>14</v>
      </c>
      <c r="L334">
        <v>3</v>
      </c>
      <c r="M334">
        <v>20</v>
      </c>
      <c r="N334">
        <v>0.1</v>
      </c>
      <c r="O334">
        <v>0.58750000000000002</v>
      </c>
      <c r="P334" t="s">
        <v>43</v>
      </c>
    </row>
    <row r="335" spans="1:16" hidden="1" x14ac:dyDescent="0.25">
      <c r="A335" s="12">
        <v>46036.875</v>
      </c>
      <c r="B335" t="s">
        <v>18</v>
      </c>
      <c r="C335" t="s">
        <v>22</v>
      </c>
      <c r="D335">
        <v>8</v>
      </c>
      <c r="E335">
        <v>25</v>
      </c>
      <c r="F335">
        <v>22.17278893315671</v>
      </c>
      <c r="G335" t="str">
        <f>FLOOR(FinalData[[#This Row],[Temperature_C]],2)&amp;"–"&amp;(FLOOR(FinalData[[#This Row],[Temperature_C]],2)+2)&amp;"°C"</f>
        <v>22–24°C</v>
      </c>
      <c r="H335">
        <v>3.39</v>
      </c>
      <c r="I335">
        <v>2026</v>
      </c>
      <c r="J335">
        <v>1</v>
      </c>
      <c r="K335">
        <v>14</v>
      </c>
      <c r="L335">
        <v>3</v>
      </c>
      <c r="M335">
        <v>21</v>
      </c>
      <c r="N335">
        <v>0.32</v>
      </c>
      <c r="O335">
        <v>0.42375000000000002</v>
      </c>
      <c r="P335" t="s">
        <v>40</v>
      </c>
    </row>
    <row r="336" spans="1:16" hidden="1" x14ac:dyDescent="0.25">
      <c r="A336" s="12">
        <v>46036.916666666664</v>
      </c>
      <c r="B336" t="s">
        <v>13</v>
      </c>
      <c r="C336" t="s">
        <v>22</v>
      </c>
      <c r="D336">
        <v>9</v>
      </c>
      <c r="E336">
        <v>40</v>
      </c>
      <c r="F336">
        <v>21.832801347307988</v>
      </c>
      <c r="G336" t="str">
        <f>FLOOR(FinalData[[#This Row],[Temperature_C]],2)&amp;"–"&amp;(FLOOR(FinalData[[#This Row],[Temperature_C]],2)+2)&amp;"°C"</f>
        <v>20–22°C</v>
      </c>
      <c r="H336">
        <v>3.39</v>
      </c>
      <c r="I336">
        <v>2026</v>
      </c>
      <c r="J336">
        <v>1</v>
      </c>
      <c r="K336">
        <v>14</v>
      </c>
      <c r="L336">
        <v>3</v>
      </c>
      <c r="M336">
        <v>22</v>
      </c>
      <c r="N336">
        <v>0.22500000000000001</v>
      </c>
      <c r="O336">
        <v>0.37666666666666671</v>
      </c>
      <c r="P336" t="s">
        <v>40</v>
      </c>
    </row>
    <row r="337" spans="1:16" hidden="1" x14ac:dyDescent="0.25">
      <c r="A337" s="12">
        <v>46036.958333333336</v>
      </c>
      <c r="B337" t="s">
        <v>13</v>
      </c>
      <c r="C337" t="s">
        <v>23</v>
      </c>
      <c r="D337">
        <v>6</v>
      </c>
      <c r="E337">
        <v>30</v>
      </c>
      <c r="F337">
        <v>23.96889321055788</v>
      </c>
      <c r="G337" t="str">
        <f>FLOOR(FinalData[[#This Row],[Temperature_C]],2)&amp;"–"&amp;(FLOOR(FinalData[[#This Row],[Temperature_C]],2)+2)&amp;"°C"</f>
        <v>22–24°C</v>
      </c>
      <c r="H337">
        <v>2.73</v>
      </c>
      <c r="I337">
        <v>2026</v>
      </c>
      <c r="J337">
        <v>1</v>
      </c>
      <c r="K337">
        <v>14</v>
      </c>
      <c r="L337">
        <v>3</v>
      </c>
      <c r="M337">
        <v>23</v>
      </c>
      <c r="N337">
        <v>0.2</v>
      </c>
      <c r="O337">
        <v>0.45500000000000002</v>
      </c>
      <c r="P337" t="s">
        <v>40</v>
      </c>
    </row>
    <row r="338" spans="1:16" hidden="1" x14ac:dyDescent="0.25">
      <c r="A338" s="12">
        <v>46037</v>
      </c>
      <c r="B338" t="s">
        <v>9</v>
      </c>
      <c r="C338" t="s">
        <v>19</v>
      </c>
      <c r="D338">
        <v>8</v>
      </c>
      <c r="E338">
        <v>20</v>
      </c>
      <c r="F338">
        <v>18.023345293174021</v>
      </c>
      <c r="G338" t="str">
        <f>FLOOR(FinalData[[#This Row],[Temperature_C]],2)&amp;"–"&amp;(FLOOR(FinalData[[#This Row],[Temperature_C]],2)+2)&amp;"°C"</f>
        <v>18–20°C</v>
      </c>
      <c r="H338">
        <v>3.2</v>
      </c>
      <c r="I338">
        <v>2026</v>
      </c>
      <c r="J338">
        <v>1</v>
      </c>
      <c r="K338">
        <v>15</v>
      </c>
      <c r="L338">
        <v>4</v>
      </c>
      <c r="M338">
        <v>0</v>
      </c>
      <c r="N338">
        <v>0.4</v>
      </c>
      <c r="O338">
        <v>0.4</v>
      </c>
      <c r="P338" t="s">
        <v>40</v>
      </c>
    </row>
    <row r="339" spans="1:16" hidden="1" x14ac:dyDescent="0.25">
      <c r="A339" s="12">
        <v>46037.041666666664</v>
      </c>
      <c r="B339" t="s">
        <v>13</v>
      </c>
      <c r="C339" t="s">
        <v>8</v>
      </c>
      <c r="D339">
        <v>7</v>
      </c>
      <c r="E339">
        <v>25</v>
      </c>
      <c r="F339">
        <v>24.220432339178441</v>
      </c>
      <c r="G339" t="str">
        <f>FLOOR(FinalData[[#This Row],[Temperature_C]],2)&amp;"–"&amp;(FLOOR(FinalData[[#This Row],[Temperature_C]],2)+2)&amp;"°C"</f>
        <v>24–26°C</v>
      </c>
      <c r="H339">
        <v>2.93</v>
      </c>
      <c r="I339">
        <v>2026</v>
      </c>
      <c r="J339">
        <v>1</v>
      </c>
      <c r="K339">
        <v>15</v>
      </c>
      <c r="L339">
        <v>4</v>
      </c>
      <c r="M339">
        <v>1</v>
      </c>
      <c r="N339">
        <v>0.28000000000000003</v>
      </c>
      <c r="O339">
        <v>0.41857142857142859</v>
      </c>
      <c r="P339" t="s">
        <v>40</v>
      </c>
    </row>
    <row r="340" spans="1:16" hidden="1" x14ac:dyDescent="0.25">
      <c r="A340" s="12">
        <v>46037.083333333336</v>
      </c>
      <c r="B340" t="s">
        <v>9</v>
      </c>
      <c r="C340" t="s">
        <v>20</v>
      </c>
      <c r="D340">
        <v>9</v>
      </c>
      <c r="E340">
        <v>20</v>
      </c>
      <c r="F340">
        <v>22.422902608248592</v>
      </c>
      <c r="G340" t="str">
        <f>FLOOR(FinalData[[#This Row],[Temperature_C]],2)&amp;"–"&amp;(FLOOR(FinalData[[#This Row],[Temperature_C]],2)+2)&amp;"°C"</f>
        <v>22–24°C</v>
      </c>
      <c r="H340">
        <v>2.88</v>
      </c>
      <c r="I340">
        <v>2026</v>
      </c>
      <c r="J340">
        <v>1</v>
      </c>
      <c r="K340">
        <v>15</v>
      </c>
      <c r="L340">
        <v>4</v>
      </c>
      <c r="M340">
        <v>2</v>
      </c>
      <c r="N340">
        <v>0.45</v>
      </c>
      <c r="O340">
        <v>0.32</v>
      </c>
      <c r="P340" t="s">
        <v>40</v>
      </c>
    </row>
    <row r="341" spans="1:16" hidden="1" x14ac:dyDescent="0.25">
      <c r="A341" s="12">
        <v>46037.125</v>
      </c>
      <c r="B341" t="s">
        <v>9</v>
      </c>
      <c r="C341" t="s">
        <v>24</v>
      </c>
      <c r="D341">
        <v>6</v>
      </c>
      <c r="E341">
        <v>25</v>
      </c>
      <c r="F341">
        <v>20.600280555640801</v>
      </c>
      <c r="G341" t="str">
        <f>FLOOR(FinalData[[#This Row],[Temperature_C]],2)&amp;"–"&amp;(FLOOR(FinalData[[#This Row],[Temperature_C]],2)+2)&amp;"°C"</f>
        <v>20–22°C</v>
      </c>
      <c r="H341">
        <v>2.42</v>
      </c>
      <c r="I341">
        <v>2026</v>
      </c>
      <c r="J341">
        <v>1</v>
      </c>
      <c r="K341">
        <v>15</v>
      </c>
      <c r="L341">
        <v>4</v>
      </c>
      <c r="M341">
        <v>3</v>
      </c>
      <c r="N341">
        <v>0.24</v>
      </c>
      <c r="O341">
        <v>0.40333333333333332</v>
      </c>
      <c r="P341" t="s">
        <v>40</v>
      </c>
    </row>
    <row r="342" spans="1:16" hidden="1" x14ac:dyDescent="0.25">
      <c r="A342" s="12">
        <v>46037.166666666664</v>
      </c>
      <c r="B342" t="s">
        <v>11</v>
      </c>
      <c r="C342" t="s">
        <v>23</v>
      </c>
      <c r="D342">
        <v>15</v>
      </c>
      <c r="E342">
        <v>30</v>
      </c>
      <c r="F342">
        <v>26.252760811337261</v>
      </c>
      <c r="G342" t="str">
        <f>FLOOR(FinalData[[#This Row],[Temperature_C]],2)&amp;"–"&amp;(FLOOR(FinalData[[#This Row],[Temperature_C]],2)+2)&amp;"°C"</f>
        <v>26–28°C</v>
      </c>
      <c r="H342">
        <v>5.04</v>
      </c>
      <c r="I342">
        <v>2026</v>
      </c>
      <c r="J342">
        <v>1</v>
      </c>
      <c r="K342">
        <v>15</v>
      </c>
      <c r="L342">
        <v>4</v>
      </c>
      <c r="M342">
        <v>4</v>
      </c>
      <c r="N342">
        <v>0.5</v>
      </c>
      <c r="O342">
        <v>0.33600000000000002</v>
      </c>
      <c r="P342" t="s">
        <v>40</v>
      </c>
    </row>
    <row r="343" spans="1:16" hidden="1" x14ac:dyDescent="0.25">
      <c r="A343" s="12">
        <v>46037.208333333336</v>
      </c>
      <c r="B343" t="s">
        <v>18</v>
      </c>
      <c r="C343" t="s">
        <v>25</v>
      </c>
      <c r="D343">
        <v>12</v>
      </c>
      <c r="E343">
        <v>25</v>
      </c>
      <c r="F343">
        <v>19.364041549225689</v>
      </c>
      <c r="G343" t="str">
        <f>FLOOR(FinalData[[#This Row],[Temperature_C]],2)&amp;"–"&amp;(FLOOR(FinalData[[#This Row],[Temperature_C]],2)+2)&amp;"°C"</f>
        <v>18–20°C</v>
      </c>
      <c r="H343">
        <v>4.42</v>
      </c>
      <c r="I343">
        <v>2026</v>
      </c>
      <c r="J343">
        <v>1</v>
      </c>
      <c r="K343">
        <v>15</v>
      </c>
      <c r="L343">
        <v>4</v>
      </c>
      <c r="M343">
        <v>5</v>
      </c>
      <c r="N343">
        <v>0.48</v>
      </c>
      <c r="O343">
        <v>0.36833333333333335</v>
      </c>
      <c r="P343" t="s">
        <v>40</v>
      </c>
    </row>
    <row r="344" spans="1:16" hidden="1" x14ac:dyDescent="0.25">
      <c r="A344" s="12">
        <v>46037.25</v>
      </c>
      <c r="B344" t="s">
        <v>7</v>
      </c>
      <c r="C344" t="s">
        <v>12</v>
      </c>
      <c r="D344">
        <v>2</v>
      </c>
      <c r="E344">
        <v>40</v>
      </c>
      <c r="F344">
        <v>26.015267117827371</v>
      </c>
      <c r="G344" t="str">
        <f>FLOOR(FinalData[[#This Row],[Temperature_C]],2)&amp;"–"&amp;(FLOOR(FinalData[[#This Row],[Temperature_C]],2)+2)&amp;"°C"</f>
        <v>26–28°C</v>
      </c>
      <c r="H344">
        <v>1.69</v>
      </c>
      <c r="I344">
        <v>2026</v>
      </c>
      <c r="J344">
        <v>1</v>
      </c>
      <c r="K344">
        <v>15</v>
      </c>
      <c r="L344">
        <v>4</v>
      </c>
      <c r="M344">
        <v>6</v>
      </c>
      <c r="N344">
        <v>0.05</v>
      </c>
      <c r="O344">
        <v>0.84499999999999997</v>
      </c>
      <c r="P344" t="s">
        <v>40</v>
      </c>
    </row>
    <row r="345" spans="1:16" hidden="1" x14ac:dyDescent="0.25">
      <c r="A345" s="12">
        <v>46037.291666666664</v>
      </c>
      <c r="B345" t="s">
        <v>18</v>
      </c>
      <c r="C345" t="s">
        <v>31</v>
      </c>
      <c r="D345">
        <v>9</v>
      </c>
      <c r="E345">
        <v>40</v>
      </c>
      <c r="F345">
        <v>25.564726948231211</v>
      </c>
      <c r="G345" t="str">
        <f>FLOOR(FinalData[[#This Row],[Temperature_C]],2)&amp;"–"&amp;(FLOOR(FinalData[[#This Row],[Temperature_C]],2)+2)&amp;"°C"</f>
        <v>24–26°C</v>
      </c>
      <c r="H345">
        <v>3.91</v>
      </c>
      <c r="I345">
        <v>2026</v>
      </c>
      <c r="J345">
        <v>1</v>
      </c>
      <c r="K345">
        <v>15</v>
      </c>
      <c r="L345">
        <v>4</v>
      </c>
      <c r="M345">
        <v>7</v>
      </c>
      <c r="N345">
        <v>0.22500000000000001</v>
      </c>
      <c r="O345">
        <v>0.43444444444444447</v>
      </c>
      <c r="P345" t="s">
        <v>41</v>
      </c>
    </row>
    <row r="346" spans="1:16" hidden="1" x14ac:dyDescent="0.25">
      <c r="A346" s="12">
        <v>46037.333333333336</v>
      </c>
      <c r="B346" t="s">
        <v>13</v>
      </c>
      <c r="C346" t="s">
        <v>27</v>
      </c>
      <c r="D346">
        <v>7</v>
      </c>
      <c r="E346">
        <v>40</v>
      </c>
      <c r="F346">
        <v>22.344352947314611</v>
      </c>
      <c r="G346" t="str">
        <f>FLOOR(FinalData[[#This Row],[Temperature_C]],2)&amp;"–"&amp;(FLOOR(FinalData[[#This Row],[Temperature_C]],2)+2)&amp;"°C"</f>
        <v>22–24°C</v>
      </c>
      <c r="H346">
        <v>2.5</v>
      </c>
      <c r="I346">
        <v>2026</v>
      </c>
      <c r="J346">
        <v>1</v>
      </c>
      <c r="K346">
        <v>15</v>
      </c>
      <c r="L346">
        <v>4</v>
      </c>
      <c r="M346">
        <v>8</v>
      </c>
      <c r="N346">
        <v>0.17499999999999999</v>
      </c>
      <c r="O346">
        <v>0.35714285714285715</v>
      </c>
      <c r="P346" t="s">
        <v>41</v>
      </c>
    </row>
    <row r="347" spans="1:16" hidden="1" x14ac:dyDescent="0.25">
      <c r="A347" s="12">
        <v>46037.375</v>
      </c>
      <c r="B347" t="s">
        <v>13</v>
      </c>
      <c r="C347" t="s">
        <v>16</v>
      </c>
      <c r="D347">
        <v>6</v>
      </c>
      <c r="E347">
        <v>25</v>
      </c>
      <c r="F347">
        <v>25.097414252833129</v>
      </c>
      <c r="G347" t="str">
        <f>FLOOR(FinalData[[#This Row],[Temperature_C]],2)&amp;"–"&amp;(FLOOR(FinalData[[#This Row],[Temperature_C]],2)+2)&amp;"°C"</f>
        <v>24–26°C</v>
      </c>
      <c r="H347">
        <v>3.26</v>
      </c>
      <c r="I347">
        <v>2026</v>
      </c>
      <c r="J347">
        <v>1</v>
      </c>
      <c r="K347">
        <v>15</v>
      </c>
      <c r="L347">
        <v>4</v>
      </c>
      <c r="M347">
        <v>9</v>
      </c>
      <c r="N347">
        <v>0.24</v>
      </c>
      <c r="O347">
        <v>0.54333333333333333</v>
      </c>
      <c r="P347" t="s">
        <v>41</v>
      </c>
    </row>
    <row r="348" spans="1:16" hidden="1" x14ac:dyDescent="0.25">
      <c r="A348" s="12">
        <v>46037.416666666664</v>
      </c>
      <c r="B348" t="s">
        <v>13</v>
      </c>
      <c r="C348" t="s">
        <v>8</v>
      </c>
      <c r="D348">
        <v>5</v>
      </c>
      <c r="E348">
        <v>25</v>
      </c>
      <c r="F348">
        <v>23.98241533082399</v>
      </c>
      <c r="G348" t="str">
        <f>FLOOR(FinalData[[#This Row],[Temperature_C]],2)&amp;"–"&amp;(FLOOR(FinalData[[#This Row],[Temperature_C]],2)+2)&amp;"°C"</f>
        <v>22–24°C</v>
      </c>
      <c r="H348">
        <v>2.2400000000000002</v>
      </c>
      <c r="I348">
        <v>2026</v>
      </c>
      <c r="J348">
        <v>1</v>
      </c>
      <c r="K348">
        <v>15</v>
      </c>
      <c r="L348">
        <v>4</v>
      </c>
      <c r="M348">
        <v>10</v>
      </c>
      <c r="N348">
        <v>0.2</v>
      </c>
      <c r="O348">
        <v>0.44800000000000006</v>
      </c>
      <c r="P348" t="s">
        <v>41</v>
      </c>
    </row>
    <row r="349" spans="1:16" hidden="1" x14ac:dyDescent="0.25">
      <c r="A349" s="12">
        <v>46037.458333333336</v>
      </c>
      <c r="B349" t="s">
        <v>18</v>
      </c>
      <c r="C349" t="s">
        <v>31</v>
      </c>
      <c r="D349">
        <v>5</v>
      </c>
      <c r="E349">
        <v>30</v>
      </c>
      <c r="F349">
        <v>23.145361048658678</v>
      </c>
      <c r="G349" t="str">
        <f>FLOOR(FinalData[[#This Row],[Temperature_C]],2)&amp;"–"&amp;(FLOOR(FinalData[[#This Row],[Temperature_C]],2)+2)&amp;"°C"</f>
        <v>22–24°C</v>
      </c>
      <c r="H349">
        <v>2.1</v>
      </c>
      <c r="I349">
        <v>2026</v>
      </c>
      <c r="J349">
        <v>1</v>
      </c>
      <c r="K349">
        <v>15</v>
      </c>
      <c r="L349">
        <v>4</v>
      </c>
      <c r="M349">
        <v>11</v>
      </c>
      <c r="N349">
        <v>0.16666666666666666</v>
      </c>
      <c r="O349">
        <v>0.42000000000000004</v>
      </c>
      <c r="P349" t="s">
        <v>41</v>
      </c>
    </row>
    <row r="350" spans="1:16" hidden="1" x14ac:dyDescent="0.25">
      <c r="A350" s="12">
        <v>46037.5</v>
      </c>
      <c r="B350" t="s">
        <v>18</v>
      </c>
      <c r="C350" t="s">
        <v>27</v>
      </c>
      <c r="D350">
        <v>3</v>
      </c>
      <c r="E350">
        <v>20</v>
      </c>
      <c r="F350">
        <v>19.537597393110151</v>
      </c>
      <c r="G350" t="str">
        <f>FLOOR(FinalData[[#This Row],[Temperature_C]],2)&amp;"–"&amp;(FLOOR(FinalData[[#This Row],[Temperature_C]],2)+2)&amp;"°C"</f>
        <v>18–20°C</v>
      </c>
      <c r="H350">
        <v>2.37</v>
      </c>
      <c r="I350">
        <v>2026</v>
      </c>
      <c r="J350">
        <v>1</v>
      </c>
      <c r="K350">
        <v>15</v>
      </c>
      <c r="L350">
        <v>4</v>
      </c>
      <c r="M350">
        <v>12</v>
      </c>
      <c r="N350">
        <v>0.15</v>
      </c>
      <c r="O350">
        <v>0.79</v>
      </c>
      <c r="P350" t="s">
        <v>42</v>
      </c>
    </row>
    <row r="351" spans="1:16" hidden="1" x14ac:dyDescent="0.25">
      <c r="A351" s="12">
        <v>46037.541666666664</v>
      </c>
      <c r="B351" t="s">
        <v>7</v>
      </c>
      <c r="C351" t="s">
        <v>17</v>
      </c>
      <c r="D351">
        <v>8</v>
      </c>
      <c r="E351">
        <v>25</v>
      </c>
      <c r="F351">
        <v>25.42048700101375</v>
      </c>
      <c r="G351" t="str">
        <f>FLOOR(FinalData[[#This Row],[Temperature_C]],2)&amp;"–"&amp;(FLOOR(FinalData[[#This Row],[Temperature_C]],2)+2)&amp;"°C"</f>
        <v>24–26°C</v>
      </c>
      <c r="H351">
        <v>3.23</v>
      </c>
      <c r="I351">
        <v>2026</v>
      </c>
      <c r="J351">
        <v>1</v>
      </c>
      <c r="K351">
        <v>15</v>
      </c>
      <c r="L351">
        <v>4</v>
      </c>
      <c r="M351">
        <v>13</v>
      </c>
      <c r="N351">
        <v>0.32</v>
      </c>
      <c r="O351">
        <v>0.40375</v>
      </c>
      <c r="P351" t="s">
        <v>42</v>
      </c>
    </row>
    <row r="352" spans="1:16" hidden="1" x14ac:dyDescent="0.25">
      <c r="A352" s="12">
        <v>46037.583333333336</v>
      </c>
      <c r="B352" t="s">
        <v>18</v>
      </c>
      <c r="C352" t="s">
        <v>31</v>
      </c>
      <c r="D352">
        <v>9</v>
      </c>
      <c r="E352">
        <v>20</v>
      </c>
      <c r="F352">
        <v>24.354719043372839</v>
      </c>
      <c r="G352" t="str">
        <f>FLOOR(FinalData[[#This Row],[Temperature_C]],2)&amp;"–"&amp;(FLOOR(FinalData[[#This Row],[Temperature_C]],2)+2)&amp;"°C"</f>
        <v>24–26°C</v>
      </c>
      <c r="H352">
        <v>3.17</v>
      </c>
      <c r="I352">
        <v>2026</v>
      </c>
      <c r="J352">
        <v>1</v>
      </c>
      <c r="K352">
        <v>15</v>
      </c>
      <c r="L352">
        <v>4</v>
      </c>
      <c r="M352">
        <v>14</v>
      </c>
      <c r="N352">
        <v>0.45</v>
      </c>
      <c r="O352">
        <v>0.35222222222222221</v>
      </c>
      <c r="P352" t="s">
        <v>42</v>
      </c>
    </row>
    <row r="353" spans="1:16" hidden="1" x14ac:dyDescent="0.25">
      <c r="A353" s="12">
        <v>46037.625</v>
      </c>
      <c r="B353" t="s">
        <v>18</v>
      </c>
      <c r="C353" t="s">
        <v>23</v>
      </c>
      <c r="D353">
        <v>6</v>
      </c>
      <c r="E353">
        <v>20</v>
      </c>
      <c r="F353">
        <v>25.657281656496458</v>
      </c>
      <c r="G353" t="str">
        <f>FLOOR(FinalData[[#This Row],[Temperature_C]],2)&amp;"–"&amp;(FLOOR(FinalData[[#This Row],[Temperature_C]],2)+2)&amp;"°C"</f>
        <v>24–26°C</v>
      </c>
      <c r="H353">
        <v>2.94</v>
      </c>
      <c r="I353">
        <v>2026</v>
      </c>
      <c r="J353">
        <v>1</v>
      </c>
      <c r="K353">
        <v>15</v>
      </c>
      <c r="L353">
        <v>4</v>
      </c>
      <c r="M353">
        <v>15</v>
      </c>
      <c r="N353">
        <v>0.3</v>
      </c>
      <c r="O353">
        <v>0.49</v>
      </c>
      <c r="P353" t="s">
        <v>42</v>
      </c>
    </row>
    <row r="354" spans="1:16" hidden="1" x14ac:dyDescent="0.25">
      <c r="A354" s="12">
        <v>46037.666666666664</v>
      </c>
      <c r="B354" t="s">
        <v>7</v>
      </c>
      <c r="C354" t="s">
        <v>16</v>
      </c>
      <c r="D354">
        <v>7</v>
      </c>
      <c r="E354">
        <v>25</v>
      </c>
      <c r="F354">
        <v>22.806752659970218</v>
      </c>
      <c r="G354" t="str">
        <f>FLOOR(FinalData[[#This Row],[Temperature_C]],2)&amp;"–"&amp;(FLOOR(FinalData[[#This Row],[Temperature_C]],2)+2)&amp;"°C"</f>
        <v>22–24°C</v>
      </c>
      <c r="H354">
        <v>2.5499999999999998</v>
      </c>
      <c r="I354">
        <v>2026</v>
      </c>
      <c r="J354">
        <v>1</v>
      </c>
      <c r="K354">
        <v>15</v>
      </c>
      <c r="L354">
        <v>4</v>
      </c>
      <c r="M354">
        <v>16</v>
      </c>
      <c r="N354">
        <v>0.28000000000000003</v>
      </c>
      <c r="O354">
        <v>0.36428571428571427</v>
      </c>
      <c r="P354" t="s">
        <v>42</v>
      </c>
    </row>
    <row r="355" spans="1:16" hidden="1" x14ac:dyDescent="0.25">
      <c r="A355" s="12">
        <v>46037.708333333336</v>
      </c>
      <c r="B355" t="s">
        <v>18</v>
      </c>
      <c r="C355" t="s">
        <v>30</v>
      </c>
      <c r="D355">
        <v>9</v>
      </c>
      <c r="E355">
        <v>30</v>
      </c>
      <c r="F355">
        <v>24.95062491695596</v>
      </c>
      <c r="G355" t="str">
        <f>FLOOR(FinalData[[#This Row],[Temperature_C]],2)&amp;"–"&amp;(FLOOR(FinalData[[#This Row],[Temperature_C]],2)+2)&amp;"°C"</f>
        <v>24–26°C</v>
      </c>
      <c r="H355">
        <v>3.65</v>
      </c>
      <c r="I355">
        <v>2026</v>
      </c>
      <c r="J355">
        <v>1</v>
      </c>
      <c r="K355">
        <v>15</v>
      </c>
      <c r="L355">
        <v>4</v>
      </c>
      <c r="M355">
        <v>17</v>
      </c>
      <c r="N355">
        <v>0.3</v>
      </c>
      <c r="O355">
        <v>0.40555555555555556</v>
      </c>
      <c r="P355" t="s">
        <v>43</v>
      </c>
    </row>
    <row r="356" spans="1:16" hidden="1" x14ac:dyDescent="0.25">
      <c r="A356" s="12">
        <v>46037.75</v>
      </c>
      <c r="B356" t="s">
        <v>11</v>
      </c>
      <c r="C356" t="s">
        <v>17</v>
      </c>
      <c r="D356">
        <v>8</v>
      </c>
      <c r="E356">
        <v>40</v>
      </c>
      <c r="F356">
        <v>24.210447402036511</v>
      </c>
      <c r="G356" t="str">
        <f>FLOOR(FinalData[[#This Row],[Temperature_C]],2)&amp;"–"&amp;(FLOOR(FinalData[[#This Row],[Temperature_C]],2)+2)&amp;"°C"</f>
        <v>24–26°C</v>
      </c>
      <c r="H356">
        <v>3.47</v>
      </c>
      <c r="I356">
        <v>2026</v>
      </c>
      <c r="J356">
        <v>1</v>
      </c>
      <c r="K356">
        <v>15</v>
      </c>
      <c r="L356">
        <v>4</v>
      </c>
      <c r="M356">
        <v>18</v>
      </c>
      <c r="N356">
        <v>0.2</v>
      </c>
      <c r="O356">
        <v>0.43375000000000002</v>
      </c>
      <c r="P356" t="s">
        <v>43</v>
      </c>
    </row>
    <row r="357" spans="1:16" hidden="1" x14ac:dyDescent="0.25">
      <c r="A357" s="12">
        <v>46037.791666666664</v>
      </c>
      <c r="B357" t="s">
        <v>11</v>
      </c>
      <c r="C357" t="s">
        <v>30</v>
      </c>
      <c r="D357">
        <v>10</v>
      </c>
      <c r="E357">
        <v>20</v>
      </c>
      <c r="F357">
        <v>23.37035107365983</v>
      </c>
      <c r="G357" t="str">
        <f>FLOOR(FinalData[[#This Row],[Temperature_C]],2)&amp;"–"&amp;(FLOOR(FinalData[[#This Row],[Temperature_C]],2)+2)&amp;"°C"</f>
        <v>22–24°C</v>
      </c>
      <c r="H357">
        <v>3.63</v>
      </c>
      <c r="I357">
        <v>2026</v>
      </c>
      <c r="J357">
        <v>1</v>
      </c>
      <c r="K357">
        <v>15</v>
      </c>
      <c r="L357">
        <v>4</v>
      </c>
      <c r="M357">
        <v>19</v>
      </c>
      <c r="N357">
        <v>0.5</v>
      </c>
      <c r="O357">
        <v>0.36299999999999999</v>
      </c>
      <c r="P357" t="s">
        <v>43</v>
      </c>
    </row>
    <row r="358" spans="1:16" hidden="1" x14ac:dyDescent="0.25">
      <c r="A358" s="12">
        <v>46037.833333333336</v>
      </c>
      <c r="B358" t="s">
        <v>13</v>
      </c>
      <c r="C358" t="s">
        <v>15</v>
      </c>
      <c r="D358">
        <v>5</v>
      </c>
      <c r="E358">
        <v>20</v>
      </c>
      <c r="F358">
        <v>21.09536723852241</v>
      </c>
      <c r="G358" t="str">
        <f>FLOOR(FinalData[[#This Row],[Temperature_C]],2)&amp;"–"&amp;(FLOOR(FinalData[[#This Row],[Temperature_C]],2)+2)&amp;"°C"</f>
        <v>20–22°C</v>
      </c>
      <c r="H358">
        <v>1.98</v>
      </c>
      <c r="I358">
        <v>2026</v>
      </c>
      <c r="J358">
        <v>1</v>
      </c>
      <c r="K358">
        <v>15</v>
      </c>
      <c r="L358">
        <v>4</v>
      </c>
      <c r="M358">
        <v>20</v>
      </c>
      <c r="N358">
        <v>0.25</v>
      </c>
      <c r="O358">
        <v>0.39600000000000002</v>
      </c>
      <c r="P358" t="s">
        <v>43</v>
      </c>
    </row>
    <row r="359" spans="1:16" hidden="1" x14ac:dyDescent="0.25">
      <c r="A359" s="12">
        <v>46037.875</v>
      </c>
      <c r="B359" t="s">
        <v>11</v>
      </c>
      <c r="C359" t="s">
        <v>8</v>
      </c>
      <c r="D359">
        <v>9</v>
      </c>
      <c r="E359">
        <v>25</v>
      </c>
      <c r="F359">
        <v>26.334448223102271</v>
      </c>
      <c r="G359" t="str">
        <f>FLOOR(FinalData[[#This Row],[Temperature_C]],2)&amp;"–"&amp;(FLOOR(FinalData[[#This Row],[Temperature_C]],2)+2)&amp;"°C"</f>
        <v>26–28°C</v>
      </c>
      <c r="H359">
        <v>4.16</v>
      </c>
      <c r="I359">
        <v>2026</v>
      </c>
      <c r="J359">
        <v>1</v>
      </c>
      <c r="K359">
        <v>15</v>
      </c>
      <c r="L359">
        <v>4</v>
      </c>
      <c r="M359">
        <v>21</v>
      </c>
      <c r="N359">
        <v>0.36</v>
      </c>
      <c r="O359">
        <v>0.46222222222222226</v>
      </c>
      <c r="P359" t="s">
        <v>40</v>
      </c>
    </row>
    <row r="360" spans="1:16" hidden="1" x14ac:dyDescent="0.25">
      <c r="A360" s="12">
        <v>46037.916666666664</v>
      </c>
      <c r="B360" t="s">
        <v>13</v>
      </c>
      <c r="C360" t="s">
        <v>31</v>
      </c>
      <c r="D360">
        <v>10</v>
      </c>
      <c r="E360">
        <v>40</v>
      </c>
      <c r="F360">
        <v>25.145773485985789</v>
      </c>
      <c r="G360" t="str">
        <f>FLOOR(FinalData[[#This Row],[Temperature_C]],2)&amp;"–"&amp;(FLOOR(FinalData[[#This Row],[Temperature_C]],2)+2)&amp;"°C"</f>
        <v>24–26°C</v>
      </c>
      <c r="H360">
        <v>3.87</v>
      </c>
      <c r="I360">
        <v>2026</v>
      </c>
      <c r="J360">
        <v>1</v>
      </c>
      <c r="K360">
        <v>15</v>
      </c>
      <c r="L360">
        <v>4</v>
      </c>
      <c r="M360">
        <v>22</v>
      </c>
      <c r="N360">
        <v>0.25</v>
      </c>
      <c r="O360">
        <v>0.38700000000000001</v>
      </c>
      <c r="P360" t="s">
        <v>40</v>
      </c>
    </row>
    <row r="361" spans="1:16" hidden="1" x14ac:dyDescent="0.25">
      <c r="A361" s="12">
        <v>46037.958333333336</v>
      </c>
      <c r="B361" t="s">
        <v>7</v>
      </c>
      <c r="C361" t="s">
        <v>22</v>
      </c>
      <c r="D361">
        <v>7</v>
      </c>
      <c r="E361">
        <v>40</v>
      </c>
      <c r="F361">
        <v>22.62876506416416</v>
      </c>
      <c r="G361" t="str">
        <f>FLOOR(FinalData[[#This Row],[Temperature_C]],2)&amp;"–"&amp;(FLOOR(FinalData[[#This Row],[Temperature_C]],2)+2)&amp;"°C"</f>
        <v>22–24°C</v>
      </c>
      <c r="H361">
        <v>2.5499999999999998</v>
      </c>
      <c r="I361">
        <v>2026</v>
      </c>
      <c r="J361">
        <v>1</v>
      </c>
      <c r="K361">
        <v>15</v>
      </c>
      <c r="L361">
        <v>4</v>
      </c>
      <c r="M361">
        <v>23</v>
      </c>
      <c r="N361">
        <v>0.17499999999999999</v>
      </c>
      <c r="O361">
        <v>0.36428571428571427</v>
      </c>
      <c r="P361" t="s">
        <v>40</v>
      </c>
    </row>
    <row r="362" spans="1:16" hidden="1" x14ac:dyDescent="0.25">
      <c r="A362" s="12">
        <v>46038</v>
      </c>
      <c r="B362" t="s">
        <v>11</v>
      </c>
      <c r="C362" t="s">
        <v>20</v>
      </c>
      <c r="D362">
        <v>5</v>
      </c>
      <c r="E362">
        <v>30</v>
      </c>
      <c r="F362">
        <v>23.438221200068821</v>
      </c>
      <c r="G362" t="str">
        <f>FLOOR(FinalData[[#This Row],[Temperature_C]],2)&amp;"–"&amp;(FLOOR(FinalData[[#This Row],[Temperature_C]],2)+2)&amp;"°C"</f>
        <v>22–24°C</v>
      </c>
      <c r="H362">
        <v>2.29</v>
      </c>
      <c r="I362">
        <v>2026</v>
      </c>
      <c r="J362">
        <v>1</v>
      </c>
      <c r="K362">
        <v>16</v>
      </c>
      <c r="L362">
        <v>5</v>
      </c>
      <c r="M362">
        <v>0</v>
      </c>
      <c r="N362">
        <v>0.16666666666666666</v>
      </c>
      <c r="O362">
        <v>0.45800000000000002</v>
      </c>
      <c r="P362" t="s">
        <v>40</v>
      </c>
    </row>
    <row r="363" spans="1:16" hidden="1" x14ac:dyDescent="0.25">
      <c r="A363" s="12">
        <v>46038.041666666664</v>
      </c>
      <c r="B363" t="s">
        <v>13</v>
      </c>
      <c r="C363" t="s">
        <v>16</v>
      </c>
      <c r="D363">
        <v>6</v>
      </c>
      <c r="E363">
        <v>30</v>
      </c>
      <c r="F363">
        <v>19.662801482243609</v>
      </c>
      <c r="G363" t="str">
        <f>FLOOR(FinalData[[#This Row],[Temperature_C]],2)&amp;"–"&amp;(FLOOR(FinalData[[#This Row],[Temperature_C]],2)+2)&amp;"°C"</f>
        <v>18–20°C</v>
      </c>
      <c r="H363">
        <v>2.97</v>
      </c>
      <c r="I363">
        <v>2026</v>
      </c>
      <c r="J363">
        <v>1</v>
      </c>
      <c r="K363">
        <v>16</v>
      </c>
      <c r="L363">
        <v>5</v>
      </c>
      <c r="M363">
        <v>1</v>
      </c>
      <c r="N363">
        <v>0.2</v>
      </c>
      <c r="O363">
        <v>0.49500000000000005</v>
      </c>
      <c r="P363" t="s">
        <v>40</v>
      </c>
    </row>
    <row r="364" spans="1:16" hidden="1" x14ac:dyDescent="0.25">
      <c r="A364" s="12">
        <v>46038.083333333336</v>
      </c>
      <c r="B364" t="s">
        <v>9</v>
      </c>
      <c r="C364" t="s">
        <v>19</v>
      </c>
      <c r="D364">
        <v>13</v>
      </c>
      <c r="E364">
        <v>20</v>
      </c>
      <c r="F364">
        <v>21.23786332667742</v>
      </c>
      <c r="G364" t="str">
        <f>FLOOR(FinalData[[#This Row],[Temperature_C]],2)&amp;"–"&amp;(FLOOR(FinalData[[#This Row],[Temperature_C]],2)+2)&amp;"°C"</f>
        <v>20–22°C</v>
      </c>
      <c r="H364">
        <v>3.95</v>
      </c>
      <c r="I364">
        <v>2026</v>
      </c>
      <c r="J364">
        <v>1</v>
      </c>
      <c r="K364">
        <v>16</v>
      </c>
      <c r="L364">
        <v>5</v>
      </c>
      <c r="M364">
        <v>2</v>
      </c>
      <c r="N364">
        <v>0.65</v>
      </c>
      <c r="O364">
        <v>0.30384615384615388</v>
      </c>
      <c r="P364" t="s">
        <v>40</v>
      </c>
    </row>
    <row r="365" spans="1:16" hidden="1" x14ac:dyDescent="0.25">
      <c r="A365" s="12">
        <v>46038.125</v>
      </c>
      <c r="B365" t="s">
        <v>7</v>
      </c>
      <c r="C365" t="s">
        <v>14</v>
      </c>
      <c r="D365">
        <v>8</v>
      </c>
      <c r="E365">
        <v>40</v>
      </c>
      <c r="F365">
        <v>21.479621102075829</v>
      </c>
      <c r="G365" t="str">
        <f>FLOOR(FinalData[[#This Row],[Temperature_C]],2)&amp;"–"&amp;(FLOOR(FinalData[[#This Row],[Temperature_C]],2)+2)&amp;"°C"</f>
        <v>20–22°C</v>
      </c>
      <c r="H365">
        <v>2.96</v>
      </c>
      <c r="I365">
        <v>2026</v>
      </c>
      <c r="J365">
        <v>1</v>
      </c>
      <c r="K365">
        <v>16</v>
      </c>
      <c r="L365">
        <v>5</v>
      </c>
      <c r="M365">
        <v>3</v>
      </c>
      <c r="N365">
        <v>0.2</v>
      </c>
      <c r="O365">
        <v>0.37</v>
      </c>
      <c r="P365" t="s">
        <v>40</v>
      </c>
    </row>
    <row r="366" spans="1:16" hidden="1" x14ac:dyDescent="0.25">
      <c r="A366" s="12">
        <v>46038.166666666664</v>
      </c>
      <c r="B366" t="s">
        <v>11</v>
      </c>
      <c r="C366" t="s">
        <v>25</v>
      </c>
      <c r="D366">
        <v>4</v>
      </c>
      <c r="E366">
        <v>20</v>
      </c>
      <c r="F366">
        <v>21.167451798872548</v>
      </c>
      <c r="G366" t="str">
        <f>FLOOR(FinalData[[#This Row],[Temperature_C]],2)&amp;"–"&amp;(FLOOR(FinalData[[#This Row],[Temperature_C]],2)+2)&amp;"°C"</f>
        <v>20–22°C</v>
      </c>
      <c r="H366">
        <v>2.33</v>
      </c>
      <c r="I366">
        <v>2026</v>
      </c>
      <c r="J366">
        <v>1</v>
      </c>
      <c r="K366">
        <v>16</v>
      </c>
      <c r="L366">
        <v>5</v>
      </c>
      <c r="M366">
        <v>4</v>
      </c>
      <c r="N366">
        <v>0.2</v>
      </c>
      <c r="O366">
        <v>0.58250000000000002</v>
      </c>
      <c r="P366" t="s">
        <v>40</v>
      </c>
    </row>
    <row r="367" spans="1:16" hidden="1" x14ac:dyDescent="0.25">
      <c r="A367" s="12">
        <v>46038.208333333336</v>
      </c>
      <c r="B367" t="s">
        <v>7</v>
      </c>
      <c r="C367" t="s">
        <v>21</v>
      </c>
      <c r="D367">
        <v>7</v>
      </c>
      <c r="E367">
        <v>40</v>
      </c>
      <c r="F367">
        <v>18.695232910781641</v>
      </c>
      <c r="G367" t="str">
        <f>FLOOR(FinalData[[#This Row],[Temperature_C]],2)&amp;"–"&amp;(FLOOR(FinalData[[#This Row],[Temperature_C]],2)+2)&amp;"°C"</f>
        <v>18–20°C</v>
      </c>
      <c r="H367">
        <v>3.31</v>
      </c>
      <c r="I367">
        <v>2026</v>
      </c>
      <c r="J367">
        <v>1</v>
      </c>
      <c r="K367">
        <v>16</v>
      </c>
      <c r="L367">
        <v>5</v>
      </c>
      <c r="M367">
        <v>5</v>
      </c>
      <c r="N367">
        <v>0.17499999999999999</v>
      </c>
      <c r="O367">
        <v>0.47285714285714286</v>
      </c>
      <c r="P367" t="s">
        <v>40</v>
      </c>
    </row>
    <row r="368" spans="1:16" hidden="1" x14ac:dyDescent="0.25">
      <c r="A368" s="12">
        <v>46038.25</v>
      </c>
      <c r="B368" t="s">
        <v>18</v>
      </c>
      <c r="C368" t="s">
        <v>19</v>
      </c>
      <c r="D368">
        <v>5</v>
      </c>
      <c r="E368">
        <v>30</v>
      </c>
      <c r="F368">
        <v>25.837062690296069</v>
      </c>
      <c r="G368" t="str">
        <f>FLOOR(FinalData[[#This Row],[Temperature_C]],2)&amp;"–"&amp;(FLOOR(FinalData[[#This Row],[Temperature_C]],2)+2)&amp;"°C"</f>
        <v>24–26°C</v>
      </c>
      <c r="H368">
        <v>1.88</v>
      </c>
      <c r="I368">
        <v>2026</v>
      </c>
      <c r="J368">
        <v>1</v>
      </c>
      <c r="K368">
        <v>16</v>
      </c>
      <c r="L368">
        <v>5</v>
      </c>
      <c r="M368">
        <v>6</v>
      </c>
      <c r="N368">
        <v>0.16666666666666666</v>
      </c>
      <c r="O368">
        <v>0.376</v>
      </c>
      <c r="P368" t="s">
        <v>40</v>
      </c>
    </row>
    <row r="369" spans="1:16" hidden="1" x14ac:dyDescent="0.25">
      <c r="A369" s="12">
        <v>46038.291666666664</v>
      </c>
      <c r="B369" t="s">
        <v>9</v>
      </c>
      <c r="C369" t="s">
        <v>29</v>
      </c>
      <c r="D369">
        <v>10</v>
      </c>
      <c r="E369">
        <v>30</v>
      </c>
      <c r="F369">
        <v>21.16614490934014</v>
      </c>
      <c r="G369" t="str">
        <f>FLOOR(FinalData[[#This Row],[Temperature_C]],2)&amp;"–"&amp;(FLOOR(FinalData[[#This Row],[Temperature_C]],2)+2)&amp;"°C"</f>
        <v>20–22°C</v>
      </c>
      <c r="H369">
        <v>3.52</v>
      </c>
      <c r="I369">
        <v>2026</v>
      </c>
      <c r="J369">
        <v>1</v>
      </c>
      <c r="K369">
        <v>16</v>
      </c>
      <c r="L369">
        <v>5</v>
      </c>
      <c r="M369">
        <v>7</v>
      </c>
      <c r="N369">
        <v>0.33333333333333331</v>
      </c>
      <c r="O369">
        <v>0.35199999999999998</v>
      </c>
      <c r="P369" t="s">
        <v>41</v>
      </c>
    </row>
    <row r="370" spans="1:16" hidden="1" x14ac:dyDescent="0.25">
      <c r="A370" s="12">
        <v>46038.333333333336</v>
      </c>
      <c r="B370" t="s">
        <v>9</v>
      </c>
      <c r="C370" t="s">
        <v>12</v>
      </c>
      <c r="D370">
        <v>9</v>
      </c>
      <c r="E370">
        <v>30</v>
      </c>
      <c r="F370">
        <v>22.080902117676491</v>
      </c>
      <c r="G370" t="str">
        <f>FLOOR(FinalData[[#This Row],[Temperature_C]],2)&amp;"–"&amp;(FLOOR(FinalData[[#This Row],[Temperature_C]],2)+2)&amp;"°C"</f>
        <v>22–24°C</v>
      </c>
      <c r="H370">
        <v>2.54</v>
      </c>
      <c r="I370">
        <v>2026</v>
      </c>
      <c r="J370">
        <v>1</v>
      </c>
      <c r="K370">
        <v>16</v>
      </c>
      <c r="L370">
        <v>5</v>
      </c>
      <c r="M370">
        <v>8</v>
      </c>
      <c r="N370">
        <v>0.3</v>
      </c>
      <c r="O370">
        <v>0.28222222222222221</v>
      </c>
      <c r="P370" t="s">
        <v>41</v>
      </c>
    </row>
    <row r="371" spans="1:16" x14ac:dyDescent="0.25">
      <c r="A371" s="12">
        <v>46038.375</v>
      </c>
      <c r="B371" t="s">
        <v>11</v>
      </c>
      <c r="C371" t="s">
        <v>10</v>
      </c>
      <c r="D371">
        <v>8</v>
      </c>
      <c r="E371">
        <v>40</v>
      </c>
      <c r="F371">
        <v>23.39226291804782</v>
      </c>
      <c r="G371" t="str">
        <f>FLOOR(FinalData[[#This Row],[Temperature_C]],2)&amp;"–"&amp;(FLOOR(FinalData[[#This Row],[Temperature_C]],2)+2)&amp;"°C"</f>
        <v>22–24°C</v>
      </c>
      <c r="H371">
        <v>2.74</v>
      </c>
      <c r="I371">
        <v>2026</v>
      </c>
      <c r="J371">
        <v>1</v>
      </c>
      <c r="K371">
        <v>16</v>
      </c>
      <c r="L371">
        <v>5</v>
      </c>
      <c r="M371">
        <v>9</v>
      </c>
      <c r="N371">
        <v>0.2</v>
      </c>
      <c r="O371">
        <v>0.34250000000000003</v>
      </c>
      <c r="P371" t="s">
        <v>41</v>
      </c>
    </row>
    <row r="372" spans="1:16" hidden="1" x14ac:dyDescent="0.25">
      <c r="A372" s="12">
        <v>46038.416666666664</v>
      </c>
      <c r="B372" t="s">
        <v>9</v>
      </c>
      <c r="C372" t="s">
        <v>8</v>
      </c>
      <c r="D372">
        <v>7</v>
      </c>
      <c r="E372">
        <v>30</v>
      </c>
      <c r="F372">
        <v>24.827543242771171</v>
      </c>
      <c r="G372" t="str">
        <f>FLOOR(FinalData[[#This Row],[Temperature_C]],2)&amp;"–"&amp;(FLOOR(FinalData[[#This Row],[Temperature_C]],2)+2)&amp;"°C"</f>
        <v>24–26°C</v>
      </c>
      <c r="H372">
        <v>2.5099999999999998</v>
      </c>
      <c r="I372">
        <v>2026</v>
      </c>
      <c r="J372">
        <v>1</v>
      </c>
      <c r="K372">
        <v>16</v>
      </c>
      <c r="L372">
        <v>5</v>
      </c>
      <c r="M372">
        <v>10</v>
      </c>
      <c r="N372">
        <v>0.23333333333333334</v>
      </c>
      <c r="O372">
        <v>0.35857142857142854</v>
      </c>
      <c r="P372" t="s">
        <v>41</v>
      </c>
    </row>
    <row r="373" spans="1:16" x14ac:dyDescent="0.25">
      <c r="A373" s="12">
        <v>46038.458333333336</v>
      </c>
      <c r="B373" t="s">
        <v>11</v>
      </c>
      <c r="C373" t="s">
        <v>14</v>
      </c>
      <c r="D373">
        <v>12</v>
      </c>
      <c r="E373">
        <v>25</v>
      </c>
      <c r="F373">
        <v>22.251639448019631</v>
      </c>
      <c r="G373" t="str">
        <f>FLOOR(FinalData[[#This Row],[Temperature_C]],2)&amp;"–"&amp;(FLOOR(FinalData[[#This Row],[Temperature_C]],2)+2)&amp;"°C"</f>
        <v>22–24°C</v>
      </c>
      <c r="H373">
        <v>3.79</v>
      </c>
      <c r="I373">
        <v>2026</v>
      </c>
      <c r="J373">
        <v>1</v>
      </c>
      <c r="K373">
        <v>16</v>
      </c>
      <c r="L373">
        <v>5</v>
      </c>
      <c r="M373">
        <v>11</v>
      </c>
      <c r="N373">
        <v>0.48</v>
      </c>
      <c r="O373">
        <v>0.31583333333333335</v>
      </c>
      <c r="P373" t="s">
        <v>41</v>
      </c>
    </row>
    <row r="374" spans="1:16" hidden="1" x14ac:dyDescent="0.25">
      <c r="A374" s="12">
        <v>46038.5</v>
      </c>
      <c r="B374" t="s">
        <v>9</v>
      </c>
      <c r="C374" t="s">
        <v>12</v>
      </c>
      <c r="D374">
        <v>10</v>
      </c>
      <c r="E374">
        <v>25</v>
      </c>
      <c r="F374">
        <v>23.85663338475047</v>
      </c>
      <c r="G374" t="str">
        <f>FLOOR(FinalData[[#This Row],[Temperature_C]],2)&amp;"–"&amp;(FLOOR(FinalData[[#This Row],[Temperature_C]],2)+2)&amp;"°C"</f>
        <v>22–24°C</v>
      </c>
      <c r="H374">
        <v>3.6</v>
      </c>
      <c r="I374">
        <v>2026</v>
      </c>
      <c r="J374">
        <v>1</v>
      </c>
      <c r="K374">
        <v>16</v>
      </c>
      <c r="L374">
        <v>5</v>
      </c>
      <c r="M374">
        <v>12</v>
      </c>
      <c r="N374">
        <v>0.4</v>
      </c>
      <c r="O374">
        <v>0.36</v>
      </c>
      <c r="P374" t="s">
        <v>42</v>
      </c>
    </row>
    <row r="375" spans="1:16" hidden="1" x14ac:dyDescent="0.25">
      <c r="A375" s="12">
        <v>46038.541666666664</v>
      </c>
      <c r="B375" t="s">
        <v>18</v>
      </c>
      <c r="C375" t="s">
        <v>8</v>
      </c>
      <c r="D375">
        <v>7</v>
      </c>
      <c r="E375">
        <v>25</v>
      </c>
      <c r="F375">
        <v>20.69333519358851</v>
      </c>
      <c r="G375" t="str">
        <f>FLOOR(FinalData[[#This Row],[Temperature_C]],2)&amp;"–"&amp;(FLOOR(FinalData[[#This Row],[Temperature_C]],2)+2)&amp;"°C"</f>
        <v>20–22°C</v>
      </c>
      <c r="H375">
        <v>2.2400000000000002</v>
      </c>
      <c r="I375">
        <v>2026</v>
      </c>
      <c r="J375">
        <v>1</v>
      </c>
      <c r="K375">
        <v>16</v>
      </c>
      <c r="L375">
        <v>5</v>
      </c>
      <c r="M375">
        <v>13</v>
      </c>
      <c r="N375">
        <v>0.28000000000000003</v>
      </c>
      <c r="O375">
        <v>0.32</v>
      </c>
      <c r="P375" t="s">
        <v>42</v>
      </c>
    </row>
    <row r="376" spans="1:16" hidden="1" x14ac:dyDescent="0.25">
      <c r="A376" s="12">
        <v>46038.583333333336</v>
      </c>
      <c r="B376" t="s">
        <v>7</v>
      </c>
      <c r="C376" t="s">
        <v>14</v>
      </c>
      <c r="D376">
        <v>7</v>
      </c>
      <c r="E376">
        <v>20</v>
      </c>
      <c r="F376">
        <v>23.80096277301266</v>
      </c>
      <c r="G376" t="str">
        <f>FLOOR(FinalData[[#This Row],[Temperature_C]],2)&amp;"–"&amp;(FLOOR(FinalData[[#This Row],[Temperature_C]],2)+2)&amp;"°C"</f>
        <v>22–24°C</v>
      </c>
      <c r="H376">
        <v>2.86</v>
      </c>
      <c r="I376">
        <v>2026</v>
      </c>
      <c r="J376">
        <v>1</v>
      </c>
      <c r="K376">
        <v>16</v>
      </c>
      <c r="L376">
        <v>5</v>
      </c>
      <c r="M376">
        <v>14</v>
      </c>
      <c r="N376">
        <v>0.35</v>
      </c>
      <c r="O376">
        <v>0.40857142857142853</v>
      </c>
      <c r="P376" t="s">
        <v>42</v>
      </c>
    </row>
    <row r="377" spans="1:16" hidden="1" x14ac:dyDescent="0.25">
      <c r="A377" s="12">
        <v>46038.625</v>
      </c>
      <c r="B377" t="s">
        <v>13</v>
      </c>
      <c r="C377" t="s">
        <v>12</v>
      </c>
      <c r="D377">
        <v>7</v>
      </c>
      <c r="E377">
        <v>30</v>
      </c>
      <c r="F377">
        <v>24.011931106911732</v>
      </c>
      <c r="G377" t="str">
        <f>FLOOR(FinalData[[#This Row],[Temperature_C]],2)&amp;"–"&amp;(FLOOR(FinalData[[#This Row],[Temperature_C]],2)+2)&amp;"°C"</f>
        <v>24–26°C</v>
      </c>
      <c r="H377">
        <v>2.63</v>
      </c>
      <c r="I377">
        <v>2026</v>
      </c>
      <c r="J377">
        <v>1</v>
      </c>
      <c r="K377">
        <v>16</v>
      </c>
      <c r="L377">
        <v>5</v>
      </c>
      <c r="M377">
        <v>15</v>
      </c>
      <c r="N377">
        <v>0.23333333333333334</v>
      </c>
      <c r="O377">
        <v>0.37571428571428572</v>
      </c>
      <c r="P377" t="s">
        <v>42</v>
      </c>
    </row>
    <row r="378" spans="1:16" hidden="1" x14ac:dyDescent="0.25">
      <c r="A378" s="12">
        <v>46038.666666666664</v>
      </c>
      <c r="B378" t="s">
        <v>11</v>
      </c>
      <c r="C378" t="s">
        <v>14</v>
      </c>
      <c r="D378">
        <v>8</v>
      </c>
      <c r="E378">
        <v>25</v>
      </c>
      <c r="F378">
        <v>23.24783485268529</v>
      </c>
      <c r="G378" t="str">
        <f>FLOOR(FinalData[[#This Row],[Temperature_C]],2)&amp;"–"&amp;(FLOOR(FinalData[[#This Row],[Temperature_C]],2)+2)&amp;"°C"</f>
        <v>22–24°C</v>
      </c>
      <c r="H378">
        <v>2.75</v>
      </c>
      <c r="I378">
        <v>2026</v>
      </c>
      <c r="J378">
        <v>1</v>
      </c>
      <c r="K378">
        <v>16</v>
      </c>
      <c r="L378">
        <v>5</v>
      </c>
      <c r="M378">
        <v>16</v>
      </c>
      <c r="N378">
        <v>0.32</v>
      </c>
      <c r="O378">
        <v>0.34375</v>
      </c>
      <c r="P378" t="s">
        <v>42</v>
      </c>
    </row>
    <row r="379" spans="1:16" hidden="1" x14ac:dyDescent="0.25">
      <c r="A379" s="12">
        <v>46038.708333333336</v>
      </c>
      <c r="B379" t="s">
        <v>9</v>
      </c>
      <c r="C379" t="s">
        <v>12</v>
      </c>
      <c r="D379">
        <v>7</v>
      </c>
      <c r="E379">
        <v>20</v>
      </c>
      <c r="F379">
        <v>25.404955495306019</v>
      </c>
      <c r="G379" t="str">
        <f>FLOOR(FinalData[[#This Row],[Temperature_C]],2)&amp;"–"&amp;(FLOOR(FinalData[[#This Row],[Temperature_C]],2)+2)&amp;"°C"</f>
        <v>24–26°C</v>
      </c>
      <c r="H379">
        <v>3.16</v>
      </c>
      <c r="I379">
        <v>2026</v>
      </c>
      <c r="J379">
        <v>1</v>
      </c>
      <c r="K379">
        <v>16</v>
      </c>
      <c r="L379">
        <v>5</v>
      </c>
      <c r="M379">
        <v>17</v>
      </c>
      <c r="N379">
        <v>0.35</v>
      </c>
      <c r="O379">
        <v>0.45142857142857146</v>
      </c>
      <c r="P379" t="s">
        <v>43</v>
      </c>
    </row>
    <row r="380" spans="1:16" hidden="1" x14ac:dyDescent="0.25">
      <c r="A380" s="12">
        <v>46038.75</v>
      </c>
      <c r="B380" t="s">
        <v>13</v>
      </c>
      <c r="C380" t="s">
        <v>14</v>
      </c>
      <c r="D380">
        <v>10</v>
      </c>
      <c r="E380">
        <v>30</v>
      </c>
      <c r="F380">
        <v>23.871950779000091</v>
      </c>
      <c r="G380" t="str">
        <f>FLOOR(FinalData[[#This Row],[Temperature_C]],2)&amp;"–"&amp;(FLOOR(FinalData[[#This Row],[Temperature_C]],2)+2)&amp;"°C"</f>
        <v>22–24°C</v>
      </c>
      <c r="H380">
        <v>2.82</v>
      </c>
      <c r="I380">
        <v>2026</v>
      </c>
      <c r="J380">
        <v>1</v>
      </c>
      <c r="K380">
        <v>16</v>
      </c>
      <c r="L380">
        <v>5</v>
      </c>
      <c r="M380">
        <v>18</v>
      </c>
      <c r="N380">
        <v>0.33333333333333331</v>
      </c>
      <c r="O380">
        <v>0.28199999999999997</v>
      </c>
      <c r="P380" t="s">
        <v>43</v>
      </c>
    </row>
    <row r="381" spans="1:16" hidden="1" x14ac:dyDescent="0.25">
      <c r="A381" s="12">
        <v>46038.791666666664</v>
      </c>
      <c r="B381" t="s">
        <v>9</v>
      </c>
      <c r="C381" t="s">
        <v>15</v>
      </c>
      <c r="D381">
        <v>8</v>
      </c>
      <c r="E381">
        <v>25</v>
      </c>
      <c r="F381">
        <v>21.820181404268489</v>
      </c>
      <c r="G381" t="str">
        <f>FLOOR(FinalData[[#This Row],[Temperature_C]],2)&amp;"–"&amp;(FLOOR(FinalData[[#This Row],[Temperature_C]],2)+2)&amp;"°C"</f>
        <v>20–22°C</v>
      </c>
      <c r="H381">
        <v>3.08</v>
      </c>
      <c r="I381">
        <v>2026</v>
      </c>
      <c r="J381">
        <v>1</v>
      </c>
      <c r="K381">
        <v>16</v>
      </c>
      <c r="L381">
        <v>5</v>
      </c>
      <c r="M381">
        <v>19</v>
      </c>
      <c r="N381">
        <v>0.32</v>
      </c>
      <c r="O381">
        <v>0.38500000000000001</v>
      </c>
      <c r="P381" t="s">
        <v>43</v>
      </c>
    </row>
    <row r="382" spans="1:16" hidden="1" x14ac:dyDescent="0.25">
      <c r="A382" s="12">
        <v>46038.833333333336</v>
      </c>
      <c r="B382" t="s">
        <v>11</v>
      </c>
      <c r="C382" t="s">
        <v>16</v>
      </c>
      <c r="D382">
        <v>7</v>
      </c>
      <c r="E382">
        <v>20</v>
      </c>
      <c r="F382">
        <v>22.413188968315911</v>
      </c>
      <c r="G382" t="str">
        <f>FLOOR(FinalData[[#This Row],[Temperature_C]],2)&amp;"–"&amp;(FLOOR(FinalData[[#This Row],[Temperature_C]],2)+2)&amp;"°C"</f>
        <v>22–24°C</v>
      </c>
      <c r="H382">
        <v>2.1800000000000002</v>
      </c>
      <c r="I382">
        <v>2026</v>
      </c>
      <c r="J382">
        <v>1</v>
      </c>
      <c r="K382">
        <v>16</v>
      </c>
      <c r="L382">
        <v>5</v>
      </c>
      <c r="M382">
        <v>20</v>
      </c>
      <c r="N382">
        <v>0.35</v>
      </c>
      <c r="O382">
        <v>0.31142857142857144</v>
      </c>
      <c r="P382" t="s">
        <v>43</v>
      </c>
    </row>
    <row r="383" spans="1:16" hidden="1" x14ac:dyDescent="0.25">
      <c r="A383" s="12">
        <v>46038.875</v>
      </c>
      <c r="B383" t="s">
        <v>7</v>
      </c>
      <c r="C383" t="s">
        <v>28</v>
      </c>
      <c r="D383">
        <v>11</v>
      </c>
      <c r="E383">
        <v>25</v>
      </c>
      <c r="F383">
        <v>23.10356770239791</v>
      </c>
      <c r="G383" t="str">
        <f>FLOOR(FinalData[[#This Row],[Temperature_C]],2)&amp;"–"&amp;(FLOOR(FinalData[[#This Row],[Temperature_C]],2)+2)&amp;"°C"</f>
        <v>22–24°C</v>
      </c>
      <c r="H383">
        <v>3.89</v>
      </c>
      <c r="I383">
        <v>2026</v>
      </c>
      <c r="J383">
        <v>1</v>
      </c>
      <c r="K383">
        <v>16</v>
      </c>
      <c r="L383">
        <v>5</v>
      </c>
      <c r="M383">
        <v>21</v>
      </c>
      <c r="N383">
        <v>0.44</v>
      </c>
      <c r="O383">
        <v>0.35363636363636364</v>
      </c>
      <c r="P383" t="s">
        <v>40</v>
      </c>
    </row>
    <row r="384" spans="1:16" hidden="1" x14ac:dyDescent="0.25">
      <c r="A384" s="12">
        <v>46038.916666666664</v>
      </c>
      <c r="B384" t="s">
        <v>18</v>
      </c>
      <c r="C384" t="s">
        <v>24</v>
      </c>
      <c r="D384">
        <v>6</v>
      </c>
      <c r="E384">
        <v>30</v>
      </c>
      <c r="F384">
        <v>23.28196539922412</v>
      </c>
      <c r="G384" t="str">
        <f>FLOOR(FinalData[[#This Row],[Temperature_C]],2)&amp;"–"&amp;(FLOOR(FinalData[[#This Row],[Temperature_C]],2)+2)&amp;"°C"</f>
        <v>22–24°C</v>
      </c>
      <c r="H384">
        <v>2.97</v>
      </c>
      <c r="I384">
        <v>2026</v>
      </c>
      <c r="J384">
        <v>1</v>
      </c>
      <c r="K384">
        <v>16</v>
      </c>
      <c r="L384">
        <v>5</v>
      </c>
      <c r="M384">
        <v>22</v>
      </c>
      <c r="N384">
        <v>0.2</v>
      </c>
      <c r="O384">
        <v>0.49500000000000005</v>
      </c>
      <c r="P384" t="s">
        <v>40</v>
      </c>
    </row>
    <row r="385" spans="1:16" hidden="1" x14ac:dyDescent="0.25">
      <c r="A385" s="12">
        <v>46038.958333333336</v>
      </c>
      <c r="B385" t="s">
        <v>9</v>
      </c>
      <c r="C385" t="s">
        <v>16</v>
      </c>
      <c r="D385">
        <v>5</v>
      </c>
      <c r="E385">
        <v>30</v>
      </c>
      <c r="F385">
        <v>22.04470883479199</v>
      </c>
      <c r="G385" t="str">
        <f>FLOOR(FinalData[[#This Row],[Temperature_C]],2)&amp;"–"&amp;(FLOOR(FinalData[[#This Row],[Temperature_C]],2)+2)&amp;"°C"</f>
        <v>22–24°C</v>
      </c>
      <c r="H385">
        <v>1.68</v>
      </c>
      <c r="I385">
        <v>2026</v>
      </c>
      <c r="J385">
        <v>1</v>
      </c>
      <c r="K385">
        <v>16</v>
      </c>
      <c r="L385">
        <v>5</v>
      </c>
      <c r="M385">
        <v>23</v>
      </c>
      <c r="N385">
        <v>0.16666666666666666</v>
      </c>
      <c r="O385">
        <v>0.33599999999999997</v>
      </c>
      <c r="P385" t="s">
        <v>40</v>
      </c>
    </row>
    <row r="386" spans="1:16" hidden="1" x14ac:dyDescent="0.25">
      <c r="A386" s="12">
        <v>46039</v>
      </c>
      <c r="B386" t="s">
        <v>13</v>
      </c>
      <c r="C386" t="s">
        <v>25</v>
      </c>
      <c r="D386">
        <v>6</v>
      </c>
      <c r="E386">
        <v>20</v>
      </c>
      <c r="F386">
        <v>21.544655290287551</v>
      </c>
      <c r="G386" t="str">
        <f>FLOOR(FinalData[[#This Row],[Temperature_C]],2)&amp;"–"&amp;(FLOOR(FinalData[[#This Row],[Temperature_C]],2)+2)&amp;"°C"</f>
        <v>20–22°C</v>
      </c>
      <c r="H386">
        <v>2.37</v>
      </c>
      <c r="I386">
        <v>2026</v>
      </c>
      <c r="J386">
        <v>1</v>
      </c>
      <c r="K386">
        <v>17</v>
      </c>
      <c r="L386">
        <v>6</v>
      </c>
      <c r="M386">
        <v>0</v>
      </c>
      <c r="N386">
        <v>0.3</v>
      </c>
      <c r="O386">
        <v>0.39500000000000002</v>
      </c>
      <c r="P386" t="s">
        <v>40</v>
      </c>
    </row>
    <row r="387" spans="1:16" hidden="1" x14ac:dyDescent="0.25">
      <c r="A387" s="12">
        <v>46039.041666666664</v>
      </c>
      <c r="B387" t="s">
        <v>18</v>
      </c>
      <c r="C387" t="s">
        <v>20</v>
      </c>
      <c r="D387">
        <v>7</v>
      </c>
      <c r="E387">
        <v>30</v>
      </c>
      <c r="F387">
        <v>27.207346206123439</v>
      </c>
      <c r="G387" t="str">
        <f>FLOOR(FinalData[[#This Row],[Temperature_C]],2)&amp;"–"&amp;(FLOOR(FinalData[[#This Row],[Temperature_C]],2)+2)&amp;"°C"</f>
        <v>26–28°C</v>
      </c>
      <c r="H387">
        <v>3.51</v>
      </c>
      <c r="I387">
        <v>2026</v>
      </c>
      <c r="J387">
        <v>1</v>
      </c>
      <c r="K387">
        <v>17</v>
      </c>
      <c r="L387">
        <v>6</v>
      </c>
      <c r="M387">
        <v>1</v>
      </c>
      <c r="N387">
        <v>0.23333333333333334</v>
      </c>
      <c r="O387">
        <v>0.50142857142857145</v>
      </c>
      <c r="P387" t="s">
        <v>40</v>
      </c>
    </row>
    <row r="388" spans="1:16" hidden="1" x14ac:dyDescent="0.25">
      <c r="A388" s="12">
        <v>46039.083333333336</v>
      </c>
      <c r="B388" t="s">
        <v>9</v>
      </c>
      <c r="C388" t="s">
        <v>29</v>
      </c>
      <c r="D388">
        <v>5</v>
      </c>
      <c r="E388">
        <v>40</v>
      </c>
      <c r="F388">
        <v>19.724790165086659</v>
      </c>
      <c r="G388" t="str">
        <f>FLOOR(FinalData[[#This Row],[Temperature_C]],2)&amp;"–"&amp;(FLOOR(FinalData[[#This Row],[Temperature_C]],2)+2)&amp;"°C"</f>
        <v>18–20°C</v>
      </c>
      <c r="H388">
        <v>2.4300000000000002</v>
      </c>
      <c r="I388">
        <v>2026</v>
      </c>
      <c r="J388">
        <v>1</v>
      </c>
      <c r="K388">
        <v>17</v>
      </c>
      <c r="L388">
        <v>6</v>
      </c>
      <c r="M388">
        <v>2</v>
      </c>
      <c r="N388">
        <v>0.125</v>
      </c>
      <c r="O388">
        <v>0.48600000000000004</v>
      </c>
      <c r="P388" t="s">
        <v>40</v>
      </c>
    </row>
    <row r="389" spans="1:16" hidden="1" x14ac:dyDescent="0.25">
      <c r="A389" s="12">
        <v>46039.125</v>
      </c>
      <c r="B389" t="s">
        <v>13</v>
      </c>
      <c r="C389" t="s">
        <v>27</v>
      </c>
      <c r="D389">
        <v>8</v>
      </c>
      <c r="E389">
        <v>30</v>
      </c>
      <c r="F389">
        <v>25.307180686633849</v>
      </c>
      <c r="G389" t="str">
        <f>FLOOR(FinalData[[#This Row],[Temperature_C]],2)&amp;"–"&amp;(FLOOR(FinalData[[#This Row],[Temperature_C]],2)+2)&amp;"°C"</f>
        <v>24–26°C</v>
      </c>
      <c r="H389">
        <v>3.71</v>
      </c>
      <c r="I389">
        <v>2026</v>
      </c>
      <c r="J389">
        <v>1</v>
      </c>
      <c r="K389">
        <v>17</v>
      </c>
      <c r="L389">
        <v>6</v>
      </c>
      <c r="M389">
        <v>3</v>
      </c>
      <c r="N389">
        <v>0.26666666666666666</v>
      </c>
      <c r="O389">
        <v>0.46375</v>
      </c>
      <c r="P389" t="s">
        <v>40</v>
      </c>
    </row>
    <row r="390" spans="1:16" hidden="1" x14ac:dyDescent="0.25">
      <c r="A390" s="12">
        <v>46039.166666666664</v>
      </c>
      <c r="B390" t="s">
        <v>7</v>
      </c>
      <c r="C390" t="s">
        <v>28</v>
      </c>
      <c r="D390">
        <v>5</v>
      </c>
      <c r="E390">
        <v>40</v>
      </c>
      <c r="F390">
        <v>26.0603903977267</v>
      </c>
      <c r="G390" t="str">
        <f>FLOOR(FinalData[[#This Row],[Temperature_C]],2)&amp;"–"&amp;(FLOOR(FinalData[[#This Row],[Temperature_C]],2)+2)&amp;"°C"</f>
        <v>26–28°C</v>
      </c>
      <c r="H390">
        <v>2.86</v>
      </c>
      <c r="I390">
        <v>2026</v>
      </c>
      <c r="J390">
        <v>1</v>
      </c>
      <c r="K390">
        <v>17</v>
      </c>
      <c r="L390">
        <v>6</v>
      </c>
      <c r="M390">
        <v>4</v>
      </c>
      <c r="N390">
        <v>0.125</v>
      </c>
      <c r="O390">
        <v>0.57199999999999995</v>
      </c>
      <c r="P390" t="s">
        <v>40</v>
      </c>
    </row>
    <row r="391" spans="1:16" hidden="1" x14ac:dyDescent="0.25">
      <c r="A391" s="12">
        <v>46039.208333333336</v>
      </c>
      <c r="B391" t="s">
        <v>7</v>
      </c>
      <c r="C391" t="s">
        <v>26</v>
      </c>
      <c r="D391">
        <v>6</v>
      </c>
      <c r="E391">
        <v>20</v>
      </c>
      <c r="F391">
        <v>20.1919974072378</v>
      </c>
      <c r="G391" t="str">
        <f>FLOOR(FinalData[[#This Row],[Temperature_C]],2)&amp;"–"&amp;(FLOOR(FinalData[[#This Row],[Temperature_C]],2)+2)&amp;"°C"</f>
        <v>20–22°C</v>
      </c>
      <c r="H391">
        <v>3.36</v>
      </c>
      <c r="I391">
        <v>2026</v>
      </c>
      <c r="J391">
        <v>1</v>
      </c>
      <c r="K391">
        <v>17</v>
      </c>
      <c r="L391">
        <v>6</v>
      </c>
      <c r="M391">
        <v>5</v>
      </c>
      <c r="N391">
        <v>0.3</v>
      </c>
      <c r="O391">
        <v>0.55999999999999994</v>
      </c>
      <c r="P391" t="s">
        <v>40</v>
      </c>
    </row>
    <row r="392" spans="1:16" hidden="1" x14ac:dyDescent="0.25">
      <c r="A392" s="12">
        <v>46039.25</v>
      </c>
      <c r="B392" t="s">
        <v>18</v>
      </c>
      <c r="C392" t="s">
        <v>31</v>
      </c>
      <c r="D392">
        <v>9</v>
      </c>
      <c r="E392">
        <v>30</v>
      </c>
      <c r="F392">
        <v>19.945408619144381</v>
      </c>
      <c r="G392" t="str">
        <f>FLOOR(FinalData[[#This Row],[Temperature_C]],2)&amp;"–"&amp;(FLOOR(FinalData[[#This Row],[Temperature_C]],2)+2)&amp;"°C"</f>
        <v>18–20°C</v>
      </c>
      <c r="H392">
        <v>2.85</v>
      </c>
      <c r="I392">
        <v>2026</v>
      </c>
      <c r="J392">
        <v>1</v>
      </c>
      <c r="K392">
        <v>17</v>
      </c>
      <c r="L392">
        <v>6</v>
      </c>
      <c r="M392">
        <v>6</v>
      </c>
      <c r="N392">
        <v>0.3</v>
      </c>
      <c r="O392">
        <v>0.31666666666666665</v>
      </c>
      <c r="P392" t="s">
        <v>40</v>
      </c>
    </row>
    <row r="393" spans="1:16" hidden="1" x14ac:dyDescent="0.25">
      <c r="A393" s="12">
        <v>46039.291666666664</v>
      </c>
      <c r="B393" t="s">
        <v>13</v>
      </c>
      <c r="C393" t="s">
        <v>27</v>
      </c>
      <c r="D393">
        <v>10</v>
      </c>
      <c r="E393">
        <v>20</v>
      </c>
      <c r="F393">
        <v>21.40888586411824</v>
      </c>
      <c r="G393" t="str">
        <f>FLOOR(FinalData[[#This Row],[Temperature_C]],2)&amp;"–"&amp;(FLOOR(FinalData[[#This Row],[Temperature_C]],2)+2)&amp;"°C"</f>
        <v>20–22°C</v>
      </c>
      <c r="H393">
        <v>3.52</v>
      </c>
      <c r="I393">
        <v>2026</v>
      </c>
      <c r="J393">
        <v>1</v>
      </c>
      <c r="K393">
        <v>17</v>
      </c>
      <c r="L393">
        <v>6</v>
      </c>
      <c r="M393">
        <v>7</v>
      </c>
      <c r="N393">
        <v>0.5</v>
      </c>
      <c r="O393">
        <v>0.35199999999999998</v>
      </c>
      <c r="P393" t="s">
        <v>41</v>
      </c>
    </row>
    <row r="394" spans="1:16" x14ac:dyDescent="0.25">
      <c r="A394" s="12">
        <v>46039.333333333336</v>
      </c>
      <c r="B394" t="s">
        <v>11</v>
      </c>
      <c r="C394" t="s">
        <v>20</v>
      </c>
      <c r="D394">
        <v>8</v>
      </c>
      <c r="E394">
        <v>30</v>
      </c>
      <c r="F394">
        <v>25.736196963527629</v>
      </c>
      <c r="G394" t="str">
        <f>FLOOR(FinalData[[#This Row],[Temperature_C]],2)&amp;"–"&amp;(FLOOR(FinalData[[#This Row],[Temperature_C]],2)+2)&amp;"°C"</f>
        <v>24–26°C</v>
      </c>
      <c r="H394">
        <v>3.01</v>
      </c>
      <c r="I394">
        <v>2026</v>
      </c>
      <c r="J394">
        <v>1</v>
      </c>
      <c r="K394">
        <v>17</v>
      </c>
      <c r="L394">
        <v>6</v>
      </c>
      <c r="M394">
        <v>8</v>
      </c>
      <c r="N394">
        <v>0.26666666666666666</v>
      </c>
      <c r="O394">
        <v>0.37624999999999997</v>
      </c>
      <c r="P394" t="s">
        <v>41</v>
      </c>
    </row>
    <row r="395" spans="1:16" hidden="1" x14ac:dyDescent="0.25">
      <c r="A395" s="12">
        <v>46039.375</v>
      </c>
      <c r="B395" t="s">
        <v>9</v>
      </c>
      <c r="C395" t="s">
        <v>27</v>
      </c>
      <c r="D395">
        <v>9</v>
      </c>
      <c r="E395">
        <v>40</v>
      </c>
      <c r="F395">
        <v>25.409348879987409</v>
      </c>
      <c r="G395" t="str">
        <f>FLOOR(FinalData[[#This Row],[Temperature_C]],2)&amp;"–"&amp;(FLOOR(FinalData[[#This Row],[Temperature_C]],2)+2)&amp;"°C"</f>
        <v>24–26°C</v>
      </c>
      <c r="H395">
        <v>3.37</v>
      </c>
      <c r="I395">
        <v>2026</v>
      </c>
      <c r="J395">
        <v>1</v>
      </c>
      <c r="K395">
        <v>17</v>
      </c>
      <c r="L395">
        <v>6</v>
      </c>
      <c r="M395">
        <v>9</v>
      </c>
      <c r="N395">
        <v>0.22500000000000001</v>
      </c>
      <c r="O395">
        <v>0.37444444444444447</v>
      </c>
      <c r="P395" t="s">
        <v>41</v>
      </c>
    </row>
    <row r="396" spans="1:16" x14ac:dyDescent="0.25">
      <c r="A396" s="12">
        <v>46039.416666666664</v>
      </c>
      <c r="B396" t="s">
        <v>11</v>
      </c>
      <c r="C396" t="s">
        <v>23</v>
      </c>
      <c r="D396">
        <v>10</v>
      </c>
      <c r="E396">
        <v>40</v>
      </c>
      <c r="F396">
        <v>23.693419955209841</v>
      </c>
      <c r="G396" t="str">
        <f>FLOOR(FinalData[[#This Row],[Temperature_C]],2)&amp;"–"&amp;(FLOOR(FinalData[[#This Row],[Temperature_C]],2)+2)&amp;"°C"</f>
        <v>22–24°C</v>
      </c>
      <c r="H396">
        <v>4.3099999999999996</v>
      </c>
      <c r="I396">
        <v>2026</v>
      </c>
      <c r="J396">
        <v>1</v>
      </c>
      <c r="K396">
        <v>17</v>
      </c>
      <c r="L396">
        <v>6</v>
      </c>
      <c r="M396">
        <v>10</v>
      </c>
      <c r="N396">
        <v>0.25</v>
      </c>
      <c r="O396">
        <v>0.43099999999999994</v>
      </c>
      <c r="P396" t="s">
        <v>41</v>
      </c>
    </row>
    <row r="397" spans="1:16" hidden="1" x14ac:dyDescent="0.25">
      <c r="A397" s="12">
        <v>46039.458333333336</v>
      </c>
      <c r="B397" t="s">
        <v>13</v>
      </c>
      <c r="C397" t="s">
        <v>29</v>
      </c>
      <c r="D397">
        <v>3</v>
      </c>
      <c r="E397">
        <v>30</v>
      </c>
      <c r="F397">
        <v>24.28108587014955</v>
      </c>
      <c r="G397" t="str">
        <f>FLOOR(FinalData[[#This Row],[Temperature_C]],2)&amp;"–"&amp;(FLOOR(FinalData[[#This Row],[Temperature_C]],2)+2)&amp;"°C"</f>
        <v>24–26°C</v>
      </c>
      <c r="H397">
        <v>1.93</v>
      </c>
      <c r="I397">
        <v>2026</v>
      </c>
      <c r="J397">
        <v>1</v>
      </c>
      <c r="K397">
        <v>17</v>
      </c>
      <c r="L397">
        <v>6</v>
      </c>
      <c r="M397">
        <v>11</v>
      </c>
      <c r="N397">
        <v>0.1</v>
      </c>
      <c r="O397">
        <v>0.64333333333333331</v>
      </c>
      <c r="P397" t="s">
        <v>41</v>
      </c>
    </row>
    <row r="398" spans="1:16" hidden="1" x14ac:dyDescent="0.25">
      <c r="A398" s="12">
        <v>46039.5</v>
      </c>
      <c r="B398" t="s">
        <v>7</v>
      </c>
      <c r="C398" t="s">
        <v>17</v>
      </c>
      <c r="D398">
        <v>8</v>
      </c>
      <c r="E398">
        <v>20</v>
      </c>
      <c r="F398">
        <v>24.872418019159898</v>
      </c>
      <c r="G398" t="str">
        <f>FLOOR(FinalData[[#This Row],[Temperature_C]],2)&amp;"–"&amp;(FLOOR(FinalData[[#This Row],[Temperature_C]],2)+2)&amp;"°C"</f>
        <v>24–26°C</v>
      </c>
      <c r="H398">
        <v>3.29</v>
      </c>
      <c r="I398">
        <v>2026</v>
      </c>
      <c r="J398">
        <v>1</v>
      </c>
      <c r="K398">
        <v>17</v>
      </c>
      <c r="L398">
        <v>6</v>
      </c>
      <c r="M398">
        <v>12</v>
      </c>
      <c r="N398">
        <v>0.4</v>
      </c>
      <c r="O398">
        <v>0.41125</v>
      </c>
      <c r="P398" t="s">
        <v>42</v>
      </c>
    </row>
    <row r="399" spans="1:16" hidden="1" x14ac:dyDescent="0.25">
      <c r="A399" s="12">
        <v>46039.541666666664</v>
      </c>
      <c r="B399" t="s">
        <v>9</v>
      </c>
      <c r="C399" t="s">
        <v>27</v>
      </c>
      <c r="D399">
        <v>9</v>
      </c>
      <c r="E399">
        <v>25</v>
      </c>
      <c r="F399">
        <v>24.045123841750659</v>
      </c>
      <c r="G399" t="str">
        <f>FLOOR(FinalData[[#This Row],[Temperature_C]],2)&amp;"–"&amp;(FLOOR(FinalData[[#This Row],[Temperature_C]],2)+2)&amp;"°C"</f>
        <v>24–26°C</v>
      </c>
      <c r="H399">
        <v>2.81</v>
      </c>
      <c r="I399">
        <v>2026</v>
      </c>
      <c r="J399">
        <v>1</v>
      </c>
      <c r="K399">
        <v>17</v>
      </c>
      <c r="L399">
        <v>6</v>
      </c>
      <c r="M399">
        <v>13</v>
      </c>
      <c r="N399">
        <v>0.36</v>
      </c>
      <c r="O399">
        <v>0.31222222222222223</v>
      </c>
      <c r="P399" t="s">
        <v>42</v>
      </c>
    </row>
    <row r="400" spans="1:16" hidden="1" x14ac:dyDescent="0.25">
      <c r="A400" s="12">
        <v>46039.583333333336</v>
      </c>
      <c r="B400" t="s">
        <v>13</v>
      </c>
      <c r="C400" t="s">
        <v>10</v>
      </c>
      <c r="D400">
        <v>5</v>
      </c>
      <c r="E400">
        <v>40</v>
      </c>
      <c r="F400">
        <v>20.021707164201739</v>
      </c>
      <c r="G400" t="str">
        <f>FLOOR(FinalData[[#This Row],[Temperature_C]],2)&amp;"–"&amp;(FLOOR(FinalData[[#This Row],[Temperature_C]],2)+2)&amp;"°C"</f>
        <v>20–22°C</v>
      </c>
      <c r="H400">
        <v>2.37</v>
      </c>
      <c r="I400">
        <v>2026</v>
      </c>
      <c r="J400">
        <v>1</v>
      </c>
      <c r="K400">
        <v>17</v>
      </c>
      <c r="L400">
        <v>6</v>
      </c>
      <c r="M400">
        <v>14</v>
      </c>
      <c r="N400">
        <v>0.125</v>
      </c>
      <c r="O400">
        <v>0.47400000000000003</v>
      </c>
      <c r="P400" t="s">
        <v>42</v>
      </c>
    </row>
    <row r="401" spans="1:16" hidden="1" x14ac:dyDescent="0.25">
      <c r="A401" s="12">
        <v>46039.625</v>
      </c>
      <c r="B401" t="s">
        <v>11</v>
      </c>
      <c r="C401" t="s">
        <v>22</v>
      </c>
      <c r="D401">
        <v>8</v>
      </c>
      <c r="E401">
        <v>40</v>
      </c>
      <c r="F401">
        <v>27.607277504209581</v>
      </c>
      <c r="G401" t="str">
        <f>FLOOR(FinalData[[#This Row],[Temperature_C]],2)&amp;"–"&amp;(FLOOR(FinalData[[#This Row],[Temperature_C]],2)+2)&amp;"°C"</f>
        <v>26–28°C</v>
      </c>
      <c r="H401">
        <v>3.2</v>
      </c>
      <c r="I401">
        <v>2026</v>
      </c>
      <c r="J401">
        <v>1</v>
      </c>
      <c r="K401">
        <v>17</v>
      </c>
      <c r="L401">
        <v>6</v>
      </c>
      <c r="M401">
        <v>15</v>
      </c>
      <c r="N401">
        <v>0.2</v>
      </c>
      <c r="O401">
        <v>0.4</v>
      </c>
      <c r="P401" t="s">
        <v>42</v>
      </c>
    </row>
    <row r="402" spans="1:16" hidden="1" x14ac:dyDescent="0.25">
      <c r="A402" s="12">
        <v>46039.666666666664</v>
      </c>
      <c r="B402" t="s">
        <v>18</v>
      </c>
      <c r="C402" t="s">
        <v>26</v>
      </c>
      <c r="D402">
        <v>10</v>
      </c>
      <c r="E402">
        <v>30</v>
      </c>
      <c r="F402">
        <v>22.052270259680942</v>
      </c>
      <c r="G402" t="str">
        <f>FLOOR(FinalData[[#This Row],[Temperature_C]],2)&amp;"–"&amp;(FLOOR(FinalData[[#This Row],[Temperature_C]],2)+2)&amp;"°C"</f>
        <v>22–24°C</v>
      </c>
      <c r="H402">
        <v>3.2</v>
      </c>
      <c r="I402">
        <v>2026</v>
      </c>
      <c r="J402">
        <v>1</v>
      </c>
      <c r="K402">
        <v>17</v>
      </c>
      <c r="L402">
        <v>6</v>
      </c>
      <c r="M402">
        <v>16</v>
      </c>
      <c r="N402">
        <v>0.33333333333333331</v>
      </c>
      <c r="O402">
        <v>0.32</v>
      </c>
      <c r="P402" t="s">
        <v>42</v>
      </c>
    </row>
    <row r="403" spans="1:16" hidden="1" x14ac:dyDescent="0.25">
      <c r="A403" s="12">
        <v>46039.708333333336</v>
      </c>
      <c r="B403" t="s">
        <v>7</v>
      </c>
      <c r="C403" t="s">
        <v>14</v>
      </c>
      <c r="D403">
        <v>12</v>
      </c>
      <c r="E403">
        <v>20</v>
      </c>
      <c r="F403">
        <v>24.38571151163562</v>
      </c>
      <c r="G403" t="str">
        <f>FLOOR(FinalData[[#This Row],[Temperature_C]],2)&amp;"–"&amp;(FLOOR(FinalData[[#This Row],[Temperature_C]],2)+2)&amp;"°C"</f>
        <v>24–26°C</v>
      </c>
      <c r="H403">
        <v>4.38</v>
      </c>
      <c r="I403">
        <v>2026</v>
      </c>
      <c r="J403">
        <v>1</v>
      </c>
      <c r="K403">
        <v>17</v>
      </c>
      <c r="L403">
        <v>6</v>
      </c>
      <c r="M403">
        <v>17</v>
      </c>
      <c r="N403">
        <v>0.6</v>
      </c>
      <c r="O403">
        <v>0.36499999999999999</v>
      </c>
      <c r="P403" t="s">
        <v>43</v>
      </c>
    </row>
    <row r="404" spans="1:16" hidden="1" x14ac:dyDescent="0.25">
      <c r="A404" s="12">
        <v>46039.75</v>
      </c>
      <c r="B404" t="s">
        <v>11</v>
      </c>
      <c r="C404" t="s">
        <v>27</v>
      </c>
      <c r="D404">
        <v>9</v>
      </c>
      <c r="E404">
        <v>20</v>
      </c>
      <c r="F404">
        <v>26.795534033491951</v>
      </c>
      <c r="G404" t="str">
        <f>FLOOR(FinalData[[#This Row],[Temperature_C]],2)&amp;"–"&amp;(FLOOR(FinalData[[#This Row],[Temperature_C]],2)+2)&amp;"°C"</f>
        <v>26–28°C</v>
      </c>
      <c r="H404">
        <v>3.48</v>
      </c>
      <c r="I404">
        <v>2026</v>
      </c>
      <c r="J404">
        <v>1</v>
      </c>
      <c r="K404">
        <v>17</v>
      </c>
      <c r="L404">
        <v>6</v>
      </c>
      <c r="M404">
        <v>18</v>
      </c>
      <c r="N404">
        <v>0.45</v>
      </c>
      <c r="O404">
        <v>0.38666666666666666</v>
      </c>
      <c r="P404" t="s">
        <v>43</v>
      </c>
    </row>
    <row r="405" spans="1:16" hidden="1" x14ac:dyDescent="0.25">
      <c r="A405" s="12">
        <v>46039.791666666664</v>
      </c>
      <c r="B405" t="s">
        <v>9</v>
      </c>
      <c r="C405" t="s">
        <v>8</v>
      </c>
      <c r="D405">
        <v>11</v>
      </c>
      <c r="E405">
        <v>30</v>
      </c>
      <c r="F405">
        <v>22.752534639800491</v>
      </c>
      <c r="G405" t="str">
        <f>FLOOR(FinalData[[#This Row],[Temperature_C]],2)&amp;"–"&amp;(FLOOR(FinalData[[#This Row],[Temperature_C]],2)+2)&amp;"°C"</f>
        <v>22–24°C</v>
      </c>
      <c r="H405">
        <v>3.8</v>
      </c>
      <c r="I405">
        <v>2026</v>
      </c>
      <c r="J405">
        <v>1</v>
      </c>
      <c r="K405">
        <v>17</v>
      </c>
      <c r="L405">
        <v>6</v>
      </c>
      <c r="M405">
        <v>19</v>
      </c>
      <c r="N405">
        <v>0.36666666666666664</v>
      </c>
      <c r="O405">
        <v>0.34545454545454546</v>
      </c>
      <c r="P405" t="s">
        <v>43</v>
      </c>
    </row>
    <row r="406" spans="1:16" hidden="1" x14ac:dyDescent="0.25">
      <c r="A406" s="12">
        <v>46039.833333333336</v>
      </c>
      <c r="B406" t="s">
        <v>11</v>
      </c>
      <c r="C406" t="s">
        <v>19</v>
      </c>
      <c r="D406">
        <v>4</v>
      </c>
      <c r="E406">
        <v>25</v>
      </c>
      <c r="F406">
        <v>24.98047690741037</v>
      </c>
      <c r="G406" t="str">
        <f>FLOOR(FinalData[[#This Row],[Temperature_C]],2)&amp;"–"&amp;(FLOOR(FinalData[[#This Row],[Temperature_C]],2)+2)&amp;"°C"</f>
        <v>24–26°C</v>
      </c>
      <c r="H406">
        <v>2.0699999999999998</v>
      </c>
      <c r="I406">
        <v>2026</v>
      </c>
      <c r="J406">
        <v>1</v>
      </c>
      <c r="K406">
        <v>17</v>
      </c>
      <c r="L406">
        <v>6</v>
      </c>
      <c r="M406">
        <v>20</v>
      </c>
      <c r="N406">
        <v>0.16</v>
      </c>
      <c r="O406">
        <v>0.51749999999999996</v>
      </c>
      <c r="P406" t="s">
        <v>43</v>
      </c>
    </row>
    <row r="407" spans="1:16" hidden="1" x14ac:dyDescent="0.25">
      <c r="A407" s="12">
        <v>46039.875</v>
      </c>
      <c r="B407" t="s">
        <v>13</v>
      </c>
      <c r="C407" t="s">
        <v>16</v>
      </c>
      <c r="D407">
        <v>13</v>
      </c>
      <c r="E407">
        <v>30</v>
      </c>
      <c r="F407">
        <v>24.979720281172</v>
      </c>
      <c r="G407" t="str">
        <f>FLOOR(FinalData[[#This Row],[Temperature_C]],2)&amp;"–"&amp;(FLOOR(FinalData[[#This Row],[Temperature_C]],2)+2)&amp;"°C"</f>
        <v>24–26°C</v>
      </c>
      <c r="H407">
        <v>4.3099999999999996</v>
      </c>
      <c r="I407">
        <v>2026</v>
      </c>
      <c r="J407">
        <v>1</v>
      </c>
      <c r="K407">
        <v>17</v>
      </c>
      <c r="L407">
        <v>6</v>
      </c>
      <c r="M407">
        <v>21</v>
      </c>
      <c r="N407">
        <v>0.43333333333333335</v>
      </c>
      <c r="O407">
        <v>0.3315384615384615</v>
      </c>
      <c r="P407" t="s">
        <v>40</v>
      </c>
    </row>
    <row r="408" spans="1:16" hidden="1" x14ac:dyDescent="0.25">
      <c r="A408" s="12">
        <v>46039.916666666664</v>
      </c>
      <c r="B408" t="s">
        <v>9</v>
      </c>
      <c r="C408" t="s">
        <v>15</v>
      </c>
      <c r="D408">
        <v>12</v>
      </c>
      <c r="E408">
        <v>30</v>
      </c>
      <c r="F408">
        <v>20.713961375852541</v>
      </c>
      <c r="G408" t="str">
        <f>FLOOR(FinalData[[#This Row],[Temperature_C]],2)&amp;"–"&amp;(FLOOR(FinalData[[#This Row],[Temperature_C]],2)+2)&amp;"°C"</f>
        <v>20–22°C</v>
      </c>
      <c r="H408">
        <v>4.24</v>
      </c>
      <c r="I408">
        <v>2026</v>
      </c>
      <c r="J408">
        <v>1</v>
      </c>
      <c r="K408">
        <v>17</v>
      </c>
      <c r="L408">
        <v>6</v>
      </c>
      <c r="M408">
        <v>22</v>
      </c>
      <c r="N408">
        <v>0.4</v>
      </c>
      <c r="O408">
        <v>0.35333333333333333</v>
      </c>
      <c r="P408" t="s">
        <v>40</v>
      </c>
    </row>
    <row r="409" spans="1:16" hidden="1" x14ac:dyDescent="0.25">
      <c r="A409" s="12">
        <v>46039.958333333336</v>
      </c>
      <c r="B409" t="s">
        <v>11</v>
      </c>
      <c r="C409" t="s">
        <v>31</v>
      </c>
      <c r="D409">
        <v>7</v>
      </c>
      <c r="E409">
        <v>25</v>
      </c>
      <c r="F409">
        <v>23.357389433620948</v>
      </c>
      <c r="G409" t="str">
        <f>FLOOR(FinalData[[#This Row],[Temperature_C]],2)&amp;"–"&amp;(FLOOR(FinalData[[#This Row],[Temperature_C]],2)+2)&amp;"°C"</f>
        <v>22–24°C</v>
      </c>
      <c r="H409">
        <v>3.12</v>
      </c>
      <c r="I409">
        <v>2026</v>
      </c>
      <c r="J409">
        <v>1</v>
      </c>
      <c r="K409">
        <v>17</v>
      </c>
      <c r="L409">
        <v>6</v>
      </c>
      <c r="M409">
        <v>23</v>
      </c>
      <c r="N409">
        <v>0.28000000000000003</v>
      </c>
      <c r="O409">
        <v>0.44571428571428573</v>
      </c>
      <c r="P409" t="s">
        <v>40</v>
      </c>
    </row>
    <row r="410" spans="1:16" hidden="1" x14ac:dyDescent="0.25">
      <c r="A410" s="12">
        <v>46040</v>
      </c>
      <c r="B410" t="s">
        <v>9</v>
      </c>
      <c r="C410" t="s">
        <v>30</v>
      </c>
      <c r="D410">
        <v>12</v>
      </c>
      <c r="E410">
        <v>30</v>
      </c>
      <c r="F410">
        <v>23.722831047543959</v>
      </c>
      <c r="G410" t="str">
        <f>FLOOR(FinalData[[#This Row],[Temperature_C]],2)&amp;"–"&amp;(FLOOR(FinalData[[#This Row],[Temperature_C]],2)+2)&amp;"°C"</f>
        <v>22–24°C</v>
      </c>
      <c r="H410">
        <v>4.24</v>
      </c>
      <c r="I410">
        <v>2026</v>
      </c>
      <c r="J410">
        <v>1</v>
      </c>
      <c r="K410">
        <v>18</v>
      </c>
      <c r="L410">
        <v>0</v>
      </c>
      <c r="M410">
        <v>0</v>
      </c>
      <c r="N410">
        <v>0.4</v>
      </c>
      <c r="O410">
        <v>0.35333333333333333</v>
      </c>
      <c r="P410" t="s">
        <v>40</v>
      </c>
    </row>
    <row r="411" spans="1:16" hidden="1" x14ac:dyDescent="0.25">
      <c r="A411" s="12">
        <v>46040.041666666664</v>
      </c>
      <c r="B411" t="s">
        <v>18</v>
      </c>
      <c r="C411" t="s">
        <v>22</v>
      </c>
      <c r="D411">
        <v>7</v>
      </c>
      <c r="E411">
        <v>25</v>
      </c>
      <c r="F411">
        <v>24.993049267793161</v>
      </c>
      <c r="G411" t="str">
        <f>FLOOR(FinalData[[#This Row],[Temperature_C]],2)&amp;"–"&amp;(FLOOR(FinalData[[#This Row],[Temperature_C]],2)+2)&amp;"°C"</f>
        <v>24–26°C</v>
      </c>
      <c r="H411">
        <v>2.78</v>
      </c>
      <c r="I411">
        <v>2026</v>
      </c>
      <c r="J411">
        <v>1</v>
      </c>
      <c r="K411">
        <v>18</v>
      </c>
      <c r="L411">
        <v>0</v>
      </c>
      <c r="M411">
        <v>1</v>
      </c>
      <c r="N411">
        <v>0.28000000000000003</v>
      </c>
      <c r="O411">
        <v>0.39714285714285713</v>
      </c>
      <c r="P411" t="s">
        <v>40</v>
      </c>
    </row>
    <row r="412" spans="1:16" hidden="1" x14ac:dyDescent="0.25">
      <c r="A412" s="12">
        <v>46040.083333333336</v>
      </c>
      <c r="B412" t="s">
        <v>7</v>
      </c>
      <c r="C412" t="s">
        <v>29</v>
      </c>
      <c r="D412">
        <v>3</v>
      </c>
      <c r="E412">
        <v>25</v>
      </c>
      <c r="F412">
        <v>22.878164334458429</v>
      </c>
      <c r="G412" t="str">
        <f>FLOOR(FinalData[[#This Row],[Temperature_C]],2)&amp;"–"&amp;(FLOOR(FinalData[[#This Row],[Temperature_C]],2)+2)&amp;"°C"</f>
        <v>22–24°C</v>
      </c>
      <c r="H412">
        <v>1.75</v>
      </c>
      <c r="I412">
        <v>2026</v>
      </c>
      <c r="J412">
        <v>1</v>
      </c>
      <c r="K412">
        <v>18</v>
      </c>
      <c r="L412">
        <v>0</v>
      </c>
      <c r="M412">
        <v>2</v>
      </c>
      <c r="N412">
        <v>0.12</v>
      </c>
      <c r="O412">
        <v>0.58333333333333337</v>
      </c>
      <c r="P412" t="s">
        <v>40</v>
      </c>
    </row>
    <row r="413" spans="1:16" hidden="1" x14ac:dyDescent="0.25">
      <c r="A413" s="12">
        <v>46040.125</v>
      </c>
      <c r="B413" t="s">
        <v>13</v>
      </c>
      <c r="C413" t="s">
        <v>8</v>
      </c>
      <c r="D413">
        <v>9</v>
      </c>
      <c r="E413">
        <v>20</v>
      </c>
      <c r="F413">
        <v>23.429653012233199</v>
      </c>
      <c r="G413" t="str">
        <f>FLOOR(FinalData[[#This Row],[Temperature_C]],2)&amp;"–"&amp;(FLOOR(FinalData[[#This Row],[Temperature_C]],2)+2)&amp;"°C"</f>
        <v>22–24°C</v>
      </c>
      <c r="H413">
        <v>3.1</v>
      </c>
      <c r="I413">
        <v>2026</v>
      </c>
      <c r="J413">
        <v>1</v>
      </c>
      <c r="K413">
        <v>18</v>
      </c>
      <c r="L413">
        <v>0</v>
      </c>
      <c r="M413">
        <v>3</v>
      </c>
      <c r="N413">
        <v>0.45</v>
      </c>
      <c r="O413">
        <v>0.34444444444444444</v>
      </c>
      <c r="P413" t="s">
        <v>40</v>
      </c>
    </row>
    <row r="414" spans="1:16" hidden="1" x14ac:dyDescent="0.25">
      <c r="A414" s="12">
        <v>46040.166666666664</v>
      </c>
      <c r="B414" t="s">
        <v>13</v>
      </c>
      <c r="C414" t="s">
        <v>24</v>
      </c>
      <c r="D414">
        <v>10</v>
      </c>
      <c r="E414">
        <v>20</v>
      </c>
      <c r="F414">
        <v>18.963024271222729</v>
      </c>
      <c r="G414" t="str">
        <f>FLOOR(FinalData[[#This Row],[Temperature_C]],2)&amp;"–"&amp;(FLOOR(FinalData[[#This Row],[Temperature_C]],2)+2)&amp;"°C"</f>
        <v>18–20°C</v>
      </c>
      <c r="H414">
        <v>3.8</v>
      </c>
      <c r="I414">
        <v>2026</v>
      </c>
      <c r="J414">
        <v>1</v>
      </c>
      <c r="K414">
        <v>18</v>
      </c>
      <c r="L414">
        <v>0</v>
      </c>
      <c r="M414">
        <v>4</v>
      </c>
      <c r="N414">
        <v>0.5</v>
      </c>
      <c r="O414">
        <v>0.38</v>
      </c>
      <c r="P414" t="s">
        <v>40</v>
      </c>
    </row>
    <row r="415" spans="1:16" hidden="1" x14ac:dyDescent="0.25">
      <c r="A415" s="12">
        <v>46040.208333333336</v>
      </c>
      <c r="B415" t="s">
        <v>11</v>
      </c>
      <c r="C415" t="s">
        <v>14</v>
      </c>
      <c r="D415">
        <v>8</v>
      </c>
      <c r="E415">
        <v>30</v>
      </c>
      <c r="F415">
        <v>23.957637496426148</v>
      </c>
      <c r="G415" t="str">
        <f>FLOOR(FinalData[[#This Row],[Temperature_C]],2)&amp;"–"&amp;(FLOOR(FinalData[[#This Row],[Temperature_C]],2)+2)&amp;"°C"</f>
        <v>22–24°C</v>
      </c>
      <c r="H415">
        <v>3.3</v>
      </c>
      <c r="I415">
        <v>2026</v>
      </c>
      <c r="J415">
        <v>1</v>
      </c>
      <c r="K415">
        <v>18</v>
      </c>
      <c r="L415">
        <v>0</v>
      </c>
      <c r="M415">
        <v>5</v>
      </c>
      <c r="N415">
        <v>0.26666666666666666</v>
      </c>
      <c r="O415">
        <v>0.41249999999999998</v>
      </c>
      <c r="P415" t="s">
        <v>40</v>
      </c>
    </row>
    <row r="416" spans="1:16" hidden="1" x14ac:dyDescent="0.25">
      <c r="A416" s="12">
        <v>46040.25</v>
      </c>
      <c r="B416" t="s">
        <v>9</v>
      </c>
      <c r="C416" t="s">
        <v>31</v>
      </c>
      <c r="D416">
        <v>6</v>
      </c>
      <c r="E416">
        <v>25</v>
      </c>
      <c r="F416">
        <v>18.645869907114289</v>
      </c>
      <c r="G416" t="str">
        <f>FLOOR(FinalData[[#This Row],[Temperature_C]],2)&amp;"–"&amp;(FLOOR(FinalData[[#This Row],[Temperature_C]],2)+2)&amp;"°C"</f>
        <v>18–20°C</v>
      </c>
      <c r="H416">
        <v>2.86</v>
      </c>
      <c r="I416">
        <v>2026</v>
      </c>
      <c r="J416">
        <v>1</v>
      </c>
      <c r="K416">
        <v>18</v>
      </c>
      <c r="L416">
        <v>0</v>
      </c>
      <c r="M416">
        <v>6</v>
      </c>
      <c r="N416">
        <v>0.24</v>
      </c>
      <c r="O416">
        <v>0.47666666666666663</v>
      </c>
      <c r="P416" t="s">
        <v>40</v>
      </c>
    </row>
    <row r="417" spans="1:16" hidden="1" x14ac:dyDescent="0.25">
      <c r="A417" s="12">
        <v>46040.291666666664</v>
      </c>
      <c r="B417" t="s">
        <v>9</v>
      </c>
      <c r="C417" t="s">
        <v>22</v>
      </c>
      <c r="D417">
        <v>6</v>
      </c>
      <c r="E417">
        <v>25</v>
      </c>
      <c r="F417">
        <v>22.78702423363891</v>
      </c>
      <c r="G417" t="str">
        <f>FLOOR(FinalData[[#This Row],[Temperature_C]],2)&amp;"–"&amp;(FLOOR(FinalData[[#This Row],[Temperature_C]],2)+2)&amp;"°C"</f>
        <v>22–24°C</v>
      </c>
      <c r="H417">
        <v>2.2799999999999998</v>
      </c>
      <c r="I417">
        <v>2026</v>
      </c>
      <c r="J417">
        <v>1</v>
      </c>
      <c r="K417">
        <v>18</v>
      </c>
      <c r="L417">
        <v>0</v>
      </c>
      <c r="M417">
        <v>7</v>
      </c>
      <c r="N417">
        <v>0.24</v>
      </c>
      <c r="O417">
        <v>0.37999999999999995</v>
      </c>
      <c r="P417" t="s">
        <v>41</v>
      </c>
    </row>
    <row r="418" spans="1:16" hidden="1" x14ac:dyDescent="0.25">
      <c r="A418" s="12">
        <v>46040.333333333336</v>
      </c>
      <c r="B418" t="s">
        <v>7</v>
      </c>
      <c r="C418" t="s">
        <v>24</v>
      </c>
      <c r="D418">
        <v>7</v>
      </c>
      <c r="E418">
        <v>20</v>
      </c>
      <c r="F418">
        <v>22.575142140179072</v>
      </c>
      <c r="G418" t="str">
        <f>FLOOR(FinalData[[#This Row],[Temperature_C]],2)&amp;"–"&amp;(FLOOR(FinalData[[#This Row],[Temperature_C]],2)+2)&amp;"°C"</f>
        <v>22–24°C</v>
      </c>
      <c r="H418">
        <v>3.09</v>
      </c>
      <c r="I418">
        <v>2026</v>
      </c>
      <c r="J418">
        <v>1</v>
      </c>
      <c r="K418">
        <v>18</v>
      </c>
      <c r="L418">
        <v>0</v>
      </c>
      <c r="M418">
        <v>8</v>
      </c>
      <c r="N418">
        <v>0.35</v>
      </c>
      <c r="O418">
        <v>0.44142857142857139</v>
      </c>
      <c r="P418" t="s">
        <v>41</v>
      </c>
    </row>
    <row r="419" spans="1:16" hidden="1" x14ac:dyDescent="0.25">
      <c r="A419" s="12">
        <v>46040.375</v>
      </c>
      <c r="B419" t="s">
        <v>9</v>
      </c>
      <c r="C419" t="s">
        <v>19</v>
      </c>
      <c r="D419">
        <v>11</v>
      </c>
      <c r="E419">
        <v>25</v>
      </c>
      <c r="F419">
        <v>20.15769371970876</v>
      </c>
      <c r="G419" t="str">
        <f>FLOOR(FinalData[[#This Row],[Temperature_C]],2)&amp;"–"&amp;(FLOOR(FinalData[[#This Row],[Temperature_C]],2)+2)&amp;"°C"</f>
        <v>20–22°C</v>
      </c>
      <c r="H419">
        <v>3.67</v>
      </c>
      <c r="I419">
        <v>2026</v>
      </c>
      <c r="J419">
        <v>1</v>
      </c>
      <c r="K419">
        <v>18</v>
      </c>
      <c r="L419">
        <v>0</v>
      </c>
      <c r="M419">
        <v>9</v>
      </c>
      <c r="N419">
        <v>0.44</v>
      </c>
      <c r="O419">
        <v>0.33363636363636362</v>
      </c>
      <c r="P419" t="s">
        <v>41</v>
      </c>
    </row>
    <row r="420" spans="1:16" hidden="1" x14ac:dyDescent="0.25">
      <c r="A420" s="12">
        <v>46040.416666666664</v>
      </c>
      <c r="B420" t="s">
        <v>9</v>
      </c>
      <c r="C420" t="s">
        <v>23</v>
      </c>
      <c r="D420">
        <v>3</v>
      </c>
      <c r="E420">
        <v>40</v>
      </c>
      <c r="F420">
        <v>20.872420767795941</v>
      </c>
      <c r="G420" t="str">
        <f>FLOOR(FinalData[[#This Row],[Temperature_C]],2)&amp;"–"&amp;(FLOOR(FinalData[[#This Row],[Temperature_C]],2)+2)&amp;"°C"</f>
        <v>20–22°C</v>
      </c>
      <c r="H420">
        <v>1.48</v>
      </c>
      <c r="I420">
        <v>2026</v>
      </c>
      <c r="J420">
        <v>1</v>
      </c>
      <c r="K420">
        <v>18</v>
      </c>
      <c r="L420">
        <v>0</v>
      </c>
      <c r="M420">
        <v>10</v>
      </c>
      <c r="N420">
        <v>7.4999999999999997E-2</v>
      </c>
      <c r="O420">
        <v>0.49333333333333335</v>
      </c>
      <c r="P420" t="s">
        <v>41</v>
      </c>
    </row>
    <row r="421" spans="1:16" x14ac:dyDescent="0.25">
      <c r="A421" s="12">
        <v>46040.458333333336</v>
      </c>
      <c r="B421" t="s">
        <v>11</v>
      </c>
      <c r="C421" t="s">
        <v>28</v>
      </c>
      <c r="D421">
        <v>5</v>
      </c>
      <c r="E421">
        <v>30</v>
      </c>
      <c r="F421">
        <v>24.840022920010789</v>
      </c>
      <c r="G421" t="str">
        <f>FLOOR(FinalData[[#This Row],[Temperature_C]],2)&amp;"–"&amp;(FLOOR(FinalData[[#This Row],[Temperature_C]],2)+2)&amp;"°C"</f>
        <v>24–26°C</v>
      </c>
      <c r="H421">
        <v>2.39</v>
      </c>
      <c r="I421">
        <v>2026</v>
      </c>
      <c r="J421">
        <v>1</v>
      </c>
      <c r="K421">
        <v>18</v>
      </c>
      <c r="L421">
        <v>0</v>
      </c>
      <c r="M421">
        <v>11</v>
      </c>
      <c r="N421">
        <v>0.16666666666666666</v>
      </c>
      <c r="O421">
        <v>0.47800000000000004</v>
      </c>
      <c r="P421" t="s">
        <v>41</v>
      </c>
    </row>
    <row r="422" spans="1:16" hidden="1" x14ac:dyDescent="0.25">
      <c r="A422" s="12">
        <v>46040.5</v>
      </c>
      <c r="B422" t="s">
        <v>18</v>
      </c>
      <c r="C422" t="s">
        <v>19</v>
      </c>
      <c r="D422">
        <v>6</v>
      </c>
      <c r="E422">
        <v>30</v>
      </c>
      <c r="F422">
        <v>20.91484461065885</v>
      </c>
      <c r="G422" t="str">
        <f>FLOOR(FinalData[[#This Row],[Temperature_C]],2)&amp;"–"&amp;(FLOOR(FinalData[[#This Row],[Temperature_C]],2)+2)&amp;"°C"</f>
        <v>20–22°C</v>
      </c>
      <c r="H422">
        <v>2.11</v>
      </c>
      <c r="I422">
        <v>2026</v>
      </c>
      <c r="J422">
        <v>1</v>
      </c>
      <c r="K422">
        <v>18</v>
      </c>
      <c r="L422">
        <v>0</v>
      </c>
      <c r="M422">
        <v>12</v>
      </c>
      <c r="N422">
        <v>0.2</v>
      </c>
      <c r="O422">
        <v>0.35166666666666663</v>
      </c>
      <c r="P422" t="s">
        <v>42</v>
      </c>
    </row>
    <row r="423" spans="1:16" hidden="1" x14ac:dyDescent="0.25">
      <c r="A423" s="12">
        <v>46040.541666666664</v>
      </c>
      <c r="B423" t="s">
        <v>11</v>
      </c>
      <c r="C423" t="s">
        <v>28</v>
      </c>
      <c r="D423">
        <v>5</v>
      </c>
      <c r="E423">
        <v>20</v>
      </c>
      <c r="F423">
        <v>23.362125485542169</v>
      </c>
      <c r="G423" t="str">
        <f>FLOOR(FinalData[[#This Row],[Temperature_C]],2)&amp;"–"&amp;(FLOOR(FinalData[[#This Row],[Temperature_C]],2)+2)&amp;"°C"</f>
        <v>22–24°C</v>
      </c>
      <c r="H423">
        <v>2.65</v>
      </c>
      <c r="I423">
        <v>2026</v>
      </c>
      <c r="J423">
        <v>1</v>
      </c>
      <c r="K423">
        <v>18</v>
      </c>
      <c r="L423">
        <v>0</v>
      </c>
      <c r="M423">
        <v>13</v>
      </c>
      <c r="N423">
        <v>0.25</v>
      </c>
      <c r="O423">
        <v>0.53</v>
      </c>
      <c r="P423" t="s">
        <v>42</v>
      </c>
    </row>
    <row r="424" spans="1:16" hidden="1" x14ac:dyDescent="0.25">
      <c r="A424" s="12">
        <v>46040.583333333336</v>
      </c>
      <c r="B424" t="s">
        <v>7</v>
      </c>
      <c r="C424" t="s">
        <v>26</v>
      </c>
      <c r="D424">
        <v>6</v>
      </c>
      <c r="E424">
        <v>30</v>
      </c>
      <c r="F424">
        <v>26.139732872519939</v>
      </c>
      <c r="G424" t="str">
        <f>FLOOR(FinalData[[#This Row],[Temperature_C]],2)&amp;"–"&amp;(FLOOR(FinalData[[#This Row],[Temperature_C]],2)+2)&amp;"°C"</f>
        <v>26–28°C</v>
      </c>
      <c r="H424">
        <v>2.94</v>
      </c>
      <c r="I424">
        <v>2026</v>
      </c>
      <c r="J424">
        <v>1</v>
      </c>
      <c r="K424">
        <v>18</v>
      </c>
      <c r="L424">
        <v>0</v>
      </c>
      <c r="M424">
        <v>14</v>
      </c>
      <c r="N424">
        <v>0.2</v>
      </c>
      <c r="O424">
        <v>0.49</v>
      </c>
      <c r="P424" t="s">
        <v>42</v>
      </c>
    </row>
    <row r="425" spans="1:16" hidden="1" x14ac:dyDescent="0.25">
      <c r="A425" s="12">
        <v>46040.625</v>
      </c>
      <c r="B425" t="s">
        <v>9</v>
      </c>
      <c r="C425" t="s">
        <v>15</v>
      </c>
      <c r="D425">
        <v>10</v>
      </c>
      <c r="E425">
        <v>20</v>
      </c>
      <c r="F425">
        <v>21.214424969016228</v>
      </c>
      <c r="G425" t="str">
        <f>FLOOR(FinalData[[#This Row],[Temperature_C]],2)&amp;"–"&amp;(FLOOR(FinalData[[#This Row],[Temperature_C]],2)+2)&amp;"°C"</f>
        <v>20–22°C</v>
      </c>
      <c r="H425">
        <v>3.57</v>
      </c>
      <c r="I425">
        <v>2026</v>
      </c>
      <c r="J425">
        <v>1</v>
      </c>
      <c r="K425">
        <v>18</v>
      </c>
      <c r="L425">
        <v>0</v>
      </c>
      <c r="M425">
        <v>15</v>
      </c>
      <c r="N425">
        <v>0.5</v>
      </c>
      <c r="O425">
        <v>0.35699999999999998</v>
      </c>
      <c r="P425" t="s">
        <v>42</v>
      </c>
    </row>
    <row r="426" spans="1:16" hidden="1" x14ac:dyDescent="0.25">
      <c r="A426" s="12">
        <v>46040.666666666664</v>
      </c>
      <c r="B426" t="s">
        <v>11</v>
      </c>
      <c r="C426" t="s">
        <v>22</v>
      </c>
      <c r="D426">
        <v>8</v>
      </c>
      <c r="E426">
        <v>25</v>
      </c>
      <c r="F426">
        <v>21.992991676225401</v>
      </c>
      <c r="G426" t="str">
        <f>FLOOR(FinalData[[#This Row],[Temperature_C]],2)&amp;"–"&amp;(FLOOR(FinalData[[#This Row],[Temperature_C]],2)+2)&amp;"°C"</f>
        <v>20–22°C</v>
      </c>
      <c r="H426">
        <v>2.77</v>
      </c>
      <c r="I426">
        <v>2026</v>
      </c>
      <c r="J426">
        <v>1</v>
      </c>
      <c r="K426">
        <v>18</v>
      </c>
      <c r="L426">
        <v>0</v>
      </c>
      <c r="M426">
        <v>16</v>
      </c>
      <c r="N426">
        <v>0.32</v>
      </c>
      <c r="O426">
        <v>0.34625</v>
      </c>
      <c r="P426" t="s">
        <v>42</v>
      </c>
    </row>
    <row r="427" spans="1:16" hidden="1" x14ac:dyDescent="0.25">
      <c r="A427" s="12">
        <v>46040.708333333336</v>
      </c>
      <c r="B427" t="s">
        <v>11</v>
      </c>
      <c r="C427" t="s">
        <v>14</v>
      </c>
      <c r="D427">
        <v>6</v>
      </c>
      <c r="E427">
        <v>25</v>
      </c>
      <c r="F427">
        <v>22.200201875737729</v>
      </c>
      <c r="G427" t="str">
        <f>FLOOR(FinalData[[#This Row],[Temperature_C]],2)&amp;"–"&amp;(FLOOR(FinalData[[#This Row],[Temperature_C]],2)+2)&amp;"°C"</f>
        <v>22–24°C</v>
      </c>
      <c r="H427">
        <v>2.41</v>
      </c>
      <c r="I427">
        <v>2026</v>
      </c>
      <c r="J427">
        <v>1</v>
      </c>
      <c r="K427">
        <v>18</v>
      </c>
      <c r="L427">
        <v>0</v>
      </c>
      <c r="M427">
        <v>17</v>
      </c>
      <c r="N427">
        <v>0.24</v>
      </c>
      <c r="O427">
        <v>0.40166666666666667</v>
      </c>
      <c r="P427" t="s">
        <v>43</v>
      </c>
    </row>
    <row r="428" spans="1:16" hidden="1" x14ac:dyDescent="0.25">
      <c r="A428" s="12">
        <v>46040.75</v>
      </c>
      <c r="B428" t="s">
        <v>11</v>
      </c>
      <c r="C428" t="s">
        <v>26</v>
      </c>
      <c r="D428">
        <v>12</v>
      </c>
      <c r="E428">
        <v>40</v>
      </c>
      <c r="F428">
        <v>20.50120959388094</v>
      </c>
      <c r="G428" t="str">
        <f>FLOOR(FinalData[[#This Row],[Temperature_C]],2)&amp;"–"&amp;(FLOOR(FinalData[[#This Row],[Temperature_C]],2)+2)&amp;"°C"</f>
        <v>20–22°C</v>
      </c>
      <c r="H428">
        <v>3.69</v>
      </c>
      <c r="I428">
        <v>2026</v>
      </c>
      <c r="J428">
        <v>1</v>
      </c>
      <c r="K428">
        <v>18</v>
      </c>
      <c r="L428">
        <v>0</v>
      </c>
      <c r="M428">
        <v>18</v>
      </c>
      <c r="N428">
        <v>0.3</v>
      </c>
      <c r="O428">
        <v>0.3075</v>
      </c>
      <c r="P428" t="s">
        <v>43</v>
      </c>
    </row>
    <row r="429" spans="1:16" hidden="1" x14ac:dyDescent="0.25">
      <c r="A429" s="12">
        <v>46040.791666666664</v>
      </c>
      <c r="B429" t="s">
        <v>9</v>
      </c>
      <c r="C429" t="s">
        <v>12</v>
      </c>
      <c r="D429">
        <v>7</v>
      </c>
      <c r="E429">
        <v>25</v>
      </c>
      <c r="F429">
        <v>21.43740658635388</v>
      </c>
      <c r="G429" t="str">
        <f>FLOOR(FinalData[[#This Row],[Temperature_C]],2)&amp;"–"&amp;(FLOOR(FinalData[[#This Row],[Temperature_C]],2)+2)&amp;"°C"</f>
        <v>20–22°C</v>
      </c>
      <c r="H429">
        <v>2.33</v>
      </c>
      <c r="I429">
        <v>2026</v>
      </c>
      <c r="J429">
        <v>1</v>
      </c>
      <c r="K429">
        <v>18</v>
      </c>
      <c r="L429">
        <v>0</v>
      </c>
      <c r="M429">
        <v>19</v>
      </c>
      <c r="N429">
        <v>0.28000000000000003</v>
      </c>
      <c r="O429">
        <v>0.33285714285714285</v>
      </c>
      <c r="P429" t="s">
        <v>43</v>
      </c>
    </row>
    <row r="430" spans="1:16" hidden="1" x14ac:dyDescent="0.25">
      <c r="A430" s="12">
        <v>46040.833333333336</v>
      </c>
      <c r="B430" t="s">
        <v>18</v>
      </c>
      <c r="C430" t="s">
        <v>26</v>
      </c>
      <c r="D430">
        <v>9</v>
      </c>
      <c r="E430">
        <v>40</v>
      </c>
      <c r="F430">
        <v>22.34411615946528</v>
      </c>
      <c r="G430" t="str">
        <f>FLOOR(FinalData[[#This Row],[Temperature_C]],2)&amp;"–"&amp;(FLOOR(FinalData[[#This Row],[Temperature_C]],2)+2)&amp;"°C"</f>
        <v>22–24°C</v>
      </c>
      <c r="H430">
        <v>3.34</v>
      </c>
      <c r="I430">
        <v>2026</v>
      </c>
      <c r="J430">
        <v>1</v>
      </c>
      <c r="K430">
        <v>18</v>
      </c>
      <c r="L430">
        <v>0</v>
      </c>
      <c r="M430">
        <v>20</v>
      </c>
      <c r="N430">
        <v>0.22500000000000001</v>
      </c>
      <c r="O430">
        <v>0.37111111111111111</v>
      </c>
      <c r="P430" t="s">
        <v>43</v>
      </c>
    </row>
    <row r="431" spans="1:16" hidden="1" x14ac:dyDescent="0.25">
      <c r="A431" s="12">
        <v>46040.875</v>
      </c>
      <c r="B431" t="s">
        <v>13</v>
      </c>
      <c r="C431" t="s">
        <v>16</v>
      </c>
      <c r="D431">
        <v>4</v>
      </c>
      <c r="E431">
        <v>20</v>
      </c>
      <c r="F431">
        <v>20.208421595615029</v>
      </c>
      <c r="G431" t="str">
        <f>FLOOR(FinalData[[#This Row],[Temperature_C]],2)&amp;"–"&amp;(FLOOR(FinalData[[#This Row],[Temperature_C]],2)+2)&amp;"°C"</f>
        <v>20–22°C</v>
      </c>
      <c r="H431">
        <v>2.25</v>
      </c>
      <c r="I431">
        <v>2026</v>
      </c>
      <c r="J431">
        <v>1</v>
      </c>
      <c r="K431">
        <v>18</v>
      </c>
      <c r="L431">
        <v>0</v>
      </c>
      <c r="M431">
        <v>21</v>
      </c>
      <c r="N431">
        <v>0.2</v>
      </c>
      <c r="O431">
        <v>0.5625</v>
      </c>
      <c r="P431" t="s">
        <v>40</v>
      </c>
    </row>
    <row r="432" spans="1:16" hidden="1" x14ac:dyDescent="0.25">
      <c r="A432" s="12">
        <v>46040.916666666664</v>
      </c>
      <c r="B432" t="s">
        <v>7</v>
      </c>
      <c r="C432" t="s">
        <v>17</v>
      </c>
      <c r="D432">
        <v>4</v>
      </c>
      <c r="E432">
        <v>25</v>
      </c>
      <c r="F432">
        <v>20.877412936577041</v>
      </c>
      <c r="G432" t="str">
        <f>FLOOR(FinalData[[#This Row],[Temperature_C]],2)&amp;"–"&amp;(FLOOR(FinalData[[#This Row],[Temperature_C]],2)+2)&amp;"°C"</f>
        <v>20–22°C</v>
      </c>
      <c r="H432">
        <v>1.95</v>
      </c>
      <c r="I432">
        <v>2026</v>
      </c>
      <c r="J432">
        <v>1</v>
      </c>
      <c r="K432">
        <v>18</v>
      </c>
      <c r="L432">
        <v>0</v>
      </c>
      <c r="M432">
        <v>22</v>
      </c>
      <c r="N432">
        <v>0.16</v>
      </c>
      <c r="O432">
        <v>0.48749999999999999</v>
      </c>
      <c r="P432" t="s">
        <v>40</v>
      </c>
    </row>
    <row r="433" spans="1:16" hidden="1" x14ac:dyDescent="0.25">
      <c r="A433" s="12">
        <v>46040.958333333336</v>
      </c>
      <c r="B433" t="s">
        <v>9</v>
      </c>
      <c r="C433" t="s">
        <v>25</v>
      </c>
      <c r="D433">
        <v>10</v>
      </c>
      <c r="E433">
        <v>25</v>
      </c>
      <c r="F433">
        <v>20.805263362057872</v>
      </c>
      <c r="G433" t="str">
        <f>FLOOR(FinalData[[#This Row],[Temperature_C]],2)&amp;"–"&amp;(FLOOR(FinalData[[#This Row],[Temperature_C]],2)+2)&amp;"°C"</f>
        <v>20–22°C</v>
      </c>
      <c r="H433">
        <v>3.04</v>
      </c>
      <c r="I433">
        <v>2026</v>
      </c>
      <c r="J433">
        <v>1</v>
      </c>
      <c r="K433">
        <v>18</v>
      </c>
      <c r="L433">
        <v>0</v>
      </c>
      <c r="M433">
        <v>23</v>
      </c>
      <c r="N433">
        <v>0.4</v>
      </c>
      <c r="O433">
        <v>0.30399999999999999</v>
      </c>
      <c r="P433" t="s">
        <v>40</v>
      </c>
    </row>
    <row r="434" spans="1:16" hidden="1" x14ac:dyDescent="0.25">
      <c r="A434" s="12">
        <v>46041</v>
      </c>
      <c r="B434" t="s">
        <v>11</v>
      </c>
      <c r="C434" t="s">
        <v>27</v>
      </c>
      <c r="D434">
        <v>9</v>
      </c>
      <c r="E434">
        <v>40</v>
      </c>
      <c r="F434">
        <v>23.60340001780347</v>
      </c>
      <c r="G434" t="str">
        <f>FLOOR(FinalData[[#This Row],[Temperature_C]],2)&amp;"–"&amp;(FLOOR(FinalData[[#This Row],[Temperature_C]],2)+2)&amp;"°C"</f>
        <v>22–24°C</v>
      </c>
      <c r="H434">
        <v>3.34</v>
      </c>
      <c r="I434">
        <v>2026</v>
      </c>
      <c r="J434">
        <v>1</v>
      </c>
      <c r="K434">
        <v>19</v>
      </c>
      <c r="L434">
        <v>1</v>
      </c>
      <c r="M434">
        <v>0</v>
      </c>
      <c r="N434">
        <v>0.22500000000000001</v>
      </c>
      <c r="O434">
        <v>0.37111111111111111</v>
      </c>
      <c r="P434" t="s">
        <v>40</v>
      </c>
    </row>
    <row r="435" spans="1:16" hidden="1" x14ac:dyDescent="0.25">
      <c r="A435" s="12">
        <v>46041.041666666664</v>
      </c>
      <c r="B435" t="s">
        <v>18</v>
      </c>
      <c r="C435" t="s">
        <v>14</v>
      </c>
      <c r="D435">
        <v>13</v>
      </c>
      <c r="E435">
        <v>25</v>
      </c>
      <c r="F435">
        <v>25.786909055048859</v>
      </c>
      <c r="G435" t="str">
        <f>FLOOR(FinalData[[#This Row],[Temperature_C]],2)&amp;"–"&amp;(FLOOR(FinalData[[#This Row],[Temperature_C]],2)+2)&amp;"°C"</f>
        <v>24–26°C</v>
      </c>
      <c r="H435">
        <v>4.83</v>
      </c>
      <c r="I435">
        <v>2026</v>
      </c>
      <c r="J435">
        <v>1</v>
      </c>
      <c r="K435">
        <v>19</v>
      </c>
      <c r="L435">
        <v>1</v>
      </c>
      <c r="M435">
        <v>1</v>
      </c>
      <c r="N435">
        <v>0.52</v>
      </c>
      <c r="O435">
        <v>0.37153846153846154</v>
      </c>
      <c r="P435" t="s">
        <v>40</v>
      </c>
    </row>
    <row r="436" spans="1:16" hidden="1" x14ac:dyDescent="0.25">
      <c r="A436" s="12">
        <v>46041.083333333336</v>
      </c>
      <c r="B436" t="s">
        <v>7</v>
      </c>
      <c r="C436" t="s">
        <v>19</v>
      </c>
      <c r="D436">
        <v>9</v>
      </c>
      <c r="E436">
        <v>25</v>
      </c>
      <c r="F436">
        <v>24.171808402329301</v>
      </c>
      <c r="G436" t="str">
        <f>FLOOR(FinalData[[#This Row],[Temperature_C]],2)&amp;"–"&amp;(FLOOR(FinalData[[#This Row],[Temperature_C]],2)+2)&amp;"°C"</f>
        <v>24–26°C</v>
      </c>
      <c r="H436">
        <v>3.15</v>
      </c>
      <c r="I436">
        <v>2026</v>
      </c>
      <c r="J436">
        <v>1</v>
      </c>
      <c r="K436">
        <v>19</v>
      </c>
      <c r="L436">
        <v>1</v>
      </c>
      <c r="M436">
        <v>2</v>
      </c>
      <c r="N436">
        <v>0.36</v>
      </c>
      <c r="O436">
        <v>0.35</v>
      </c>
      <c r="P436" t="s">
        <v>40</v>
      </c>
    </row>
    <row r="437" spans="1:16" hidden="1" x14ac:dyDescent="0.25">
      <c r="A437" s="12">
        <v>46041.125</v>
      </c>
      <c r="B437" t="s">
        <v>11</v>
      </c>
      <c r="C437" t="s">
        <v>10</v>
      </c>
      <c r="D437">
        <v>11</v>
      </c>
      <c r="E437">
        <v>20</v>
      </c>
      <c r="F437">
        <v>26.711006629588521</v>
      </c>
      <c r="G437" t="str">
        <f>FLOOR(FinalData[[#This Row],[Temperature_C]],2)&amp;"–"&amp;(FLOOR(FinalData[[#This Row],[Temperature_C]],2)+2)&amp;"°C"</f>
        <v>26–28°C</v>
      </c>
      <c r="H437">
        <v>4.32</v>
      </c>
      <c r="I437">
        <v>2026</v>
      </c>
      <c r="J437">
        <v>1</v>
      </c>
      <c r="K437">
        <v>19</v>
      </c>
      <c r="L437">
        <v>1</v>
      </c>
      <c r="M437">
        <v>3</v>
      </c>
      <c r="N437">
        <v>0.55000000000000004</v>
      </c>
      <c r="O437">
        <v>0.39272727272727276</v>
      </c>
      <c r="P437" t="s">
        <v>40</v>
      </c>
    </row>
    <row r="438" spans="1:16" hidden="1" x14ac:dyDescent="0.25">
      <c r="A438" s="12">
        <v>46041.166666666664</v>
      </c>
      <c r="B438" t="s">
        <v>18</v>
      </c>
      <c r="C438" t="s">
        <v>24</v>
      </c>
      <c r="D438">
        <v>4</v>
      </c>
      <c r="E438">
        <v>20</v>
      </c>
      <c r="F438">
        <v>24.50536463057211</v>
      </c>
      <c r="G438" t="str">
        <f>FLOOR(FinalData[[#This Row],[Temperature_C]],2)&amp;"–"&amp;(FLOOR(FinalData[[#This Row],[Temperature_C]],2)+2)&amp;"°C"</f>
        <v>24–26°C</v>
      </c>
      <c r="H438">
        <v>1.82</v>
      </c>
      <c r="I438">
        <v>2026</v>
      </c>
      <c r="J438">
        <v>1</v>
      </c>
      <c r="K438">
        <v>19</v>
      </c>
      <c r="L438">
        <v>1</v>
      </c>
      <c r="M438">
        <v>4</v>
      </c>
      <c r="N438">
        <v>0.2</v>
      </c>
      <c r="O438">
        <v>0.45500000000000002</v>
      </c>
      <c r="P438" t="s">
        <v>40</v>
      </c>
    </row>
    <row r="439" spans="1:16" hidden="1" x14ac:dyDescent="0.25">
      <c r="A439" s="12">
        <v>46041.208333333336</v>
      </c>
      <c r="B439" t="s">
        <v>18</v>
      </c>
      <c r="C439" t="s">
        <v>10</v>
      </c>
      <c r="D439">
        <v>11</v>
      </c>
      <c r="E439">
        <v>20</v>
      </c>
      <c r="F439">
        <v>25.016008008586521</v>
      </c>
      <c r="G439" t="str">
        <f>FLOOR(FinalData[[#This Row],[Temperature_C]],2)&amp;"–"&amp;(FLOOR(FinalData[[#This Row],[Temperature_C]],2)+2)&amp;"°C"</f>
        <v>24–26°C</v>
      </c>
      <c r="H439">
        <v>3.84</v>
      </c>
      <c r="I439">
        <v>2026</v>
      </c>
      <c r="J439">
        <v>1</v>
      </c>
      <c r="K439">
        <v>19</v>
      </c>
      <c r="L439">
        <v>1</v>
      </c>
      <c r="M439">
        <v>5</v>
      </c>
      <c r="N439">
        <v>0.55000000000000004</v>
      </c>
      <c r="O439">
        <v>0.34909090909090906</v>
      </c>
      <c r="P439" t="s">
        <v>40</v>
      </c>
    </row>
    <row r="440" spans="1:16" hidden="1" x14ac:dyDescent="0.25">
      <c r="A440" s="12">
        <v>46041.25</v>
      </c>
      <c r="B440" t="s">
        <v>9</v>
      </c>
      <c r="C440" t="s">
        <v>25</v>
      </c>
      <c r="D440">
        <v>9</v>
      </c>
      <c r="E440">
        <v>40</v>
      </c>
      <c r="F440">
        <v>20.583642352708829</v>
      </c>
      <c r="G440" t="str">
        <f>FLOOR(FinalData[[#This Row],[Temperature_C]],2)&amp;"–"&amp;(FLOOR(FinalData[[#This Row],[Temperature_C]],2)+2)&amp;"°C"</f>
        <v>20–22°C</v>
      </c>
      <c r="H440">
        <v>3.19</v>
      </c>
      <c r="I440">
        <v>2026</v>
      </c>
      <c r="J440">
        <v>1</v>
      </c>
      <c r="K440">
        <v>19</v>
      </c>
      <c r="L440">
        <v>1</v>
      </c>
      <c r="M440">
        <v>6</v>
      </c>
      <c r="N440">
        <v>0.22500000000000001</v>
      </c>
      <c r="O440">
        <v>0.35444444444444445</v>
      </c>
      <c r="P440" t="s">
        <v>40</v>
      </c>
    </row>
    <row r="441" spans="1:16" hidden="1" x14ac:dyDescent="0.25">
      <c r="A441" s="12">
        <v>46041.291666666664</v>
      </c>
      <c r="B441" t="s">
        <v>7</v>
      </c>
      <c r="C441" t="s">
        <v>22</v>
      </c>
      <c r="D441">
        <v>6</v>
      </c>
      <c r="E441">
        <v>20</v>
      </c>
      <c r="F441">
        <v>25.233667551059909</v>
      </c>
      <c r="G441" t="str">
        <f>FLOOR(FinalData[[#This Row],[Temperature_C]],2)&amp;"–"&amp;(FLOOR(FinalData[[#This Row],[Temperature_C]],2)+2)&amp;"°C"</f>
        <v>24–26°C</v>
      </c>
      <c r="H441">
        <v>2.84</v>
      </c>
      <c r="I441">
        <v>2026</v>
      </c>
      <c r="J441">
        <v>1</v>
      </c>
      <c r="K441">
        <v>19</v>
      </c>
      <c r="L441">
        <v>1</v>
      </c>
      <c r="M441">
        <v>7</v>
      </c>
      <c r="N441">
        <v>0.3</v>
      </c>
      <c r="O441">
        <v>0.47333333333333333</v>
      </c>
      <c r="P441" t="s">
        <v>41</v>
      </c>
    </row>
    <row r="442" spans="1:16" hidden="1" x14ac:dyDescent="0.25">
      <c r="A442" s="12">
        <v>46041.333333333336</v>
      </c>
      <c r="B442" t="s">
        <v>7</v>
      </c>
      <c r="C442" t="s">
        <v>27</v>
      </c>
      <c r="D442">
        <v>9</v>
      </c>
      <c r="E442">
        <v>20</v>
      </c>
      <c r="F442">
        <v>23.622219982286389</v>
      </c>
      <c r="G442" t="str">
        <f>FLOOR(FinalData[[#This Row],[Temperature_C]],2)&amp;"–"&amp;(FLOOR(FinalData[[#This Row],[Temperature_C]],2)+2)&amp;"°C"</f>
        <v>22–24°C</v>
      </c>
      <c r="H442">
        <v>2.73</v>
      </c>
      <c r="I442">
        <v>2026</v>
      </c>
      <c r="J442">
        <v>1</v>
      </c>
      <c r="K442">
        <v>19</v>
      </c>
      <c r="L442">
        <v>1</v>
      </c>
      <c r="M442">
        <v>8</v>
      </c>
      <c r="N442">
        <v>0.45</v>
      </c>
      <c r="O442">
        <v>0.30333333333333334</v>
      </c>
      <c r="P442" t="s">
        <v>41</v>
      </c>
    </row>
    <row r="443" spans="1:16" hidden="1" x14ac:dyDescent="0.25">
      <c r="A443" s="12">
        <v>46041.375</v>
      </c>
      <c r="B443" t="s">
        <v>18</v>
      </c>
      <c r="C443" t="s">
        <v>22</v>
      </c>
      <c r="D443">
        <v>12</v>
      </c>
      <c r="E443">
        <v>20</v>
      </c>
      <c r="F443">
        <v>22.50127179674811</v>
      </c>
      <c r="G443" t="str">
        <f>FLOOR(FinalData[[#This Row],[Temperature_C]],2)&amp;"–"&amp;(FLOOR(FinalData[[#This Row],[Temperature_C]],2)+2)&amp;"°C"</f>
        <v>22–24°C</v>
      </c>
      <c r="H443">
        <v>4.63</v>
      </c>
      <c r="I443">
        <v>2026</v>
      </c>
      <c r="J443">
        <v>1</v>
      </c>
      <c r="K443">
        <v>19</v>
      </c>
      <c r="L443">
        <v>1</v>
      </c>
      <c r="M443">
        <v>9</v>
      </c>
      <c r="N443">
        <v>0.6</v>
      </c>
      <c r="O443">
        <v>0.38583333333333331</v>
      </c>
      <c r="P443" t="s">
        <v>41</v>
      </c>
    </row>
    <row r="444" spans="1:16" hidden="1" x14ac:dyDescent="0.25">
      <c r="A444" s="12">
        <v>46041.416666666664</v>
      </c>
      <c r="B444" t="s">
        <v>9</v>
      </c>
      <c r="C444" t="s">
        <v>22</v>
      </c>
      <c r="D444">
        <v>6</v>
      </c>
      <c r="E444">
        <v>40</v>
      </c>
      <c r="F444">
        <v>26.846891589649911</v>
      </c>
      <c r="G444" t="str">
        <f>FLOOR(FinalData[[#This Row],[Temperature_C]],2)&amp;"–"&amp;(FLOOR(FinalData[[#This Row],[Temperature_C]],2)+2)&amp;"°C"</f>
        <v>26–28°C</v>
      </c>
      <c r="H444">
        <v>2.79</v>
      </c>
      <c r="I444">
        <v>2026</v>
      </c>
      <c r="J444">
        <v>1</v>
      </c>
      <c r="K444">
        <v>19</v>
      </c>
      <c r="L444">
        <v>1</v>
      </c>
      <c r="M444">
        <v>10</v>
      </c>
      <c r="N444">
        <v>0.15</v>
      </c>
      <c r="O444">
        <v>0.46500000000000002</v>
      </c>
      <c r="P444" t="s">
        <v>41</v>
      </c>
    </row>
    <row r="445" spans="1:16" x14ac:dyDescent="0.25">
      <c r="A445" s="12">
        <v>46041.458333333336</v>
      </c>
      <c r="B445" t="s">
        <v>11</v>
      </c>
      <c r="C445" t="s">
        <v>8</v>
      </c>
      <c r="D445">
        <v>9</v>
      </c>
      <c r="E445">
        <v>20</v>
      </c>
      <c r="F445">
        <v>18.844376360287601</v>
      </c>
      <c r="G445" t="str">
        <f>FLOOR(FinalData[[#This Row],[Temperature_C]],2)&amp;"–"&amp;(FLOOR(FinalData[[#This Row],[Temperature_C]],2)+2)&amp;"°C"</f>
        <v>18–20°C</v>
      </c>
      <c r="H445">
        <v>3.43</v>
      </c>
      <c r="I445">
        <v>2026</v>
      </c>
      <c r="J445">
        <v>1</v>
      </c>
      <c r="K445">
        <v>19</v>
      </c>
      <c r="L445">
        <v>1</v>
      </c>
      <c r="M445">
        <v>11</v>
      </c>
      <c r="N445">
        <v>0.45</v>
      </c>
      <c r="O445">
        <v>0.38111111111111112</v>
      </c>
      <c r="P445" t="s">
        <v>41</v>
      </c>
    </row>
    <row r="446" spans="1:16" hidden="1" x14ac:dyDescent="0.25">
      <c r="A446" s="12">
        <v>46041.5</v>
      </c>
      <c r="B446" t="s">
        <v>11</v>
      </c>
      <c r="C446" t="s">
        <v>21</v>
      </c>
      <c r="D446">
        <v>5</v>
      </c>
      <c r="E446">
        <v>25</v>
      </c>
      <c r="F446">
        <v>23.03603374408889</v>
      </c>
      <c r="G446" t="str">
        <f>FLOOR(FinalData[[#This Row],[Temperature_C]],2)&amp;"–"&amp;(FLOOR(FinalData[[#This Row],[Temperature_C]],2)+2)&amp;"°C"</f>
        <v>22–24°C</v>
      </c>
      <c r="H446">
        <v>2.35</v>
      </c>
      <c r="I446">
        <v>2026</v>
      </c>
      <c r="J446">
        <v>1</v>
      </c>
      <c r="K446">
        <v>19</v>
      </c>
      <c r="L446">
        <v>1</v>
      </c>
      <c r="M446">
        <v>12</v>
      </c>
      <c r="N446">
        <v>0.2</v>
      </c>
      <c r="O446">
        <v>0.47000000000000003</v>
      </c>
      <c r="P446" t="s">
        <v>42</v>
      </c>
    </row>
    <row r="447" spans="1:16" hidden="1" x14ac:dyDescent="0.25">
      <c r="A447" s="12">
        <v>46041.541666666664</v>
      </c>
      <c r="B447" t="s">
        <v>11</v>
      </c>
      <c r="C447" t="s">
        <v>8</v>
      </c>
      <c r="D447">
        <v>5</v>
      </c>
      <c r="E447">
        <v>25</v>
      </c>
      <c r="F447">
        <v>22.023452315096911</v>
      </c>
      <c r="G447" t="str">
        <f>FLOOR(FinalData[[#This Row],[Temperature_C]],2)&amp;"–"&amp;(FLOOR(FinalData[[#This Row],[Temperature_C]],2)+2)&amp;"°C"</f>
        <v>22–24°C</v>
      </c>
      <c r="H447">
        <v>2.2400000000000002</v>
      </c>
      <c r="I447">
        <v>2026</v>
      </c>
      <c r="J447">
        <v>1</v>
      </c>
      <c r="K447">
        <v>19</v>
      </c>
      <c r="L447">
        <v>1</v>
      </c>
      <c r="M447">
        <v>13</v>
      </c>
      <c r="N447">
        <v>0.2</v>
      </c>
      <c r="O447">
        <v>0.44800000000000006</v>
      </c>
      <c r="P447" t="s">
        <v>42</v>
      </c>
    </row>
    <row r="448" spans="1:16" hidden="1" x14ac:dyDescent="0.25">
      <c r="A448" s="12">
        <v>46041.583333333336</v>
      </c>
      <c r="B448" t="s">
        <v>13</v>
      </c>
      <c r="C448" t="s">
        <v>21</v>
      </c>
      <c r="D448">
        <v>5</v>
      </c>
      <c r="E448">
        <v>20</v>
      </c>
      <c r="F448">
        <v>22.841865316270891</v>
      </c>
      <c r="G448" t="str">
        <f>FLOOR(FinalData[[#This Row],[Temperature_C]],2)&amp;"–"&amp;(FLOOR(FinalData[[#This Row],[Temperature_C]],2)+2)&amp;"°C"</f>
        <v>22–24°C</v>
      </c>
      <c r="H448">
        <v>2</v>
      </c>
      <c r="I448">
        <v>2026</v>
      </c>
      <c r="J448">
        <v>1</v>
      </c>
      <c r="K448">
        <v>19</v>
      </c>
      <c r="L448">
        <v>1</v>
      </c>
      <c r="M448">
        <v>14</v>
      </c>
      <c r="N448">
        <v>0.25</v>
      </c>
      <c r="O448">
        <v>0.4</v>
      </c>
      <c r="P448" t="s">
        <v>42</v>
      </c>
    </row>
    <row r="449" spans="1:16" hidden="1" x14ac:dyDescent="0.25">
      <c r="A449" s="12">
        <v>46041.625</v>
      </c>
      <c r="B449" t="s">
        <v>13</v>
      </c>
      <c r="C449" t="s">
        <v>22</v>
      </c>
      <c r="D449">
        <v>7</v>
      </c>
      <c r="E449">
        <v>30</v>
      </c>
      <c r="F449">
        <v>21.64271387741179</v>
      </c>
      <c r="G449" t="str">
        <f>FLOOR(FinalData[[#This Row],[Temperature_C]],2)&amp;"–"&amp;(FLOOR(FinalData[[#This Row],[Temperature_C]],2)+2)&amp;"°C"</f>
        <v>20–22°C</v>
      </c>
      <c r="H449">
        <v>2.5099999999999998</v>
      </c>
      <c r="I449">
        <v>2026</v>
      </c>
      <c r="J449">
        <v>1</v>
      </c>
      <c r="K449">
        <v>19</v>
      </c>
      <c r="L449">
        <v>1</v>
      </c>
      <c r="M449">
        <v>15</v>
      </c>
      <c r="N449">
        <v>0.23333333333333334</v>
      </c>
      <c r="O449">
        <v>0.35857142857142854</v>
      </c>
      <c r="P449" t="s">
        <v>42</v>
      </c>
    </row>
    <row r="450" spans="1:16" hidden="1" x14ac:dyDescent="0.25">
      <c r="A450" s="12">
        <v>46041.666666666664</v>
      </c>
      <c r="B450" t="s">
        <v>7</v>
      </c>
      <c r="C450" t="s">
        <v>22</v>
      </c>
      <c r="D450">
        <v>12</v>
      </c>
      <c r="E450">
        <v>30</v>
      </c>
      <c r="F450">
        <v>21.072833110939921</v>
      </c>
      <c r="G450" t="str">
        <f>FLOOR(FinalData[[#This Row],[Temperature_C]],2)&amp;"–"&amp;(FLOOR(FinalData[[#This Row],[Temperature_C]],2)+2)&amp;"°C"</f>
        <v>20–22°C</v>
      </c>
      <c r="H450">
        <v>3.59</v>
      </c>
      <c r="I450">
        <v>2026</v>
      </c>
      <c r="J450">
        <v>1</v>
      </c>
      <c r="K450">
        <v>19</v>
      </c>
      <c r="L450">
        <v>1</v>
      </c>
      <c r="M450">
        <v>16</v>
      </c>
      <c r="N450">
        <v>0.4</v>
      </c>
      <c r="O450">
        <v>0.29916666666666664</v>
      </c>
      <c r="P450" t="s">
        <v>42</v>
      </c>
    </row>
    <row r="451" spans="1:16" hidden="1" x14ac:dyDescent="0.25">
      <c r="A451" s="12">
        <v>46041.708333333336</v>
      </c>
      <c r="B451" t="s">
        <v>7</v>
      </c>
      <c r="C451" t="s">
        <v>29</v>
      </c>
      <c r="D451">
        <v>9</v>
      </c>
      <c r="E451">
        <v>20</v>
      </c>
      <c r="F451">
        <v>21.119079420428481</v>
      </c>
      <c r="G451" t="str">
        <f>FLOOR(FinalData[[#This Row],[Temperature_C]],2)&amp;"–"&amp;(FLOOR(FinalData[[#This Row],[Temperature_C]],2)+2)&amp;"°C"</f>
        <v>20–22°C</v>
      </c>
      <c r="H451">
        <v>3.19</v>
      </c>
      <c r="I451">
        <v>2026</v>
      </c>
      <c r="J451">
        <v>1</v>
      </c>
      <c r="K451">
        <v>19</v>
      </c>
      <c r="L451">
        <v>1</v>
      </c>
      <c r="M451">
        <v>17</v>
      </c>
      <c r="N451">
        <v>0.45</v>
      </c>
      <c r="O451">
        <v>0.35444444444444445</v>
      </c>
      <c r="P451" t="s">
        <v>43</v>
      </c>
    </row>
    <row r="452" spans="1:16" hidden="1" x14ac:dyDescent="0.25">
      <c r="A452" s="12">
        <v>46041.75</v>
      </c>
      <c r="B452" t="s">
        <v>13</v>
      </c>
      <c r="C452" t="s">
        <v>31</v>
      </c>
      <c r="D452">
        <v>4</v>
      </c>
      <c r="E452">
        <v>40</v>
      </c>
      <c r="F452">
        <v>23.920543249964609</v>
      </c>
      <c r="G452" t="str">
        <f>FLOOR(FinalData[[#This Row],[Temperature_C]],2)&amp;"–"&amp;(FLOOR(FinalData[[#This Row],[Temperature_C]],2)+2)&amp;"°C"</f>
        <v>22–24°C</v>
      </c>
      <c r="H452">
        <v>2.15</v>
      </c>
      <c r="I452">
        <v>2026</v>
      </c>
      <c r="J452">
        <v>1</v>
      </c>
      <c r="K452">
        <v>19</v>
      </c>
      <c r="L452">
        <v>1</v>
      </c>
      <c r="M452">
        <v>18</v>
      </c>
      <c r="N452">
        <v>0.1</v>
      </c>
      <c r="O452">
        <v>0.53749999999999998</v>
      </c>
      <c r="P452" t="s">
        <v>43</v>
      </c>
    </row>
    <row r="453" spans="1:16" hidden="1" x14ac:dyDescent="0.25">
      <c r="A453" s="12">
        <v>46041.791666666664</v>
      </c>
      <c r="B453" t="s">
        <v>11</v>
      </c>
      <c r="C453" t="s">
        <v>15</v>
      </c>
      <c r="D453">
        <v>10</v>
      </c>
      <c r="E453">
        <v>20</v>
      </c>
      <c r="F453">
        <v>24.527395431696089</v>
      </c>
      <c r="G453" t="str">
        <f>FLOOR(FinalData[[#This Row],[Temperature_C]],2)&amp;"–"&amp;(FLOOR(FinalData[[#This Row],[Temperature_C]],2)+2)&amp;"°C"</f>
        <v>24–26°C</v>
      </c>
      <c r="H453">
        <v>4.0199999999999996</v>
      </c>
      <c r="I453">
        <v>2026</v>
      </c>
      <c r="J453">
        <v>1</v>
      </c>
      <c r="K453">
        <v>19</v>
      </c>
      <c r="L453">
        <v>1</v>
      </c>
      <c r="M453">
        <v>19</v>
      </c>
      <c r="N453">
        <v>0.5</v>
      </c>
      <c r="O453">
        <v>0.40199999999999997</v>
      </c>
      <c r="P453" t="s">
        <v>43</v>
      </c>
    </row>
    <row r="454" spans="1:16" hidden="1" x14ac:dyDescent="0.25">
      <c r="A454" s="12">
        <v>46041.833333333336</v>
      </c>
      <c r="B454" t="s">
        <v>7</v>
      </c>
      <c r="C454" t="s">
        <v>28</v>
      </c>
      <c r="D454">
        <v>6</v>
      </c>
      <c r="E454">
        <v>40</v>
      </c>
      <c r="F454">
        <v>22.273766677688869</v>
      </c>
      <c r="G454" t="str">
        <f>FLOOR(FinalData[[#This Row],[Temperature_C]],2)&amp;"–"&amp;(FLOOR(FinalData[[#This Row],[Temperature_C]],2)+2)&amp;"°C"</f>
        <v>22–24°C</v>
      </c>
      <c r="H454">
        <v>1.74</v>
      </c>
      <c r="I454">
        <v>2026</v>
      </c>
      <c r="J454">
        <v>1</v>
      </c>
      <c r="K454">
        <v>19</v>
      </c>
      <c r="L454">
        <v>1</v>
      </c>
      <c r="M454">
        <v>20</v>
      </c>
      <c r="N454">
        <v>0.15</v>
      </c>
      <c r="O454">
        <v>0.28999999999999998</v>
      </c>
      <c r="P454" t="s">
        <v>43</v>
      </c>
    </row>
    <row r="455" spans="1:16" hidden="1" x14ac:dyDescent="0.25">
      <c r="A455" s="12">
        <v>46041.875</v>
      </c>
      <c r="B455" t="s">
        <v>18</v>
      </c>
      <c r="C455" t="s">
        <v>28</v>
      </c>
      <c r="D455">
        <v>6</v>
      </c>
      <c r="E455">
        <v>25</v>
      </c>
      <c r="F455">
        <v>22.27259376779897</v>
      </c>
      <c r="G455" t="str">
        <f>FLOOR(FinalData[[#This Row],[Temperature_C]],2)&amp;"–"&amp;(FLOOR(FinalData[[#This Row],[Temperature_C]],2)+2)&amp;"°C"</f>
        <v>22–24°C</v>
      </c>
      <c r="H455">
        <v>2.36</v>
      </c>
      <c r="I455">
        <v>2026</v>
      </c>
      <c r="J455">
        <v>1</v>
      </c>
      <c r="K455">
        <v>19</v>
      </c>
      <c r="L455">
        <v>1</v>
      </c>
      <c r="M455">
        <v>21</v>
      </c>
      <c r="N455">
        <v>0.24</v>
      </c>
      <c r="O455">
        <v>0.39333333333333331</v>
      </c>
      <c r="P455" t="s">
        <v>40</v>
      </c>
    </row>
    <row r="456" spans="1:16" hidden="1" x14ac:dyDescent="0.25">
      <c r="A456" s="12">
        <v>46041.916666666664</v>
      </c>
      <c r="B456" t="s">
        <v>7</v>
      </c>
      <c r="C456" t="s">
        <v>19</v>
      </c>
      <c r="D456">
        <v>7</v>
      </c>
      <c r="E456">
        <v>20</v>
      </c>
      <c r="F456">
        <v>22.640366737239919</v>
      </c>
      <c r="G456" t="str">
        <f>FLOOR(FinalData[[#This Row],[Temperature_C]],2)&amp;"–"&amp;(FLOOR(FinalData[[#This Row],[Temperature_C]],2)+2)&amp;"°C"</f>
        <v>22–24°C</v>
      </c>
      <c r="H456">
        <v>2.69</v>
      </c>
      <c r="I456">
        <v>2026</v>
      </c>
      <c r="J456">
        <v>1</v>
      </c>
      <c r="K456">
        <v>19</v>
      </c>
      <c r="L456">
        <v>1</v>
      </c>
      <c r="M456">
        <v>22</v>
      </c>
      <c r="N456">
        <v>0.35</v>
      </c>
      <c r="O456">
        <v>0.38428571428571429</v>
      </c>
      <c r="P456" t="s">
        <v>40</v>
      </c>
    </row>
    <row r="457" spans="1:16" hidden="1" x14ac:dyDescent="0.25">
      <c r="A457" s="12">
        <v>46041.958333333336</v>
      </c>
      <c r="B457" t="s">
        <v>9</v>
      </c>
      <c r="C457" t="s">
        <v>27</v>
      </c>
      <c r="D457">
        <v>14</v>
      </c>
      <c r="E457">
        <v>40</v>
      </c>
      <c r="F457">
        <v>19.99955627710613</v>
      </c>
      <c r="G457" t="str">
        <f>FLOOR(FinalData[[#This Row],[Temperature_C]],2)&amp;"–"&amp;(FLOOR(FinalData[[#This Row],[Temperature_C]],2)+2)&amp;"°C"</f>
        <v>18–20°C</v>
      </c>
      <c r="H457">
        <v>4.37</v>
      </c>
      <c r="I457">
        <v>2026</v>
      </c>
      <c r="J457">
        <v>1</v>
      </c>
      <c r="K457">
        <v>19</v>
      </c>
      <c r="L457">
        <v>1</v>
      </c>
      <c r="M457">
        <v>23</v>
      </c>
      <c r="N457">
        <v>0.35</v>
      </c>
      <c r="O457">
        <v>0.31214285714285717</v>
      </c>
      <c r="P457" t="s">
        <v>40</v>
      </c>
    </row>
    <row r="458" spans="1:16" hidden="1" x14ac:dyDescent="0.25">
      <c r="A458" s="12">
        <v>46042</v>
      </c>
      <c r="B458" t="s">
        <v>13</v>
      </c>
      <c r="C458" t="s">
        <v>29</v>
      </c>
      <c r="D458">
        <v>12</v>
      </c>
      <c r="E458">
        <v>25</v>
      </c>
      <c r="F458">
        <v>21.823691286024498</v>
      </c>
      <c r="G458" t="str">
        <f>FLOOR(FinalData[[#This Row],[Temperature_C]],2)&amp;"–"&amp;(FLOOR(FinalData[[#This Row],[Temperature_C]],2)+2)&amp;"°C"</f>
        <v>20–22°C</v>
      </c>
      <c r="H458">
        <v>4.25</v>
      </c>
      <c r="I458">
        <v>2026</v>
      </c>
      <c r="J458">
        <v>1</v>
      </c>
      <c r="K458">
        <v>20</v>
      </c>
      <c r="L458">
        <v>2</v>
      </c>
      <c r="M458">
        <v>0</v>
      </c>
      <c r="N458">
        <v>0.48</v>
      </c>
      <c r="O458">
        <v>0.35416666666666669</v>
      </c>
      <c r="P458" t="s">
        <v>40</v>
      </c>
    </row>
    <row r="459" spans="1:16" hidden="1" x14ac:dyDescent="0.25">
      <c r="A459" s="12">
        <v>46042.041666666664</v>
      </c>
      <c r="B459" t="s">
        <v>9</v>
      </c>
      <c r="C459" t="s">
        <v>19</v>
      </c>
      <c r="D459">
        <v>7</v>
      </c>
      <c r="E459">
        <v>30</v>
      </c>
      <c r="F459">
        <v>20.683428007267992</v>
      </c>
      <c r="G459" t="str">
        <f>FLOOR(FinalData[[#This Row],[Temperature_C]],2)&amp;"–"&amp;(FLOOR(FinalData[[#This Row],[Temperature_C]],2)+2)&amp;"°C"</f>
        <v>20–22°C</v>
      </c>
      <c r="H459">
        <v>2.2400000000000002</v>
      </c>
      <c r="I459">
        <v>2026</v>
      </c>
      <c r="J459">
        <v>1</v>
      </c>
      <c r="K459">
        <v>20</v>
      </c>
      <c r="L459">
        <v>2</v>
      </c>
      <c r="M459">
        <v>1</v>
      </c>
      <c r="N459">
        <v>0.23333333333333334</v>
      </c>
      <c r="O459">
        <v>0.32</v>
      </c>
      <c r="P459" t="s">
        <v>40</v>
      </c>
    </row>
    <row r="460" spans="1:16" hidden="1" x14ac:dyDescent="0.25">
      <c r="A460" s="12">
        <v>46042.083333333336</v>
      </c>
      <c r="B460" t="s">
        <v>11</v>
      </c>
      <c r="C460" t="s">
        <v>24</v>
      </c>
      <c r="D460">
        <v>8</v>
      </c>
      <c r="E460">
        <v>20</v>
      </c>
      <c r="F460">
        <v>22.513877602238271</v>
      </c>
      <c r="G460" t="str">
        <f>FLOOR(FinalData[[#This Row],[Temperature_C]],2)&amp;"–"&amp;(FLOOR(FinalData[[#This Row],[Temperature_C]],2)+2)&amp;"°C"</f>
        <v>22–24°C</v>
      </c>
      <c r="H460">
        <v>2.88</v>
      </c>
      <c r="I460">
        <v>2026</v>
      </c>
      <c r="J460">
        <v>1</v>
      </c>
      <c r="K460">
        <v>20</v>
      </c>
      <c r="L460">
        <v>2</v>
      </c>
      <c r="M460">
        <v>2</v>
      </c>
      <c r="N460">
        <v>0.4</v>
      </c>
      <c r="O460">
        <v>0.36</v>
      </c>
      <c r="P460" t="s">
        <v>40</v>
      </c>
    </row>
    <row r="461" spans="1:16" hidden="1" x14ac:dyDescent="0.25">
      <c r="A461" s="12">
        <v>46042.125</v>
      </c>
      <c r="B461" t="s">
        <v>7</v>
      </c>
      <c r="C461" t="s">
        <v>30</v>
      </c>
      <c r="D461">
        <v>12</v>
      </c>
      <c r="E461">
        <v>20</v>
      </c>
      <c r="F461">
        <v>18.28533155080104</v>
      </c>
      <c r="G461" t="str">
        <f>FLOOR(FinalData[[#This Row],[Temperature_C]],2)&amp;"–"&amp;(FLOOR(FinalData[[#This Row],[Temperature_C]],2)+2)&amp;"°C"</f>
        <v>18–20°C</v>
      </c>
      <c r="H461">
        <v>4.2</v>
      </c>
      <c r="I461">
        <v>2026</v>
      </c>
      <c r="J461">
        <v>1</v>
      </c>
      <c r="K461">
        <v>20</v>
      </c>
      <c r="L461">
        <v>2</v>
      </c>
      <c r="M461">
        <v>3</v>
      </c>
      <c r="N461">
        <v>0.6</v>
      </c>
      <c r="O461">
        <v>0.35000000000000003</v>
      </c>
      <c r="P461" t="s">
        <v>40</v>
      </c>
    </row>
    <row r="462" spans="1:16" hidden="1" x14ac:dyDescent="0.25">
      <c r="A462" s="12">
        <v>46042.166666666664</v>
      </c>
      <c r="B462" t="s">
        <v>7</v>
      </c>
      <c r="C462" t="s">
        <v>10</v>
      </c>
      <c r="D462">
        <v>8</v>
      </c>
      <c r="E462">
        <v>20</v>
      </c>
      <c r="F462">
        <v>24.053073367344609</v>
      </c>
      <c r="G462" t="str">
        <f>FLOOR(FinalData[[#This Row],[Temperature_C]],2)&amp;"–"&amp;(FLOOR(FinalData[[#This Row],[Temperature_C]],2)+2)&amp;"°C"</f>
        <v>24–26°C</v>
      </c>
      <c r="H462">
        <v>2.96</v>
      </c>
      <c r="I462">
        <v>2026</v>
      </c>
      <c r="J462">
        <v>1</v>
      </c>
      <c r="K462">
        <v>20</v>
      </c>
      <c r="L462">
        <v>2</v>
      </c>
      <c r="M462">
        <v>4</v>
      </c>
      <c r="N462">
        <v>0.4</v>
      </c>
      <c r="O462">
        <v>0.37</v>
      </c>
      <c r="P462" t="s">
        <v>40</v>
      </c>
    </row>
    <row r="463" spans="1:16" hidden="1" x14ac:dyDescent="0.25">
      <c r="A463" s="12">
        <v>46042.208333333336</v>
      </c>
      <c r="B463" t="s">
        <v>11</v>
      </c>
      <c r="C463" t="s">
        <v>23</v>
      </c>
      <c r="D463">
        <v>8</v>
      </c>
      <c r="E463">
        <v>40</v>
      </c>
      <c r="F463">
        <v>22.214115996387189</v>
      </c>
      <c r="G463" t="str">
        <f>FLOOR(FinalData[[#This Row],[Temperature_C]],2)&amp;"–"&amp;(FLOOR(FinalData[[#This Row],[Temperature_C]],2)+2)&amp;"°C"</f>
        <v>22–24°C</v>
      </c>
      <c r="H463">
        <v>2.62</v>
      </c>
      <c r="I463">
        <v>2026</v>
      </c>
      <c r="J463">
        <v>1</v>
      </c>
      <c r="K463">
        <v>20</v>
      </c>
      <c r="L463">
        <v>2</v>
      </c>
      <c r="M463">
        <v>5</v>
      </c>
      <c r="N463">
        <v>0.2</v>
      </c>
      <c r="O463">
        <v>0.32750000000000001</v>
      </c>
      <c r="P463" t="s">
        <v>40</v>
      </c>
    </row>
    <row r="464" spans="1:16" hidden="1" x14ac:dyDescent="0.25">
      <c r="A464" s="12">
        <v>46042.25</v>
      </c>
      <c r="B464" t="s">
        <v>18</v>
      </c>
      <c r="C464" t="s">
        <v>27</v>
      </c>
      <c r="D464">
        <v>9</v>
      </c>
      <c r="E464">
        <v>30</v>
      </c>
      <c r="F464">
        <v>22.802217135206149</v>
      </c>
      <c r="G464" t="str">
        <f>FLOOR(FinalData[[#This Row],[Temperature_C]],2)&amp;"–"&amp;(FLOOR(FinalData[[#This Row],[Temperature_C]],2)+2)&amp;"°C"</f>
        <v>22–24°C</v>
      </c>
      <c r="H464">
        <v>3.46</v>
      </c>
      <c r="I464">
        <v>2026</v>
      </c>
      <c r="J464">
        <v>1</v>
      </c>
      <c r="K464">
        <v>20</v>
      </c>
      <c r="L464">
        <v>2</v>
      </c>
      <c r="M464">
        <v>6</v>
      </c>
      <c r="N464">
        <v>0.3</v>
      </c>
      <c r="O464">
        <v>0.38444444444444442</v>
      </c>
      <c r="P464" t="s">
        <v>40</v>
      </c>
    </row>
    <row r="465" spans="1:16" hidden="1" x14ac:dyDescent="0.25">
      <c r="A465" s="12">
        <v>46042.291666666664</v>
      </c>
      <c r="B465" t="s">
        <v>18</v>
      </c>
      <c r="C465" t="s">
        <v>20</v>
      </c>
      <c r="D465">
        <v>6</v>
      </c>
      <c r="E465">
        <v>25</v>
      </c>
      <c r="F465">
        <v>22.042482856956621</v>
      </c>
      <c r="G465" t="str">
        <f>FLOOR(FinalData[[#This Row],[Temperature_C]],2)&amp;"–"&amp;(FLOOR(FinalData[[#This Row],[Temperature_C]],2)+2)&amp;"°C"</f>
        <v>22–24°C</v>
      </c>
      <c r="H465">
        <v>2.41</v>
      </c>
      <c r="I465">
        <v>2026</v>
      </c>
      <c r="J465">
        <v>1</v>
      </c>
      <c r="K465">
        <v>20</v>
      </c>
      <c r="L465">
        <v>2</v>
      </c>
      <c r="M465">
        <v>7</v>
      </c>
      <c r="N465">
        <v>0.24</v>
      </c>
      <c r="O465">
        <v>0.40166666666666667</v>
      </c>
      <c r="P465" t="s">
        <v>41</v>
      </c>
    </row>
    <row r="466" spans="1:16" x14ac:dyDescent="0.25">
      <c r="A466" s="12">
        <v>46042.333333333336</v>
      </c>
      <c r="B466" t="s">
        <v>11</v>
      </c>
      <c r="C466" t="s">
        <v>8</v>
      </c>
      <c r="D466">
        <v>5</v>
      </c>
      <c r="E466">
        <v>40</v>
      </c>
      <c r="F466">
        <v>23.79159769741949</v>
      </c>
      <c r="G466" t="str">
        <f>FLOOR(FinalData[[#This Row],[Temperature_C]],2)&amp;"–"&amp;(FLOOR(FinalData[[#This Row],[Temperature_C]],2)+2)&amp;"°C"</f>
        <v>22–24°C</v>
      </c>
      <c r="H466">
        <v>2.4</v>
      </c>
      <c r="I466">
        <v>2026</v>
      </c>
      <c r="J466">
        <v>1</v>
      </c>
      <c r="K466">
        <v>20</v>
      </c>
      <c r="L466">
        <v>2</v>
      </c>
      <c r="M466">
        <v>8</v>
      </c>
      <c r="N466">
        <v>0.125</v>
      </c>
      <c r="O466">
        <v>0.48</v>
      </c>
      <c r="P466" t="s">
        <v>41</v>
      </c>
    </row>
    <row r="467" spans="1:16" hidden="1" x14ac:dyDescent="0.25">
      <c r="A467" s="12">
        <v>46042.375</v>
      </c>
      <c r="B467" t="s">
        <v>18</v>
      </c>
      <c r="C467" t="s">
        <v>10</v>
      </c>
      <c r="D467">
        <v>14</v>
      </c>
      <c r="E467">
        <v>30</v>
      </c>
      <c r="F467">
        <v>19.706272283414311</v>
      </c>
      <c r="G467" t="str">
        <f>FLOOR(FinalData[[#This Row],[Temperature_C]],2)&amp;"–"&amp;(FLOOR(FinalData[[#This Row],[Temperature_C]],2)+2)&amp;"°C"</f>
        <v>18–20°C</v>
      </c>
      <c r="H467">
        <v>4.83</v>
      </c>
      <c r="I467">
        <v>2026</v>
      </c>
      <c r="J467">
        <v>1</v>
      </c>
      <c r="K467">
        <v>20</v>
      </c>
      <c r="L467">
        <v>2</v>
      </c>
      <c r="M467">
        <v>9</v>
      </c>
      <c r="N467">
        <v>0.46666666666666667</v>
      </c>
      <c r="O467">
        <v>0.34500000000000003</v>
      </c>
      <c r="P467" t="s">
        <v>41</v>
      </c>
    </row>
    <row r="468" spans="1:16" x14ac:dyDescent="0.25">
      <c r="A468" s="12">
        <v>46042.416666666664</v>
      </c>
      <c r="B468" t="s">
        <v>11</v>
      </c>
      <c r="C468" t="s">
        <v>24</v>
      </c>
      <c r="D468">
        <v>5</v>
      </c>
      <c r="E468">
        <v>30</v>
      </c>
      <c r="F468">
        <v>22.589543234888382</v>
      </c>
      <c r="G468" t="str">
        <f>FLOOR(FinalData[[#This Row],[Temperature_C]],2)&amp;"–"&amp;(FLOOR(FinalData[[#This Row],[Temperature_C]],2)+2)&amp;"°C"</f>
        <v>22–24°C</v>
      </c>
      <c r="H468">
        <v>1.79</v>
      </c>
      <c r="I468">
        <v>2026</v>
      </c>
      <c r="J468">
        <v>1</v>
      </c>
      <c r="K468">
        <v>20</v>
      </c>
      <c r="L468">
        <v>2</v>
      </c>
      <c r="M468">
        <v>10</v>
      </c>
      <c r="N468">
        <v>0.16666666666666666</v>
      </c>
      <c r="O468">
        <v>0.35799999999999998</v>
      </c>
      <c r="P468" t="s">
        <v>41</v>
      </c>
    </row>
    <row r="469" spans="1:16" x14ac:dyDescent="0.25">
      <c r="A469" s="12">
        <v>46042.458333333336</v>
      </c>
      <c r="B469" t="s">
        <v>11</v>
      </c>
      <c r="C469" t="s">
        <v>20</v>
      </c>
      <c r="D469">
        <v>8</v>
      </c>
      <c r="E469">
        <v>40</v>
      </c>
      <c r="F469">
        <v>23.090982952661509</v>
      </c>
      <c r="G469" t="str">
        <f>FLOOR(FinalData[[#This Row],[Temperature_C]],2)&amp;"–"&amp;(FLOOR(FinalData[[#This Row],[Temperature_C]],2)+2)&amp;"°C"</f>
        <v>22–24°C</v>
      </c>
      <c r="H469">
        <v>3.13</v>
      </c>
      <c r="I469">
        <v>2026</v>
      </c>
      <c r="J469">
        <v>1</v>
      </c>
      <c r="K469">
        <v>20</v>
      </c>
      <c r="L469">
        <v>2</v>
      </c>
      <c r="M469">
        <v>11</v>
      </c>
      <c r="N469">
        <v>0.2</v>
      </c>
      <c r="O469">
        <v>0.39124999999999999</v>
      </c>
      <c r="P469" t="s">
        <v>41</v>
      </c>
    </row>
    <row r="470" spans="1:16" hidden="1" x14ac:dyDescent="0.25">
      <c r="A470" s="12">
        <v>46042.5</v>
      </c>
      <c r="B470" t="s">
        <v>7</v>
      </c>
      <c r="C470" t="s">
        <v>27</v>
      </c>
      <c r="D470">
        <v>6</v>
      </c>
      <c r="E470">
        <v>20</v>
      </c>
      <c r="F470">
        <v>26.976667987161189</v>
      </c>
      <c r="G470" t="str">
        <f>FLOOR(FinalData[[#This Row],[Temperature_C]],2)&amp;"–"&amp;(FLOOR(FinalData[[#This Row],[Temperature_C]],2)+2)&amp;"°C"</f>
        <v>26–28°C</v>
      </c>
      <c r="H470">
        <v>3.73</v>
      </c>
      <c r="I470">
        <v>2026</v>
      </c>
      <c r="J470">
        <v>1</v>
      </c>
      <c r="K470">
        <v>20</v>
      </c>
      <c r="L470">
        <v>2</v>
      </c>
      <c r="M470">
        <v>12</v>
      </c>
      <c r="N470">
        <v>0.3</v>
      </c>
      <c r="O470">
        <v>0.6216666666666667</v>
      </c>
      <c r="P470" t="s">
        <v>42</v>
      </c>
    </row>
    <row r="471" spans="1:16" hidden="1" x14ac:dyDescent="0.25">
      <c r="A471" s="12">
        <v>46042.541666666664</v>
      </c>
      <c r="B471" t="s">
        <v>9</v>
      </c>
      <c r="C471" t="s">
        <v>30</v>
      </c>
      <c r="D471">
        <v>12</v>
      </c>
      <c r="E471">
        <v>40</v>
      </c>
      <c r="F471">
        <v>21.77828472038987</v>
      </c>
      <c r="G471" t="str">
        <f>FLOOR(FinalData[[#This Row],[Temperature_C]],2)&amp;"–"&amp;(FLOOR(FinalData[[#This Row],[Temperature_C]],2)+2)&amp;"°C"</f>
        <v>20–22°C</v>
      </c>
      <c r="H471">
        <v>3.98</v>
      </c>
      <c r="I471">
        <v>2026</v>
      </c>
      <c r="J471">
        <v>1</v>
      </c>
      <c r="K471">
        <v>20</v>
      </c>
      <c r="L471">
        <v>2</v>
      </c>
      <c r="M471">
        <v>13</v>
      </c>
      <c r="N471">
        <v>0.3</v>
      </c>
      <c r="O471">
        <v>0.33166666666666667</v>
      </c>
      <c r="P471" t="s">
        <v>42</v>
      </c>
    </row>
    <row r="472" spans="1:16" hidden="1" x14ac:dyDescent="0.25">
      <c r="A472" s="12">
        <v>46042.583333333336</v>
      </c>
      <c r="B472" t="s">
        <v>18</v>
      </c>
      <c r="C472" t="s">
        <v>15</v>
      </c>
      <c r="D472">
        <v>10</v>
      </c>
      <c r="E472">
        <v>30</v>
      </c>
      <c r="F472">
        <v>19.565876103115901</v>
      </c>
      <c r="G472" t="str">
        <f>FLOOR(FinalData[[#This Row],[Temperature_C]],2)&amp;"–"&amp;(FLOOR(FinalData[[#This Row],[Temperature_C]],2)+2)&amp;"°C"</f>
        <v>18–20°C</v>
      </c>
      <c r="H472">
        <v>3.67</v>
      </c>
      <c r="I472">
        <v>2026</v>
      </c>
      <c r="J472">
        <v>1</v>
      </c>
      <c r="K472">
        <v>20</v>
      </c>
      <c r="L472">
        <v>2</v>
      </c>
      <c r="M472">
        <v>14</v>
      </c>
      <c r="N472">
        <v>0.33333333333333331</v>
      </c>
      <c r="O472">
        <v>0.36699999999999999</v>
      </c>
      <c r="P472" t="s">
        <v>42</v>
      </c>
    </row>
    <row r="473" spans="1:16" hidden="1" x14ac:dyDescent="0.25">
      <c r="A473" s="12">
        <v>46042.625</v>
      </c>
      <c r="B473" t="s">
        <v>18</v>
      </c>
      <c r="C473" t="s">
        <v>19</v>
      </c>
      <c r="D473">
        <v>7</v>
      </c>
      <c r="E473">
        <v>20</v>
      </c>
      <c r="F473">
        <v>25.11403256589627</v>
      </c>
      <c r="G473" t="str">
        <f>FLOOR(FinalData[[#This Row],[Temperature_C]],2)&amp;"–"&amp;(FLOOR(FinalData[[#This Row],[Temperature_C]],2)+2)&amp;"°C"</f>
        <v>24–26°C</v>
      </c>
      <c r="H473">
        <v>3.08</v>
      </c>
      <c r="I473">
        <v>2026</v>
      </c>
      <c r="J473">
        <v>1</v>
      </c>
      <c r="K473">
        <v>20</v>
      </c>
      <c r="L473">
        <v>2</v>
      </c>
      <c r="M473">
        <v>15</v>
      </c>
      <c r="N473">
        <v>0.35</v>
      </c>
      <c r="O473">
        <v>0.44</v>
      </c>
      <c r="P473" t="s">
        <v>42</v>
      </c>
    </row>
    <row r="474" spans="1:16" hidden="1" x14ac:dyDescent="0.25">
      <c r="A474" s="12">
        <v>46042.666666666664</v>
      </c>
      <c r="B474" t="s">
        <v>18</v>
      </c>
      <c r="C474" t="s">
        <v>16</v>
      </c>
      <c r="D474">
        <v>10</v>
      </c>
      <c r="E474">
        <v>25</v>
      </c>
      <c r="F474">
        <v>24.519029774972211</v>
      </c>
      <c r="G474" t="str">
        <f>FLOOR(FinalData[[#This Row],[Temperature_C]],2)&amp;"–"&amp;(FLOOR(FinalData[[#This Row],[Temperature_C]],2)+2)&amp;"°C"</f>
        <v>24–26°C</v>
      </c>
      <c r="H474">
        <v>3.59</v>
      </c>
      <c r="I474">
        <v>2026</v>
      </c>
      <c r="J474">
        <v>1</v>
      </c>
      <c r="K474">
        <v>20</v>
      </c>
      <c r="L474">
        <v>2</v>
      </c>
      <c r="M474">
        <v>16</v>
      </c>
      <c r="N474">
        <v>0.4</v>
      </c>
      <c r="O474">
        <v>0.35899999999999999</v>
      </c>
      <c r="P474" t="s">
        <v>42</v>
      </c>
    </row>
    <row r="475" spans="1:16" hidden="1" x14ac:dyDescent="0.25">
      <c r="A475" s="12">
        <v>46042.708333333336</v>
      </c>
      <c r="B475" t="s">
        <v>13</v>
      </c>
      <c r="C475" t="s">
        <v>21</v>
      </c>
      <c r="D475">
        <v>8</v>
      </c>
      <c r="E475">
        <v>40</v>
      </c>
      <c r="F475">
        <v>19.853100479795561</v>
      </c>
      <c r="G475" t="str">
        <f>FLOOR(FinalData[[#This Row],[Temperature_C]],2)&amp;"–"&amp;(FLOOR(FinalData[[#This Row],[Temperature_C]],2)+2)&amp;"°C"</f>
        <v>18–20°C</v>
      </c>
      <c r="H475">
        <v>2.76</v>
      </c>
      <c r="I475">
        <v>2026</v>
      </c>
      <c r="J475">
        <v>1</v>
      </c>
      <c r="K475">
        <v>20</v>
      </c>
      <c r="L475">
        <v>2</v>
      </c>
      <c r="M475">
        <v>17</v>
      </c>
      <c r="N475">
        <v>0.2</v>
      </c>
      <c r="O475">
        <v>0.34499999999999997</v>
      </c>
      <c r="P475" t="s">
        <v>43</v>
      </c>
    </row>
    <row r="476" spans="1:16" hidden="1" x14ac:dyDescent="0.25">
      <c r="A476" s="12">
        <v>46042.75</v>
      </c>
      <c r="B476" t="s">
        <v>9</v>
      </c>
      <c r="C476" t="s">
        <v>23</v>
      </c>
      <c r="D476">
        <v>8</v>
      </c>
      <c r="E476">
        <v>30</v>
      </c>
      <c r="F476">
        <v>25.318762086601041</v>
      </c>
      <c r="G476" t="str">
        <f>FLOOR(FinalData[[#This Row],[Temperature_C]],2)&amp;"–"&amp;(FLOOR(FinalData[[#This Row],[Temperature_C]],2)+2)&amp;"°C"</f>
        <v>24–26°C</v>
      </c>
      <c r="H476">
        <v>3.59</v>
      </c>
      <c r="I476">
        <v>2026</v>
      </c>
      <c r="J476">
        <v>1</v>
      </c>
      <c r="K476">
        <v>20</v>
      </c>
      <c r="L476">
        <v>2</v>
      </c>
      <c r="M476">
        <v>18</v>
      </c>
      <c r="N476">
        <v>0.26666666666666666</v>
      </c>
      <c r="O476">
        <v>0.44874999999999998</v>
      </c>
      <c r="P476" t="s">
        <v>43</v>
      </c>
    </row>
    <row r="477" spans="1:16" hidden="1" x14ac:dyDescent="0.25">
      <c r="A477" s="12">
        <v>46042.791666666664</v>
      </c>
      <c r="B477" t="s">
        <v>7</v>
      </c>
      <c r="C477" t="s">
        <v>24</v>
      </c>
      <c r="D477">
        <v>6</v>
      </c>
      <c r="E477">
        <v>25</v>
      </c>
      <c r="F477">
        <v>22.721899360425599</v>
      </c>
      <c r="G477" t="str">
        <f>FLOOR(FinalData[[#This Row],[Temperature_C]],2)&amp;"–"&amp;(FLOOR(FinalData[[#This Row],[Temperature_C]],2)+2)&amp;"°C"</f>
        <v>22–24°C</v>
      </c>
      <c r="H477">
        <v>2.77</v>
      </c>
      <c r="I477">
        <v>2026</v>
      </c>
      <c r="J477">
        <v>1</v>
      </c>
      <c r="K477">
        <v>20</v>
      </c>
      <c r="L477">
        <v>2</v>
      </c>
      <c r="M477">
        <v>19</v>
      </c>
      <c r="N477">
        <v>0.24</v>
      </c>
      <c r="O477">
        <v>0.46166666666666667</v>
      </c>
      <c r="P477" t="s">
        <v>43</v>
      </c>
    </row>
    <row r="478" spans="1:16" hidden="1" x14ac:dyDescent="0.25">
      <c r="A478" s="12">
        <v>46042.833333333336</v>
      </c>
      <c r="B478" t="s">
        <v>7</v>
      </c>
      <c r="C478" t="s">
        <v>20</v>
      </c>
      <c r="D478">
        <v>5</v>
      </c>
      <c r="E478">
        <v>25</v>
      </c>
      <c r="F478">
        <v>24.62884979723318</v>
      </c>
      <c r="G478" t="str">
        <f>FLOOR(FinalData[[#This Row],[Temperature_C]],2)&amp;"–"&amp;(FLOOR(FinalData[[#This Row],[Temperature_C]],2)+2)&amp;"°C"</f>
        <v>24–26°C</v>
      </c>
      <c r="H478">
        <v>3.1</v>
      </c>
      <c r="I478">
        <v>2026</v>
      </c>
      <c r="J478">
        <v>1</v>
      </c>
      <c r="K478">
        <v>20</v>
      </c>
      <c r="L478">
        <v>2</v>
      </c>
      <c r="M478">
        <v>20</v>
      </c>
      <c r="N478">
        <v>0.2</v>
      </c>
      <c r="O478">
        <v>0.62</v>
      </c>
      <c r="P478" t="s">
        <v>43</v>
      </c>
    </row>
    <row r="479" spans="1:16" hidden="1" x14ac:dyDescent="0.25">
      <c r="A479" s="12">
        <v>46042.875</v>
      </c>
      <c r="B479" t="s">
        <v>9</v>
      </c>
      <c r="C479" t="s">
        <v>26</v>
      </c>
      <c r="D479">
        <v>6</v>
      </c>
      <c r="E479">
        <v>30</v>
      </c>
      <c r="F479">
        <v>20.385260435538068</v>
      </c>
      <c r="G479" t="str">
        <f>FLOOR(FinalData[[#This Row],[Temperature_C]],2)&amp;"–"&amp;(FLOOR(FinalData[[#This Row],[Temperature_C]],2)+2)&amp;"°C"</f>
        <v>20–22°C</v>
      </c>
      <c r="H479">
        <v>2.06</v>
      </c>
      <c r="I479">
        <v>2026</v>
      </c>
      <c r="J479">
        <v>1</v>
      </c>
      <c r="K479">
        <v>20</v>
      </c>
      <c r="L479">
        <v>2</v>
      </c>
      <c r="M479">
        <v>21</v>
      </c>
      <c r="N479">
        <v>0.2</v>
      </c>
      <c r="O479">
        <v>0.34333333333333332</v>
      </c>
      <c r="P479" t="s">
        <v>40</v>
      </c>
    </row>
    <row r="480" spans="1:16" hidden="1" x14ac:dyDescent="0.25">
      <c r="A480" s="12">
        <v>46042.916666666664</v>
      </c>
      <c r="B480" t="s">
        <v>11</v>
      </c>
      <c r="C480" t="s">
        <v>23</v>
      </c>
      <c r="D480">
        <v>10</v>
      </c>
      <c r="E480">
        <v>20</v>
      </c>
      <c r="F480">
        <v>25.78925077642235</v>
      </c>
      <c r="G480" t="str">
        <f>FLOOR(FinalData[[#This Row],[Temperature_C]],2)&amp;"–"&amp;(FLOOR(FinalData[[#This Row],[Temperature_C]],2)+2)&amp;"°C"</f>
        <v>24–26°C</v>
      </c>
      <c r="H480">
        <v>3.55</v>
      </c>
      <c r="I480">
        <v>2026</v>
      </c>
      <c r="J480">
        <v>1</v>
      </c>
      <c r="K480">
        <v>20</v>
      </c>
      <c r="L480">
        <v>2</v>
      </c>
      <c r="M480">
        <v>22</v>
      </c>
      <c r="N480">
        <v>0.5</v>
      </c>
      <c r="O480">
        <v>0.35499999999999998</v>
      </c>
      <c r="P480" t="s">
        <v>40</v>
      </c>
    </row>
    <row r="481" spans="1:16" hidden="1" x14ac:dyDescent="0.25">
      <c r="A481" s="12">
        <v>46042.958333333336</v>
      </c>
      <c r="B481" t="s">
        <v>11</v>
      </c>
      <c r="C481" t="s">
        <v>19</v>
      </c>
      <c r="D481">
        <v>3</v>
      </c>
      <c r="E481">
        <v>20</v>
      </c>
      <c r="F481">
        <v>19.55764834942055</v>
      </c>
      <c r="G481" t="str">
        <f>FLOOR(FinalData[[#This Row],[Temperature_C]],2)&amp;"–"&amp;(FLOOR(FinalData[[#This Row],[Temperature_C]],2)+2)&amp;"°C"</f>
        <v>18–20°C</v>
      </c>
      <c r="H481">
        <v>1.64</v>
      </c>
      <c r="I481">
        <v>2026</v>
      </c>
      <c r="J481">
        <v>1</v>
      </c>
      <c r="K481">
        <v>20</v>
      </c>
      <c r="L481">
        <v>2</v>
      </c>
      <c r="M481">
        <v>23</v>
      </c>
      <c r="N481">
        <v>0.15</v>
      </c>
      <c r="O481">
        <v>0.54666666666666663</v>
      </c>
      <c r="P481" t="s">
        <v>40</v>
      </c>
    </row>
    <row r="482" spans="1:16" hidden="1" x14ac:dyDescent="0.25">
      <c r="A482" s="12">
        <v>46043</v>
      </c>
      <c r="B482" t="s">
        <v>18</v>
      </c>
      <c r="C482" t="s">
        <v>15</v>
      </c>
      <c r="D482">
        <v>13</v>
      </c>
      <c r="E482">
        <v>25</v>
      </c>
      <c r="F482">
        <v>23.844217186979812</v>
      </c>
      <c r="G482" t="str">
        <f>FLOOR(FinalData[[#This Row],[Temperature_C]],2)&amp;"–"&amp;(FLOOR(FinalData[[#This Row],[Temperature_C]],2)+2)&amp;"°C"</f>
        <v>22–24°C</v>
      </c>
      <c r="H482">
        <v>4.79</v>
      </c>
      <c r="I482">
        <v>2026</v>
      </c>
      <c r="J482">
        <v>1</v>
      </c>
      <c r="K482">
        <v>21</v>
      </c>
      <c r="L482">
        <v>3</v>
      </c>
      <c r="M482">
        <v>0</v>
      </c>
      <c r="N482">
        <v>0.52</v>
      </c>
      <c r="O482">
        <v>0.36846153846153845</v>
      </c>
      <c r="P482" t="s">
        <v>40</v>
      </c>
    </row>
    <row r="483" spans="1:16" hidden="1" x14ac:dyDescent="0.25">
      <c r="A483" s="12">
        <v>46043.041666666664</v>
      </c>
      <c r="B483" t="s">
        <v>13</v>
      </c>
      <c r="C483" t="s">
        <v>23</v>
      </c>
      <c r="D483">
        <v>8</v>
      </c>
      <c r="E483">
        <v>25</v>
      </c>
      <c r="F483">
        <v>22.905258594911128</v>
      </c>
      <c r="G483" t="str">
        <f>FLOOR(FinalData[[#This Row],[Temperature_C]],2)&amp;"–"&amp;(FLOOR(FinalData[[#This Row],[Temperature_C]],2)+2)&amp;"°C"</f>
        <v>22–24°C</v>
      </c>
      <c r="H483">
        <v>2.46</v>
      </c>
      <c r="I483">
        <v>2026</v>
      </c>
      <c r="J483">
        <v>1</v>
      </c>
      <c r="K483">
        <v>21</v>
      </c>
      <c r="L483">
        <v>3</v>
      </c>
      <c r="M483">
        <v>1</v>
      </c>
      <c r="N483">
        <v>0.32</v>
      </c>
      <c r="O483">
        <v>0.3075</v>
      </c>
      <c r="P483" t="s">
        <v>40</v>
      </c>
    </row>
    <row r="484" spans="1:16" hidden="1" x14ac:dyDescent="0.25">
      <c r="A484" s="12">
        <v>46043.083333333336</v>
      </c>
      <c r="B484" t="s">
        <v>7</v>
      </c>
      <c r="C484" t="s">
        <v>21</v>
      </c>
      <c r="D484">
        <v>6</v>
      </c>
      <c r="E484">
        <v>30</v>
      </c>
      <c r="F484">
        <v>21.794070199695678</v>
      </c>
      <c r="G484" t="str">
        <f>FLOOR(FinalData[[#This Row],[Temperature_C]],2)&amp;"–"&amp;(FLOOR(FinalData[[#This Row],[Temperature_C]],2)+2)&amp;"°C"</f>
        <v>20–22°C</v>
      </c>
      <c r="H484">
        <v>2.4300000000000002</v>
      </c>
      <c r="I484">
        <v>2026</v>
      </c>
      <c r="J484">
        <v>1</v>
      </c>
      <c r="K484">
        <v>21</v>
      </c>
      <c r="L484">
        <v>3</v>
      </c>
      <c r="M484">
        <v>2</v>
      </c>
      <c r="N484">
        <v>0.2</v>
      </c>
      <c r="O484">
        <v>0.40500000000000003</v>
      </c>
      <c r="P484" t="s">
        <v>40</v>
      </c>
    </row>
    <row r="485" spans="1:16" hidden="1" x14ac:dyDescent="0.25">
      <c r="A485" s="12">
        <v>46043.125</v>
      </c>
      <c r="B485" t="s">
        <v>18</v>
      </c>
      <c r="C485" t="s">
        <v>27</v>
      </c>
      <c r="D485">
        <v>10</v>
      </c>
      <c r="E485">
        <v>20</v>
      </c>
      <c r="F485">
        <v>21.655028807987328</v>
      </c>
      <c r="G485" t="str">
        <f>FLOOR(FinalData[[#This Row],[Temperature_C]],2)&amp;"–"&amp;(FLOOR(FinalData[[#This Row],[Temperature_C]],2)+2)&amp;"°C"</f>
        <v>20–22°C</v>
      </c>
      <c r="H485">
        <v>3.42</v>
      </c>
      <c r="I485">
        <v>2026</v>
      </c>
      <c r="J485">
        <v>1</v>
      </c>
      <c r="K485">
        <v>21</v>
      </c>
      <c r="L485">
        <v>3</v>
      </c>
      <c r="M485">
        <v>3</v>
      </c>
      <c r="N485">
        <v>0.5</v>
      </c>
      <c r="O485">
        <v>0.34199999999999997</v>
      </c>
      <c r="P485" t="s">
        <v>40</v>
      </c>
    </row>
    <row r="486" spans="1:16" hidden="1" x14ac:dyDescent="0.25">
      <c r="A486" s="12">
        <v>46043.166666666664</v>
      </c>
      <c r="B486" t="s">
        <v>7</v>
      </c>
      <c r="C486" t="s">
        <v>24</v>
      </c>
      <c r="D486">
        <v>7</v>
      </c>
      <c r="E486">
        <v>40</v>
      </c>
      <c r="F486">
        <v>18.256681278282219</v>
      </c>
      <c r="G486" t="str">
        <f>FLOOR(FinalData[[#This Row],[Temperature_C]],2)&amp;"–"&amp;(FLOOR(FinalData[[#This Row],[Temperature_C]],2)+2)&amp;"°C"</f>
        <v>18–20°C</v>
      </c>
      <c r="H486">
        <v>3.72</v>
      </c>
      <c r="I486">
        <v>2026</v>
      </c>
      <c r="J486">
        <v>1</v>
      </c>
      <c r="K486">
        <v>21</v>
      </c>
      <c r="L486">
        <v>3</v>
      </c>
      <c r="M486">
        <v>4</v>
      </c>
      <c r="N486">
        <v>0.17499999999999999</v>
      </c>
      <c r="O486">
        <v>0.53142857142857147</v>
      </c>
      <c r="P486" t="s">
        <v>40</v>
      </c>
    </row>
    <row r="487" spans="1:16" hidden="1" x14ac:dyDescent="0.25">
      <c r="A487" s="12">
        <v>46043.208333333336</v>
      </c>
      <c r="B487" t="s">
        <v>13</v>
      </c>
      <c r="C487" t="s">
        <v>19</v>
      </c>
      <c r="D487">
        <v>6</v>
      </c>
      <c r="E487">
        <v>30</v>
      </c>
      <c r="F487">
        <v>22.187515102260949</v>
      </c>
      <c r="G487" t="str">
        <f>FLOOR(FinalData[[#This Row],[Temperature_C]],2)&amp;"–"&amp;(FLOOR(FinalData[[#This Row],[Temperature_C]],2)+2)&amp;"°C"</f>
        <v>22–24°C</v>
      </c>
      <c r="H487">
        <v>2.14</v>
      </c>
      <c r="I487">
        <v>2026</v>
      </c>
      <c r="J487">
        <v>1</v>
      </c>
      <c r="K487">
        <v>21</v>
      </c>
      <c r="L487">
        <v>3</v>
      </c>
      <c r="M487">
        <v>5</v>
      </c>
      <c r="N487">
        <v>0.2</v>
      </c>
      <c r="O487">
        <v>0.35666666666666669</v>
      </c>
      <c r="P487" t="s">
        <v>40</v>
      </c>
    </row>
    <row r="488" spans="1:16" hidden="1" x14ac:dyDescent="0.25">
      <c r="A488" s="12">
        <v>46043.25</v>
      </c>
      <c r="B488" t="s">
        <v>18</v>
      </c>
      <c r="C488" t="s">
        <v>12</v>
      </c>
      <c r="D488">
        <v>11</v>
      </c>
      <c r="E488">
        <v>30</v>
      </c>
      <c r="F488">
        <v>23.641753022369151</v>
      </c>
      <c r="G488" t="str">
        <f>FLOOR(FinalData[[#This Row],[Temperature_C]],2)&amp;"–"&amp;(FLOOR(FinalData[[#This Row],[Temperature_C]],2)+2)&amp;"°C"</f>
        <v>22–24°C</v>
      </c>
      <c r="H488">
        <v>3.75</v>
      </c>
      <c r="I488">
        <v>2026</v>
      </c>
      <c r="J488">
        <v>1</v>
      </c>
      <c r="K488">
        <v>21</v>
      </c>
      <c r="L488">
        <v>3</v>
      </c>
      <c r="M488">
        <v>6</v>
      </c>
      <c r="N488">
        <v>0.36666666666666664</v>
      </c>
      <c r="O488">
        <v>0.34090909090909088</v>
      </c>
      <c r="P488" t="s">
        <v>40</v>
      </c>
    </row>
    <row r="489" spans="1:16" hidden="1" x14ac:dyDescent="0.25">
      <c r="A489" s="12">
        <v>46043.291666666664</v>
      </c>
      <c r="B489" t="s">
        <v>18</v>
      </c>
      <c r="C489" t="s">
        <v>31</v>
      </c>
      <c r="D489">
        <v>9</v>
      </c>
      <c r="E489">
        <v>30</v>
      </c>
      <c r="F489">
        <v>23.704580888332568</v>
      </c>
      <c r="G489" t="str">
        <f>FLOOR(FinalData[[#This Row],[Temperature_C]],2)&amp;"–"&amp;(FLOOR(FinalData[[#This Row],[Temperature_C]],2)+2)&amp;"°C"</f>
        <v>22–24°C</v>
      </c>
      <c r="H489">
        <v>3.04</v>
      </c>
      <c r="I489">
        <v>2026</v>
      </c>
      <c r="J489">
        <v>1</v>
      </c>
      <c r="K489">
        <v>21</v>
      </c>
      <c r="L489">
        <v>3</v>
      </c>
      <c r="M489">
        <v>7</v>
      </c>
      <c r="N489">
        <v>0.3</v>
      </c>
      <c r="O489">
        <v>0.33777777777777779</v>
      </c>
      <c r="P489" t="s">
        <v>41</v>
      </c>
    </row>
    <row r="490" spans="1:16" hidden="1" x14ac:dyDescent="0.25">
      <c r="A490" s="12">
        <v>46043.333333333336</v>
      </c>
      <c r="B490" t="s">
        <v>9</v>
      </c>
      <c r="C490" t="s">
        <v>22</v>
      </c>
      <c r="D490">
        <v>8</v>
      </c>
      <c r="E490">
        <v>20</v>
      </c>
      <c r="F490">
        <v>20.883118732716699</v>
      </c>
      <c r="G490" t="str">
        <f>FLOOR(FinalData[[#This Row],[Temperature_C]],2)&amp;"–"&amp;(FLOOR(FinalData[[#This Row],[Temperature_C]],2)+2)&amp;"°C"</f>
        <v>20–22°C</v>
      </c>
      <c r="H490">
        <v>2.2200000000000002</v>
      </c>
      <c r="I490">
        <v>2026</v>
      </c>
      <c r="J490">
        <v>1</v>
      </c>
      <c r="K490">
        <v>21</v>
      </c>
      <c r="L490">
        <v>3</v>
      </c>
      <c r="M490">
        <v>8</v>
      </c>
      <c r="N490">
        <v>0.4</v>
      </c>
      <c r="O490">
        <v>0.27750000000000002</v>
      </c>
      <c r="P490" t="s">
        <v>41</v>
      </c>
    </row>
    <row r="491" spans="1:16" hidden="1" x14ac:dyDescent="0.25">
      <c r="A491" s="12">
        <v>46043.375</v>
      </c>
      <c r="B491" t="s">
        <v>9</v>
      </c>
      <c r="C491" t="s">
        <v>31</v>
      </c>
      <c r="D491">
        <v>9</v>
      </c>
      <c r="E491">
        <v>40</v>
      </c>
      <c r="F491">
        <v>25.510807218919791</v>
      </c>
      <c r="G491" t="str">
        <f>FLOOR(FinalData[[#This Row],[Temperature_C]],2)&amp;"–"&amp;(FLOOR(FinalData[[#This Row],[Temperature_C]],2)+2)&amp;"°C"</f>
        <v>24–26°C</v>
      </c>
      <c r="H491">
        <v>3.86</v>
      </c>
      <c r="I491">
        <v>2026</v>
      </c>
      <c r="J491">
        <v>1</v>
      </c>
      <c r="K491">
        <v>21</v>
      </c>
      <c r="L491">
        <v>3</v>
      </c>
      <c r="M491">
        <v>9</v>
      </c>
      <c r="N491">
        <v>0.22500000000000001</v>
      </c>
      <c r="O491">
        <v>0.42888888888888888</v>
      </c>
      <c r="P491" t="s">
        <v>41</v>
      </c>
    </row>
    <row r="492" spans="1:16" hidden="1" x14ac:dyDescent="0.25">
      <c r="A492" s="12">
        <v>46043.416666666664</v>
      </c>
      <c r="B492" t="s">
        <v>7</v>
      </c>
      <c r="C492" t="s">
        <v>30</v>
      </c>
      <c r="D492">
        <v>4</v>
      </c>
      <c r="E492">
        <v>20</v>
      </c>
      <c r="F492">
        <v>25.00273291258172</v>
      </c>
      <c r="G492" t="str">
        <f>FLOOR(FinalData[[#This Row],[Temperature_C]],2)&amp;"–"&amp;(FLOOR(FinalData[[#This Row],[Temperature_C]],2)+2)&amp;"°C"</f>
        <v>24–26°C</v>
      </c>
      <c r="H492">
        <v>2.33</v>
      </c>
      <c r="I492">
        <v>2026</v>
      </c>
      <c r="J492">
        <v>1</v>
      </c>
      <c r="K492">
        <v>21</v>
      </c>
      <c r="L492">
        <v>3</v>
      </c>
      <c r="M492">
        <v>10</v>
      </c>
      <c r="N492">
        <v>0.2</v>
      </c>
      <c r="O492">
        <v>0.58250000000000002</v>
      </c>
      <c r="P492" t="s">
        <v>41</v>
      </c>
    </row>
    <row r="493" spans="1:16" hidden="1" x14ac:dyDescent="0.25">
      <c r="A493" s="12">
        <v>46043.458333333336</v>
      </c>
      <c r="B493" t="s">
        <v>9</v>
      </c>
      <c r="C493" t="s">
        <v>19</v>
      </c>
      <c r="D493">
        <v>10</v>
      </c>
      <c r="E493">
        <v>40</v>
      </c>
      <c r="F493">
        <v>20.286128860600851</v>
      </c>
      <c r="G493" t="str">
        <f>FLOOR(FinalData[[#This Row],[Temperature_C]],2)&amp;"–"&amp;(FLOOR(FinalData[[#This Row],[Temperature_C]],2)+2)&amp;"°C"</f>
        <v>20–22°C</v>
      </c>
      <c r="H493">
        <v>3.62</v>
      </c>
      <c r="I493">
        <v>2026</v>
      </c>
      <c r="J493">
        <v>1</v>
      </c>
      <c r="K493">
        <v>21</v>
      </c>
      <c r="L493">
        <v>3</v>
      </c>
      <c r="M493">
        <v>11</v>
      </c>
      <c r="N493">
        <v>0.25</v>
      </c>
      <c r="O493">
        <v>0.36199999999999999</v>
      </c>
      <c r="P493" t="s">
        <v>41</v>
      </c>
    </row>
    <row r="494" spans="1:16" hidden="1" x14ac:dyDescent="0.25">
      <c r="A494" s="12">
        <v>46043.5</v>
      </c>
      <c r="B494" t="s">
        <v>18</v>
      </c>
      <c r="C494" t="s">
        <v>25</v>
      </c>
      <c r="D494">
        <v>8</v>
      </c>
      <c r="E494">
        <v>40</v>
      </c>
      <c r="F494">
        <v>23.400903008680629</v>
      </c>
      <c r="G494" t="str">
        <f>FLOOR(FinalData[[#This Row],[Temperature_C]],2)&amp;"–"&amp;(FLOOR(FinalData[[#This Row],[Temperature_C]],2)+2)&amp;"°C"</f>
        <v>22–24°C</v>
      </c>
      <c r="H494">
        <v>2.91</v>
      </c>
      <c r="I494">
        <v>2026</v>
      </c>
      <c r="J494">
        <v>1</v>
      </c>
      <c r="K494">
        <v>21</v>
      </c>
      <c r="L494">
        <v>3</v>
      </c>
      <c r="M494">
        <v>12</v>
      </c>
      <c r="N494">
        <v>0.2</v>
      </c>
      <c r="O494">
        <v>0.36375000000000002</v>
      </c>
      <c r="P494" t="s">
        <v>42</v>
      </c>
    </row>
    <row r="495" spans="1:16" hidden="1" x14ac:dyDescent="0.25">
      <c r="A495" s="12">
        <v>46043.541666666664</v>
      </c>
      <c r="B495" t="s">
        <v>18</v>
      </c>
      <c r="C495" t="s">
        <v>12</v>
      </c>
      <c r="D495">
        <v>4</v>
      </c>
      <c r="E495">
        <v>25</v>
      </c>
      <c r="F495">
        <v>25.299344037757489</v>
      </c>
      <c r="G495" t="str">
        <f>FLOOR(FinalData[[#This Row],[Temperature_C]],2)&amp;"–"&amp;(FLOOR(FinalData[[#This Row],[Temperature_C]],2)+2)&amp;"°C"</f>
        <v>24–26°C</v>
      </c>
      <c r="H495">
        <v>2.38</v>
      </c>
      <c r="I495">
        <v>2026</v>
      </c>
      <c r="J495">
        <v>1</v>
      </c>
      <c r="K495">
        <v>21</v>
      </c>
      <c r="L495">
        <v>3</v>
      </c>
      <c r="M495">
        <v>13</v>
      </c>
      <c r="N495">
        <v>0.16</v>
      </c>
      <c r="O495">
        <v>0.59499999999999997</v>
      </c>
      <c r="P495" t="s">
        <v>42</v>
      </c>
    </row>
    <row r="496" spans="1:16" hidden="1" x14ac:dyDescent="0.25">
      <c r="A496" s="12">
        <v>46043.583333333336</v>
      </c>
      <c r="B496" t="s">
        <v>18</v>
      </c>
      <c r="C496" t="s">
        <v>31</v>
      </c>
      <c r="D496">
        <v>4</v>
      </c>
      <c r="E496">
        <v>40</v>
      </c>
      <c r="F496">
        <v>25.189343272760549</v>
      </c>
      <c r="G496" t="str">
        <f>FLOOR(FinalData[[#This Row],[Temperature_C]],2)&amp;"–"&amp;(FLOOR(FinalData[[#This Row],[Temperature_C]],2)+2)&amp;"°C"</f>
        <v>24–26°C</v>
      </c>
      <c r="H496">
        <v>1.77</v>
      </c>
      <c r="I496">
        <v>2026</v>
      </c>
      <c r="J496">
        <v>1</v>
      </c>
      <c r="K496">
        <v>21</v>
      </c>
      <c r="L496">
        <v>3</v>
      </c>
      <c r="M496">
        <v>14</v>
      </c>
      <c r="N496">
        <v>0.1</v>
      </c>
      <c r="O496">
        <v>0.4425</v>
      </c>
      <c r="P496" t="s">
        <v>42</v>
      </c>
    </row>
    <row r="497" spans="1:16" hidden="1" x14ac:dyDescent="0.25">
      <c r="A497" s="12">
        <v>46043.625</v>
      </c>
      <c r="B497" t="s">
        <v>13</v>
      </c>
      <c r="C497" t="s">
        <v>27</v>
      </c>
      <c r="D497">
        <v>7</v>
      </c>
      <c r="E497">
        <v>20</v>
      </c>
      <c r="F497">
        <v>21.26149528956817</v>
      </c>
      <c r="G497" t="str">
        <f>FLOOR(FinalData[[#This Row],[Temperature_C]],2)&amp;"–"&amp;(FLOOR(FinalData[[#This Row],[Temperature_C]],2)+2)&amp;"°C"</f>
        <v>20–22°C</v>
      </c>
      <c r="H497">
        <v>2.56</v>
      </c>
      <c r="I497">
        <v>2026</v>
      </c>
      <c r="J497">
        <v>1</v>
      </c>
      <c r="K497">
        <v>21</v>
      </c>
      <c r="L497">
        <v>3</v>
      </c>
      <c r="M497">
        <v>15</v>
      </c>
      <c r="N497">
        <v>0.35</v>
      </c>
      <c r="O497">
        <v>0.36571428571428571</v>
      </c>
      <c r="P497" t="s">
        <v>42</v>
      </c>
    </row>
    <row r="498" spans="1:16" hidden="1" x14ac:dyDescent="0.25">
      <c r="A498" s="12">
        <v>46043.666666666664</v>
      </c>
      <c r="B498" t="s">
        <v>7</v>
      </c>
      <c r="C498" t="s">
        <v>27</v>
      </c>
      <c r="D498">
        <v>9</v>
      </c>
      <c r="E498">
        <v>30</v>
      </c>
      <c r="F498">
        <v>24.414372370100189</v>
      </c>
      <c r="G498" t="str">
        <f>FLOOR(FinalData[[#This Row],[Temperature_C]],2)&amp;"–"&amp;(FLOOR(FinalData[[#This Row],[Temperature_C]],2)+2)&amp;"°C"</f>
        <v>24–26°C</v>
      </c>
      <c r="H498">
        <v>3.71</v>
      </c>
      <c r="I498">
        <v>2026</v>
      </c>
      <c r="J498">
        <v>1</v>
      </c>
      <c r="K498">
        <v>21</v>
      </c>
      <c r="L498">
        <v>3</v>
      </c>
      <c r="M498">
        <v>16</v>
      </c>
      <c r="N498">
        <v>0.3</v>
      </c>
      <c r="O498">
        <v>0.41222222222222221</v>
      </c>
      <c r="P498" t="s">
        <v>42</v>
      </c>
    </row>
    <row r="499" spans="1:16" hidden="1" x14ac:dyDescent="0.25">
      <c r="A499" s="12">
        <v>46043.708333333336</v>
      </c>
      <c r="B499" t="s">
        <v>7</v>
      </c>
      <c r="C499" t="s">
        <v>22</v>
      </c>
      <c r="D499">
        <v>8</v>
      </c>
      <c r="E499">
        <v>20</v>
      </c>
      <c r="F499">
        <v>20.61095412046793</v>
      </c>
      <c r="G499" t="str">
        <f>FLOOR(FinalData[[#This Row],[Temperature_C]],2)&amp;"–"&amp;(FLOOR(FinalData[[#This Row],[Temperature_C]],2)+2)&amp;"°C"</f>
        <v>20–22°C</v>
      </c>
      <c r="H499">
        <v>3.09</v>
      </c>
      <c r="I499">
        <v>2026</v>
      </c>
      <c r="J499">
        <v>1</v>
      </c>
      <c r="K499">
        <v>21</v>
      </c>
      <c r="L499">
        <v>3</v>
      </c>
      <c r="M499">
        <v>17</v>
      </c>
      <c r="N499">
        <v>0.4</v>
      </c>
      <c r="O499">
        <v>0.38624999999999998</v>
      </c>
      <c r="P499" t="s">
        <v>43</v>
      </c>
    </row>
    <row r="500" spans="1:16" hidden="1" x14ac:dyDescent="0.25">
      <c r="A500" s="12">
        <v>46043.75</v>
      </c>
      <c r="B500" t="s">
        <v>9</v>
      </c>
      <c r="C500" t="s">
        <v>24</v>
      </c>
      <c r="D500">
        <v>7</v>
      </c>
      <c r="E500">
        <v>40</v>
      </c>
      <c r="F500">
        <v>24.762293441626738</v>
      </c>
      <c r="G500" t="str">
        <f>FLOOR(FinalData[[#This Row],[Temperature_C]],2)&amp;"–"&amp;(FLOOR(FinalData[[#This Row],[Temperature_C]],2)+2)&amp;"°C"</f>
        <v>24–26°C</v>
      </c>
      <c r="H500">
        <v>2.96</v>
      </c>
      <c r="I500">
        <v>2026</v>
      </c>
      <c r="J500">
        <v>1</v>
      </c>
      <c r="K500">
        <v>21</v>
      </c>
      <c r="L500">
        <v>3</v>
      </c>
      <c r="M500">
        <v>18</v>
      </c>
      <c r="N500">
        <v>0.17499999999999999</v>
      </c>
      <c r="O500">
        <v>0.42285714285714288</v>
      </c>
      <c r="P500" t="s">
        <v>43</v>
      </c>
    </row>
    <row r="501" spans="1:16" hidden="1" x14ac:dyDescent="0.25">
      <c r="A501" s="12">
        <v>46043.791666666664</v>
      </c>
      <c r="B501" t="s">
        <v>11</v>
      </c>
      <c r="C501" t="s">
        <v>17</v>
      </c>
      <c r="D501">
        <v>7</v>
      </c>
      <c r="E501">
        <v>20</v>
      </c>
      <c r="F501">
        <v>18.660645164548601</v>
      </c>
      <c r="G501" t="str">
        <f>FLOOR(FinalData[[#This Row],[Temperature_C]],2)&amp;"–"&amp;(FLOOR(FinalData[[#This Row],[Temperature_C]],2)+2)&amp;"°C"</f>
        <v>18–20°C</v>
      </c>
      <c r="H501">
        <v>2.69</v>
      </c>
      <c r="I501">
        <v>2026</v>
      </c>
      <c r="J501">
        <v>1</v>
      </c>
      <c r="K501">
        <v>21</v>
      </c>
      <c r="L501">
        <v>3</v>
      </c>
      <c r="M501">
        <v>19</v>
      </c>
      <c r="N501">
        <v>0.35</v>
      </c>
      <c r="O501">
        <v>0.38428571428571429</v>
      </c>
      <c r="P501" t="s">
        <v>43</v>
      </c>
    </row>
    <row r="502" spans="1:16" hidden="1" x14ac:dyDescent="0.25">
      <c r="A502" s="12">
        <v>46043.833333333336</v>
      </c>
      <c r="B502" t="s">
        <v>18</v>
      </c>
      <c r="C502" t="s">
        <v>19</v>
      </c>
      <c r="D502">
        <v>9</v>
      </c>
      <c r="E502">
        <v>40</v>
      </c>
      <c r="F502">
        <v>24.38094537224303</v>
      </c>
      <c r="G502" t="str">
        <f>FLOOR(FinalData[[#This Row],[Temperature_C]],2)&amp;"–"&amp;(FLOOR(FinalData[[#This Row],[Temperature_C]],2)+2)&amp;"°C"</f>
        <v>24–26°C</v>
      </c>
      <c r="H502">
        <v>3.49</v>
      </c>
      <c r="I502">
        <v>2026</v>
      </c>
      <c r="J502">
        <v>1</v>
      </c>
      <c r="K502">
        <v>21</v>
      </c>
      <c r="L502">
        <v>3</v>
      </c>
      <c r="M502">
        <v>20</v>
      </c>
      <c r="N502">
        <v>0.22500000000000001</v>
      </c>
      <c r="O502">
        <v>0.38777777777777778</v>
      </c>
      <c r="P502" t="s">
        <v>43</v>
      </c>
    </row>
    <row r="503" spans="1:16" hidden="1" x14ac:dyDescent="0.25">
      <c r="A503" s="12">
        <v>46043.875</v>
      </c>
      <c r="B503" t="s">
        <v>18</v>
      </c>
      <c r="C503" t="s">
        <v>26</v>
      </c>
      <c r="D503">
        <v>8</v>
      </c>
      <c r="E503">
        <v>25</v>
      </c>
      <c r="F503">
        <v>25.717165739235661</v>
      </c>
      <c r="G503" t="str">
        <f>FLOOR(FinalData[[#This Row],[Temperature_C]],2)&amp;"–"&amp;(FLOOR(FinalData[[#This Row],[Temperature_C]],2)+2)&amp;"°C"</f>
        <v>24–26°C</v>
      </c>
      <c r="H503">
        <v>3.25</v>
      </c>
      <c r="I503">
        <v>2026</v>
      </c>
      <c r="J503">
        <v>1</v>
      </c>
      <c r="K503">
        <v>21</v>
      </c>
      <c r="L503">
        <v>3</v>
      </c>
      <c r="M503">
        <v>21</v>
      </c>
      <c r="N503">
        <v>0.32</v>
      </c>
      <c r="O503">
        <v>0.40625</v>
      </c>
      <c r="P503" t="s">
        <v>40</v>
      </c>
    </row>
    <row r="504" spans="1:16" hidden="1" x14ac:dyDescent="0.25">
      <c r="A504" s="12">
        <v>46043.916666666664</v>
      </c>
      <c r="B504" t="s">
        <v>13</v>
      </c>
      <c r="C504" t="s">
        <v>28</v>
      </c>
      <c r="D504">
        <v>4</v>
      </c>
      <c r="E504">
        <v>25</v>
      </c>
      <c r="F504">
        <v>22.024589254102509</v>
      </c>
      <c r="G504" t="str">
        <f>FLOOR(FinalData[[#This Row],[Temperature_C]],2)&amp;"–"&amp;(FLOOR(FinalData[[#This Row],[Temperature_C]],2)+2)&amp;"°C"</f>
        <v>22–24°C</v>
      </c>
      <c r="H504">
        <v>2.13</v>
      </c>
      <c r="I504">
        <v>2026</v>
      </c>
      <c r="J504">
        <v>1</v>
      </c>
      <c r="K504">
        <v>21</v>
      </c>
      <c r="L504">
        <v>3</v>
      </c>
      <c r="M504">
        <v>22</v>
      </c>
      <c r="N504">
        <v>0.16</v>
      </c>
      <c r="O504">
        <v>0.53249999999999997</v>
      </c>
      <c r="P504" t="s">
        <v>40</v>
      </c>
    </row>
    <row r="505" spans="1:16" hidden="1" x14ac:dyDescent="0.25">
      <c r="A505" s="12">
        <v>46043.958333333336</v>
      </c>
      <c r="B505" t="s">
        <v>13</v>
      </c>
      <c r="C505" t="s">
        <v>23</v>
      </c>
      <c r="D505">
        <v>9</v>
      </c>
      <c r="E505">
        <v>30</v>
      </c>
      <c r="F505">
        <v>24.001663182008421</v>
      </c>
      <c r="G505" t="str">
        <f>FLOOR(FinalData[[#This Row],[Temperature_C]],2)&amp;"–"&amp;(FLOOR(FinalData[[#This Row],[Temperature_C]],2)+2)&amp;"°C"</f>
        <v>24–26°C</v>
      </c>
      <c r="H505">
        <v>3.09</v>
      </c>
      <c r="I505">
        <v>2026</v>
      </c>
      <c r="J505">
        <v>1</v>
      </c>
      <c r="K505">
        <v>21</v>
      </c>
      <c r="L505">
        <v>3</v>
      </c>
      <c r="M505">
        <v>23</v>
      </c>
      <c r="N505">
        <v>0.3</v>
      </c>
      <c r="O505">
        <v>0.34333333333333332</v>
      </c>
      <c r="P505" t="s">
        <v>40</v>
      </c>
    </row>
    <row r="506" spans="1:16" hidden="1" x14ac:dyDescent="0.25">
      <c r="A506" s="12">
        <v>46044</v>
      </c>
      <c r="B506" t="s">
        <v>18</v>
      </c>
      <c r="C506" t="s">
        <v>14</v>
      </c>
      <c r="D506">
        <v>12</v>
      </c>
      <c r="E506">
        <v>40</v>
      </c>
      <c r="F506">
        <v>25.138288527871829</v>
      </c>
      <c r="G506" t="str">
        <f>FLOOR(FinalData[[#This Row],[Temperature_C]],2)&amp;"–"&amp;(FLOOR(FinalData[[#This Row],[Temperature_C]],2)+2)&amp;"°C"</f>
        <v>24–26°C</v>
      </c>
      <c r="H506">
        <v>4.04</v>
      </c>
      <c r="I506">
        <v>2026</v>
      </c>
      <c r="J506">
        <v>1</v>
      </c>
      <c r="K506">
        <v>22</v>
      </c>
      <c r="L506">
        <v>4</v>
      </c>
      <c r="M506">
        <v>0</v>
      </c>
      <c r="N506">
        <v>0.3</v>
      </c>
      <c r="O506">
        <v>0.33666666666666667</v>
      </c>
      <c r="P506" t="s">
        <v>40</v>
      </c>
    </row>
    <row r="507" spans="1:16" hidden="1" x14ac:dyDescent="0.25">
      <c r="A507" s="12">
        <v>46044.041666666664</v>
      </c>
      <c r="B507" t="s">
        <v>7</v>
      </c>
      <c r="C507" t="s">
        <v>16</v>
      </c>
      <c r="D507">
        <v>9</v>
      </c>
      <c r="E507">
        <v>30</v>
      </c>
      <c r="F507">
        <v>21.082047512931101</v>
      </c>
      <c r="G507" t="str">
        <f>FLOOR(FinalData[[#This Row],[Temperature_C]],2)&amp;"–"&amp;(FLOOR(FinalData[[#This Row],[Temperature_C]],2)+2)&amp;"°C"</f>
        <v>20–22°C</v>
      </c>
      <c r="H507">
        <v>3.45</v>
      </c>
      <c r="I507">
        <v>2026</v>
      </c>
      <c r="J507">
        <v>1</v>
      </c>
      <c r="K507">
        <v>22</v>
      </c>
      <c r="L507">
        <v>4</v>
      </c>
      <c r="M507">
        <v>1</v>
      </c>
      <c r="N507">
        <v>0.3</v>
      </c>
      <c r="O507">
        <v>0.38333333333333336</v>
      </c>
      <c r="P507" t="s">
        <v>40</v>
      </c>
    </row>
    <row r="508" spans="1:16" hidden="1" x14ac:dyDescent="0.25">
      <c r="A508" s="12">
        <v>46044.083333333336</v>
      </c>
      <c r="B508" t="s">
        <v>18</v>
      </c>
      <c r="C508" t="s">
        <v>16</v>
      </c>
      <c r="D508">
        <v>6</v>
      </c>
      <c r="E508">
        <v>25</v>
      </c>
      <c r="F508">
        <v>20.859616874211341</v>
      </c>
      <c r="G508" t="str">
        <f>FLOOR(FinalData[[#This Row],[Temperature_C]],2)&amp;"–"&amp;(FLOOR(FinalData[[#This Row],[Temperature_C]],2)+2)&amp;"°C"</f>
        <v>20–22°C</v>
      </c>
      <c r="H508">
        <v>2.99</v>
      </c>
      <c r="I508">
        <v>2026</v>
      </c>
      <c r="J508">
        <v>1</v>
      </c>
      <c r="K508">
        <v>22</v>
      </c>
      <c r="L508">
        <v>4</v>
      </c>
      <c r="M508">
        <v>2</v>
      </c>
      <c r="N508">
        <v>0.24</v>
      </c>
      <c r="O508">
        <v>0.49833333333333335</v>
      </c>
      <c r="P508" t="s">
        <v>40</v>
      </c>
    </row>
    <row r="509" spans="1:16" hidden="1" x14ac:dyDescent="0.25">
      <c r="A509" s="12">
        <v>46044.125</v>
      </c>
      <c r="B509" t="s">
        <v>18</v>
      </c>
      <c r="C509" t="s">
        <v>24</v>
      </c>
      <c r="D509">
        <v>4</v>
      </c>
      <c r="E509">
        <v>20</v>
      </c>
      <c r="F509">
        <v>21.62732630613035</v>
      </c>
      <c r="G509" t="str">
        <f>FLOOR(FinalData[[#This Row],[Temperature_C]],2)&amp;"–"&amp;(FLOOR(FinalData[[#This Row],[Temperature_C]],2)+2)&amp;"°C"</f>
        <v>20–22°C</v>
      </c>
      <c r="H509">
        <v>1.6</v>
      </c>
      <c r="I509">
        <v>2026</v>
      </c>
      <c r="J509">
        <v>1</v>
      </c>
      <c r="K509">
        <v>22</v>
      </c>
      <c r="L509">
        <v>4</v>
      </c>
      <c r="M509">
        <v>3</v>
      </c>
      <c r="N509">
        <v>0.2</v>
      </c>
      <c r="O509">
        <v>0.4</v>
      </c>
      <c r="P509" t="s">
        <v>40</v>
      </c>
    </row>
    <row r="510" spans="1:16" hidden="1" x14ac:dyDescent="0.25">
      <c r="A510" s="12">
        <v>46044.166666666664</v>
      </c>
      <c r="B510" t="s">
        <v>11</v>
      </c>
      <c r="C510" t="s">
        <v>29</v>
      </c>
      <c r="D510">
        <v>10</v>
      </c>
      <c r="E510">
        <v>40</v>
      </c>
      <c r="F510">
        <v>24.617838538785438</v>
      </c>
      <c r="G510" t="str">
        <f>FLOOR(FinalData[[#This Row],[Temperature_C]],2)&amp;"–"&amp;(FLOOR(FinalData[[#This Row],[Temperature_C]],2)+2)&amp;"°C"</f>
        <v>24–26°C</v>
      </c>
      <c r="H510">
        <v>3.52</v>
      </c>
      <c r="I510">
        <v>2026</v>
      </c>
      <c r="J510">
        <v>1</v>
      </c>
      <c r="K510">
        <v>22</v>
      </c>
      <c r="L510">
        <v>4</v>
      </c>
      <c r="M510">
        <v>4</v>
      </c>
      <c r="N510">
        <v>0.25</v>
      </c>
      <c r="O510">
        <v>0.35199999999999998</v>
      </c>
      <c r="P510" t="s">
        <v>40</v>
      </c>
    </row>
    <row r="511" spans="1:16" hidden="1" x14ac:dyDescent="0.25">
      <c r="A511" s="12">
        <v>46044.208333333336</v>
      </c>
      <c r="B511" t="s">
        <v>11</v>
      </c>
      <c r="C511" t="s">
        <v>29</v>
      </c>
      <c r="D511">
        <v>9</v>
      </c>
      <c r="E511">
        <v>25</v>
      </c>
      <c r="F511">
        <v>23.418940167295549</v>
      </c>
      <c r="G511" t="str">
        <f>FLOOR(FinalData[[#This Row],[Temperature_C]],2)&amp;"–"&amp;(FLOOR(FinalData[[#This Row],[Temperature_C]],2)+2)&amp;"°C"</f>
        <v>22–24°C</v>
      </c>
      <c r="H511">
        <v>2.97</v>
      </c>
      <c r="I511">
        <v>2026</v>
      </c>
      <c r="J511">
        <v>1</v>
      </c>
      <c r="K511">
        <v>22</v>
      </c>
      <c r="L511">
        <v>4</v>
      </c>
      <c r="M511">
        <v>5</v>
      </c>
      <c r="N511">
        <v>0.36</v>
      </c>
      <c r="O511">
        <v>0.33</v>
      </c>
      <c r="P511" t="s">
        <v>40</v>
      </c>
    </row>
    <row r="512" spans="1:16" hidden="1" x14ac:dyDescent="0.25">
      <c r="A512" s="12">
        <v>46044.25</v>
      </c>
      <c r="B512" t="s">
        <v>11</v>
      </c>
      <c r="C512" t="s">
        <v>21</v>
      </c>
      <c r="D512">
        <v>9</v>
      </c>
      <c r="E512">
        <v>40</v>
      </c>
      <c r="F512">
        <v>24.091573427064709</v>
      </c>
      <c r="G512" t="str">
        <f>FLOOR(FinalData[[#This Row],[Temperature_C]],2)&amp;"–"&amp;(FLOOR(FinalData[[#This Row],[Temperature_C]],2)+2)&amp;"°C"</f>
        <v>24–26°C</v>
      </c>
      <c r="H512">
        <v>2.71</v>
      </c>
      <c r="I512">
        <v>2026</v>
      </c>
      <c r="J512">
        <v>1</v>
      </c>
      <c r="K512">
        <v>22</v>
      </c>
      <c r="L512">
        <v>4</v>
      </c>
      <c r="M512">
        <v>6</v>
      </c>
      <c r="N512">
        <v>0.22500000000000001</v>
      </c>
      <c r="O512">
        <v>0.30111111111111111</v>
      </c>
      <c r="P512" t="s">
        <v>40</v>
      </c>
    </row>
    <row r="513" spans="1:16" hidden="1" x14ac:dyDescent="0.25">
      <c r="A513" s="12">
        <v>46044.291666666664</v>
      </c>
      <c r="B513" t="s">
        <v>18</v>
      </c>
      <c r="C513" t="s">
        <v>23</v>
      </c>
      <c r="D513">
        <v>12</v>
      </c>
      <c r="E513">
        <v>25</v>
      </c>
      <c r="F513">
        <v>21.533469813027288</v>
      </c>
      <c r="G513" t="str">
        <f>FLOOR(FinalData[[#This Row],[Temperature_C]],2)&amp;"–"&amp;(FLOOR(FinalData[[#This Row],[Temperature_C]],2)+2)&amp;"°C"</f>
        <v>20–22°C</v>
      </c>
      <c r="H513">
        <v>3.67</v>
      </c>
      <c r="I513">
        <v>2026</v>
      </c>
      <c r="J513">
        <v>1</v>
      </c>
      <c r="K513">
        <v>22</v>
      </c>
      <c r="L513">
        <v>4</v>
      </c>
      <c r="M513">
        <v>7</v>
      </c>
      <c r="N513">
        <v>0.48</v>
      </c>
      <c r="O513">
        <v>0.30583333333333335</v>
      </c>
      <c r="P513" t="s">
        <v>41</v>
      </c>
    </row>
    <row r="514" spans="1:16" hidden="1" x14ac:dyDescent="0.25">
      <c r="A514" s="12">
        <v>46044.333333333336</v>
      </c>
      <c r="B514" t="s">
        <v>9</v>
      </c>
      <c r="C514" t="s">
        <v>15</v>
      </c>
      <c r="D514">
        <v>10</v>
      </c>
      <c r="E514">
        <v>40</v>
      </c>
      <c r="F514">
        <v>23.111727879688999</v>
      </c>
      <c r="G514" t="str">
        <f>FLOOR(FinalData[[#This Row],[Temperature_C]],2)&amp;"–"&amp;(FLOOR(FinalData[[#This Row],[Temperature_C]],2)+2)&amp;"°C"</f>
        <v>22–24°C</v>
      </c>
      <c r="H514">
        <v>3.37</v>
      </c>
      <c r="I514">
        <v>2026</v>
      </c>
      <c r="J514">
        <v>1</v>
      </c>
      <c r="K514">
        <v>22</v>
      </c>
      <c r="L514">
        <v>4</v>
      </c>
      <c r="M514">
        <v>8</v>
      </c>
      <c r="N514">
        <v>0.25</v>
      </c>
      <c r="O514">
        <v>0.33700000000000002</v>
      </c>
      <c r="P514" t="s">
        <v>41</v>
      </c>
    </row>
    <row r="515" spans="1:16" hidden="1" x14ac:dyDescent="0.25">
      <c r="A515" s="12">
        <v>46044.375</v>
      </c>
      <c r="B515" t="s">
        <v>13</v>
      </c>
      <c r="C515" t="s">
        <v>23</v>
      </c>
      <c r="D515">
        <v>5</v>
      </c>
      <c r="E515">
        <v>40</v>
      </c>
      <c r="F515">
        <v>21.225341082288459</v>
      </c>
      <c r="G515" t="str">
        <f>FLOOR(FinalData[[#This Row],[Temperature_C]],2)&amp;"–"&amp;(FLOOR(FinalData[[#This Row],[Temperature_C]],2)+2)&amp;"°C"</f>
        <v>20–22°C</v>
      </c>
      <c r="H515">
        <v>2.4</v>
      </c>
      <c r="I515">
        <v>2026</v>
      </c>
      <c r="J515">
        <v>1</v>
      </c>
      <c r="K515">
        <v>22</v>
      </c>
      <c r="L515">
        <v>4</v>
      </c>
      <c r="M515">
        <v>9</v>
      </c>
      <c r="N515">
        <v>0.125</v>
      </c>
      <c r="O515">
        <v>0.48</v>
      </c>
      <c r="P515" t="s">
        <v>41</v>
      </c>
    </row>
    <row r="516" spans="1:16" hidden="1" x14ac:dyDescent="0.25">
      <c r="A516" s="12">
        <v>46044.416666666664</v>
      </c>
      <c r="B516" t="s">
        <v>7</v>
      </c>
      <c r="C516" t="s">
        <v>26</v>
      </c>
      <c r="D516">
        <v>11</v>
      </c>
      <c r="E516">
        <v>20</v>
      </c>
      <c r="F516">
        <v>24.046446371474069</v>
      </c>
      <c r="G516" t="str">
        <f>FLOOR(FinalData[[#This Row],[Temperature_C]],2)&amp;"–"&amp;(FLOOR(FinalData[[#This Row],[Temperature_C]],2)+2)&amp;"°C"</f>
        <v>24–26°C</v>
      </c>
      <c r="H516">
        <v>3.49</v>
      </c>
      <c r="I516">
        <v>2026</v>
      </c>
      <c r="J516">
        <v>1</v>
      </c>
      <c r="K516">
        <v>22</v>
      </c>
      <c r="L516">
        <v>4</v>
      </c>
      <c r="M516">
        <v>10</v>
      </c>
      <c r="N516">
        <v>0.55000000000000004</v>
      </c>
      <c r="O516">
        <v>0.31727272727272732</v>
      </c>
      <c r="P516" t="s">
        <v>41</v>
      </c>
    </row>
    <row r="517" spans="1:16" hidden="1" x14ac:dyDescent="0.25">
      <c r="A517" s="12">
        <v>46044.458333333336</v>
      </c>
      <c r="B517" t="s">
        <v>13</v>
      </c>
      <c r="C517" t="s">
        <v>15</v>
      </c>
      <c r="D517">
        <v>12</v>
      </c>
      <c r="E517">
        <v>30</v>
      </c>
      <c r="F517">
        <v>23.56383757625262</v>
      </c>
      <c r="G517" t="str">
        <f>FLOOR(FinalData[[#This Row],[Temperature_C]],2)&amp;"–"&amp;(FLOOR(FinalData[[#This Row],[Temperature_C]],2)+2)&amp;"°C"</f>
        <v>22–24°C</v>
      </c>
      <c r="H517">
        <v>3.98</v>
      </c>
      <c r="I517">
        <v>2026</v>
      </c>
      <c r="J517">
        <v>1</v>
      </c>
      <c r="K517">
        <v>22</v>
      </c>
      <c r="L517">
        <v>4</v>
      </c>
      <c r="M517">
        <v>11</v>
      </c>
      <c r="N517">
        <v>0.4</v>
      </c>
      <c r="O517">
        <v>0.33166666666666667</v>
      </c>
      <c r="P517" t="s">
        <v>41</v>
      </c>
    </row>
    <row r="518" spans="1:16" hidden="1" x14ac:dyDescent="0.25">
      <c r="A518" s="12">
        <v>46044.5</v>
      </c>
      <c r="B518" t="s">
        <v>18</v>
      </c>
      <c r="C518" t="s">
        <v>12</v>
      </c>
      <c r="D518">
        <v>7</v>
      </c>
      <c r="E518">
        <v>20</v>
      </c>
      <c r="F518">
        <v>21.179118578866351</v>
      </c>
      <c r="G518" t="str">
        <f>FLOOR(FinalData[[#This Row],[Temperature_C]],2)&amp;"–"&amp;(FLOOR(FinalData[[#This Row],[Temperature_C]],2)+2)&amp;"°C"</f>
        <v>20–22°C</v>
      </c>
      <c r="H518">
        <v>3.31</v>
      </c>
      <c r="I518">
        <v>2026</v>
      </c>
      <c r="J518">
        <v>1</v>
      </c>
      <c r="K518">
        <v>22</v>
      </c>
      <c r="L518">
        <v>4</v>
      </c>
      <c r="M518">
        <v>12</v>
      </c>
      <c r="N518">
        <v>0.35</v>
      </c>
      <c r="O518">
        <v>0.47285714285714286</v>
      </c>
      <c r="P518" t="s">
        <v>42</v>
      </c>
    </row>
    <row r="519" spans="1:16" hidden="1" x14ac:dyDescent="0.25">
      <c r="A519" s="12">
        <v>46044.541666666664</v>
      </c>
      <c r="B519" t="s">
        <v>11</v>
      </c>
      <c r="C519" t="s">
        <v>10</v>
      </c>
      <c r="D519">
        <v>8</v>
      </c>
      <c r="E519">
        <v>20</v>
      </c>
      <c r="F519">
        <v>24.304612303220459</v>
      </c>
      <c r="G519" t="str">
        <f>FLOOR(FinalData[[#This Row],[Temperature_C]],2)&amp;"–"&amp;(FLOOR(FinalData[[#This Row],[Temperature_C]],2)+2)&amp;"°C"</f>
        <v>24–26°C</v>
      </c>
      <c r="H519">
        <v>2.66</v>
      </c>
      <c r="I519">
        <v>2026</v>
      </c>
      <c r="J519">
        <v>1</v>
      </c>
      <c r="K519">
        <v>22</v>
      </c>
      <c r="L519">
        <v>4</v>
      </c>
      <c r="M519">
        <v>13</v>
      </c>
      <c r="N519">
        <v>0.4</v>
      </c>
      <c r="O519">
        <v>0.33250000000000002</v>
      </c>
      <c r="P519" t="s">
        <v>42</v>
      </c>
    </row>
    <row r="520" spans="1:16" hidden="1" x14ac:dyDescent="0.25">
      <c r="A520" s="12">
        <v>46044.583333333336</v>
      </c>
      <c r="B520" t="s">
        <v>11</v>
      </c>
      <c r="C520" t="s">
        <v>16</v>
      </c>
      <c r="D520">
        <v>10</v>
      </c>
      <c r="E520">
        <v>20</v>
      </c>
      <c r="F520">
        <v>20.651851736782049</v>
      </c>
      <c r="G520" t="str">
        <f>FLOOR(FinalData[[#This Row],[Temperature_C]],2)&amp;"–"&amp;(FLOOR(FinalData[[#This Row],[Temperature_C]],2)+2)&amp;"°C"</f>
        <v>20–22°C</v>
      </c>
      <c r="H520">
        <v>3.27</v>
      </c>
      <c r="I520">
        <v>2026</v>
      </c>
      <c r="J520">
        <v>1</v>
      </c>
      <c r="K520">
        <v>22</v>
      </c>
      <c r="L520">
        <v>4</v>
      </c>
      <c r="M520">
        <v>14</v>
      </c>
      <c r="N520">
        <v>0.5</v>
      </c>
      <c r="O520">
        <v>0.32700000000000001</v>
      </c>
      <c r="P520" t="s">
        <v>42</v>
      </c>
    </row>
    <row r="521" spans="1:16" hidden="1" x14ac:dyDescent="0.25">
      <c r="A521" s="12">
        <v>46044.625</v>
      </c>
      <c r="B521" t="s">
        <v>18</v>
      </c>
      <c r="C521" t="s">
        <v>15</v>
      </c>
      <c r="D521">
        <v>8</v>
      </c>
      <c r="E521">
        <v>20</v>
      </c>
      <c r="F521">
        <v>22.834569952207008</v>
      </c>
      <c r="G521" t="str">
        <f>FLOOR(FinalData[[#This Row],[Temperature_C]],2)&amp;"–"&amp;(FLOOR(FinalData[[#This Row],[Temperature_C]],2)+2)&amp;"°C"</f>
        <v>22–24°C</v>
      </c>
      <c r="H521">
        <v>3</v>
      </c>
      <c r="I521">
        <v>2026</v>
      </c>
      <c r="J521">
        <v>1</v>
      </c>
      <c r="K521">
        <v>22</v>
      </c>
      <c r="L521">
        <v>4</v>
      </c>
      <c r="M521">
        <v>15</v>
      </c>
      <c r="N521">
        <v>0.4</v>
      </c>
      <c r="O521">
        <v>0.375</v>
      </c>
      <c r="P521" t="s">
        <v>42</v>
      </c>
    </row>
    <row r="522" spans="1:16" hidden="1" x14ac:dyDescent="0.25">
      <c r="A522" s="12">
        <v>46044.666666666664</v>
      </c>
      <c r="B522" t="s">
        <v>9</v>
      </c>
      <c r="C522" t="s">
        <v>28</v>
      </c>
      <c r="D522">
        <v>4</v>
      </c>
      <c r="E522">
        <v>30</v>
      </c>
      <c r="F522">
        <v>23.866945663284749</v>
      </c>
      <c r="G522" t="str">
        <f>FLOOR(FinalData[[#This Row],[Temperature_C]],2)&amp;"–"&amp;(FLOOR(FinalData[[#This Row],[Temperature_C]],2)+2)&amp;"°C"</f>
        <v>22–24°C</v>
      </c>
      <c r="H522">
        <v>1.93</v>
      </c>
      <c r="I522">
        <v>2026</v>
      </c>
      <c r="J522">
        <v>1</v>
      </c>
      <c r="K522">
        <v>22</v>
      </c>
      <c r="L522">
        <v>4</v>
      </c>
      <c r="M522">
        <v>16</v>
      </c>
      <c r="N522">
        <v>0.13333333333333333</v>
      </c>
      <c r="O522">
        <v>0.48249999999999998</v>
      </c>
      <c r="P522" t="s">
        <v>42</v>
      </c>
    </row>
    <row r="523" spans="1:16" hidden="1" x14ac:dyDescent="0.25">
      <c r="A523" s="12">
        <v>46044.708333333336</v>
      </c>
      <c r="B523" t="s">
        <v>18</v>
      </c>
      <c r="C523" t="s">
        <v>21</v>
      </c>
      <c r="D523">
        <v>9</v>
      </c>
      <c r="E523">
        <v>20</v>
      </c>
      <c r="F523">
        <v>22.815389212398451</v>
      </c>
      <c r="G523" t="str">
        <f>FLOOR(FinalData[[#This Row],[Temperature_C]],2)&amp;"–"&amp;(FLOOR(FinalData[[#This Row],[Temperature_C]],2)+2)&amp;"°C"</f>
        <v>22–24°C</v>
      </c>
      <c r="H523">
        <v>3.64</v>
      </c>
      <c r="I523">
        <v>2026</v>
      </c>
      <c r="J523">
        <v>1</v>
      </c>
      <c r="K523">
        <v>22</v>
      </c>
      <c r="L523">
        <v>4</v>
      </c>
      <c r="M523">
        <v>17</v>
      </c>
      <c r="N523">
        <v>0.45</v>
      </c>
      <c r="O523">
        <v>0.40444444444444444</v>
      </c>
      <c r="P523" t="s">
        <v>43</v>
      </c>
    </row>
    <row r="524" spans="1:16" hidden="1" x14ac:dyDescent="0.25">
      <c r="A524" s="12">
        <v>46044.75</v>
      </c>
      <c r="B524" t="s">
        <v>7</v>
      </c>
      <c r="C524" t="s">
        <v>15</v>
      </c>
      <c r="D524">
        <v>11</v>
      </c>
      <c r="E524">
        <v>20</v>
      </c>
      <c r="F524">
        <v>23.252825658867231</v>
      </c>
      <c r="G524" t="str">
        <f>FLOOR(FinalData[[#This Row],[Temperature_C]],2)&amp;"–"&amp;(FLOOR(FinalData[[#This Row],[Temperature_C]],2)+2)&amp;"°C"</f>
        <v>22–24°C</v>
      </c>
      <c r="H524">
        <v>3.38</v>
      </c>
      <c r="I524">
        <v>2026</v>
      </c>
      <c r="J524">
        <v>1</v>
      </c>
      <c r="K524">
        <v>22</v>
      </c>
      <c r="L524">
        <v>4</v>
      </c>
      <c r="M524">
        <v>18</v>
      </c>
      <c r="N524">
        <v>0.55000000000000004</v>
      </c>
      <c r="O524">
        <v>0.30727272727272725</v>
      </c>
      <c r="P524" t="s">
        <v>43</v>
      </c>
    </row>
    <row r="525" spans="1:16" hidden="1" x14ac:dyDescent="0.25">
      <c r="A525" s="12">
        <v>46044.791666666664</v>
      </c>
      <c r="B525" t="s">
        <v>9</v>
      </c>
      <c r="C525" t="s">
        <v>26</v>
      </c>
      <c r="D525">
        <v>4</v>
      </c>
      <c r="E525">
        <v>20</v>
      </c>
      <c r="F525">
        <v>24.445653789971029</v>
      </c>
      <c r="G525" t="str">
        <f>FLOOR(FinalData[[#This Row],[Temperature_C]],2)&amp;"–"&amp;(FLOOR(FinalData[[#This Row],[Temperature_C]],2)+2)&amp;"°C"</f>
        <v>24–26°C</v>
      </c>
      <c r="H525">
        <v>2.2000000000000002</v>
      </c>
      <c r="I525">
        <v>2026</v>
      </c>
      <c r="J525">
        <v>1</v>
      </c>
      <c r="K525">
        <v>22</v>
      </c>
      <c r="L525">
        <v>4</v>
      </c>
      <c r="M525">
        <v>19</v>
      </c>
      <c r="N525">
        <v>0.2</v>
      </c>
      <c r="O525">
        <v>0.55000000000000004</v>
      </c>
      <c r="P525" t="s">
        <v>43</v>
      </c>
    </row>
    <row r="526" spans="1:16" hidden="1" x14ac:dyDescent="0.25">
      <c r="A526" s="12">
        <v>46044.833333333336</v>
      </c>
      <c r="B526" t="s">
        <v>7</v>
      </c>
      <c r="C526" t="s">
        <v>12</v>
      </c>
      <c r="D526">
        <v>6</v>
      </c>
      <c r="E526">
        <v>40</v>
      </c>
      <c r="F526">
        <v>23.06973376555829</v>
      </c>
      <c r="G526" t="str">
        <f>FLOOR(FinalData[[#This Row],[Temperature_C]],2)&amp;"–"&amp;(FLOOR(FinalData[[#This Row],[Temperature_C]],2)+2)&amp;"°C"</f>
        <v>22–24°C</v>
      </c>
      <c r="H526">
        <v>3.06</v>
      </c>
      <c r="I526">
        <v>2026</v>
      </c>
      <c r="J526">
        <v>1</v>
      </c>
      <c r="K526">
        <v>22</v>
      </c>
      <c r="L526">
        <v>4</v>
      </c>
      <c r="M526">
        <v>20</v>
      </c>
      <c r="N526">
        <v>0.15</v>
      </c>
      <c r="O526">
        <v>0.51</v>
      </c>
      <c r="P526" t="s">
        <v>43</v>
      </c>
    </row>
    <row r="527" spans="1:16" hidden="1" x14ac:dyDescent="0.25">
      <c r="A527" s="12">
        <v>46044.875</v>
      </c>
      <c r="B527" t="s">
        <v>9</v>
      </c>
      <c r="C527" t="s">
        <v>16</v>
      </c>
      <c r="D527">
        <v>9</v>
      </c>
      <c r="E527">
        <v>25</v>
      </c>
      <c r="F527">
        <v>23.386705559196631</v>
      </c>
      <c r="G527" t="str">
        <f>FLOOR(FinalData[[#This Row],[Temperature_C]],2)&amp;"–"&amp;(FLOOR(FinalData[[#This Row],[Temperature_C]],2)+2)&amp;"°C"</f>
        <v>22–24°C</v>
      </c>
      <c r="H527">
        <v>3.06</v>
      </c>
      <c r="I527">
        <v>2026</v>
      </c>
      <c r="J527">
        <v>1</v>
      </c>
      <c r="K527">
        <v>22</v>
      </c>
      <c r="L527">
        <v>4</v>
      </c>
      <c r="M527">
        <v>21</v>
      </c>
      <c r="N527">
        <v>0.36</v>
      </c>
      <c r="O527">
        <v>0.34</v>
      </c>
      <c r="P527" t="s">
        <v>40</v>
      </c>
    </row>
    <row r="528" spans="1:16" hidden="1" x14ac:dyDescent="0.25">
      <c r="A528" s="12">
        <v>46044.916666666664</v>
      </c>
      <c r="B528" t="s">
        <v>13</v>
      </c>
      <c r="C528" t="s">
        <v>10</v>
      </c>
      <c r="D528">
        <v>10</v>
      </c>
      <c r="E528">
        <v>25</v>
      </c>
      <c r="F528">
        <v>25.207867093403809</v>
      </c>
      <c r="G528" t="str">
        <f>FLOOR(FinalData[[#This Row],[Temperature_C]],2)&amp;"–"&amp;(FLOOR(FinalData[[#This Row],[Temperature_C]],2)+2)&amp;"°C"</f>
        <v>24–26°C</v>
      </c>
      <c r="H528">
        <v>3.7</v>
      </c>
      <c r="I528">
        <v>2026</v>
      </c>
      <c r="J528">
        <v>1</v>
      </c>
      <c r="K528">
        <v>22</v>
      </c>
      <c r="L528">
        <v>4</v>
      </c>
      <c r="M528">
        <v>22</v>
      </c>
      <c r="N528">
        <v>0.4</v>
      </c>
      <c r="O528">
        <v>0.37</v>
      </c>
      <c r="P528" t="s">
        <v>40</v>
      </c>
    </row>
    <row r="529" spans="1:16" hidden="1" x14ac:dyDescent="0.25">
      <c r="A529" s="12">
        <v>46044.958333333336</v>
      </c>
      <c r="B529" t="s">
        <v>13</v>
      </c>
      <c r="C529" t="s">
        <v>20</v>
      </c>
      <c r="D529">
        <v>5</v>
      </c>
      <c r="E529">
        <v>30</v>
      </c>
      <c r="F529">
        <v>21.930486658311349</v>
      </c>
      <c r="G529" t="str">
        <f>FLOOR(FinalData[[#This Row],[Temperature_C]],2)&amp;"–"&amp;(FLOOR(FinalData[[#This Row],[Temperature_C]],2)+2)&amp;"°C"</f>
        <v>20–22°C</v>
      </c>
      <c r="H529">
        <v>2.15</v>
      </c>
      <c r="I529">
        <v>2026</v>
      </c>
      <c r="J529">
        <v>1</v>
      </c>
      <c r="K529">
        <v>22</v>
      </c>
      <c r="L529">
        <v>4</v>
      </c>
      <c r="M529">
        <v>23</v>
      </c>
      <c r="N529">
        <v>0.16666666666666666</v>
      </c>
      <c r="O529">
        <v>0.43</v>
      </c>
      <c r="P529" t="s">
        <v>40</v>
      </c>
    </row>
    <row r="530" spans="1:16" hidden="1" x14ac:dyDescent="0.25">
      <c r="A530" s="12">
        <v>46045</v>
      </c>
      <c r="B530" t="s">
        <v>7</v>
      </c>
      <c r="C530" t="s">
        <v>22</v>
      </c>
      <c r="D530">
        <v>10</v>
      </c>
      <c r="E530">
        <v>40</v>
      </c>
      <c r="F530">
        <v>22.600034202886441</v>
      </c>
      <c r="G530" t="str">
        <f>FLOOR(FinalData[[#This Row],[Temperature_C]],2)&amp;"–"&amp;(FLOOR(FinalData[[#This Row],[Temperature_C]],2)+2)&amp;"°C"</f>
        <v>22–24°C</v>
      </c>
      <c r="H530">
        <v>3.08</v>
      </c>
      <c r="I530">
        <v>2026</v>
      </c>
      <c r="J530">
        <v>1</v>
      </c>
      <c r="K530">
        <v>23</v>
      </c>
      <c r="L530">
        <v>5</v>
      </c>
      <c r="M530">
        <v>0</v>
      </c>
      <c r="N530">
        <v>0.25</v>
      </c>
      <c r="O530">
        <v>0.308</v>
      </c>
      <c r="P530" t="s">
        <v>40</v>
      </c>
    </row>
    <row r="531" spans="1:16" hidden="1" x14ac:dyDescent="0.25">
      <c r="A531" s="12">
        <v>46045.041666666664</v>
      </c>
      <c r="B531" t="s">
        <v>7</v>
      </c>
      <c r="C531" t="s">
        <v>20</v>
      </c>
      <c r="D531">
        <v>11</v>
      </c>
      <c r="E531">
        <v>25</v>
      </c>
      <c r="F531">
        <v>16.44997873217309</v>
      </c>
      <c r="G531" t="str">
        <f>FLOOR(FinalData[[#This Row],[Temperature_C]],2)&amp;"–"&amp;(FLOOR(FinalData[[#This Row],[Temperature_C]],2)+2)&amp;"°C"</f>
        <v>16–18°C</v>
      </c>
      <c r="H531">
        <v>4.1399999999999997</v>
      </c>
      <c r="I531">
        <v>2026</v>
      </c>
      <c r="J531">
        <v>1</v>
      </c>
      <c r="K531">
        <v>23</v>
      </c>
      <c r="L531">
        <v>5</v>
      </c>
      <c r="M531">
        <v>1</v>
      </c>
      <c r="N531">
        <v>0.44</v>
      </c>
      <c r="O531">
        <v>0.37636363636363634</v>
      </c>
      <c r="P531" t="s">
        <v>40</v>
      </c>
    </row>
    <row r="532" spans="1:16" hidden="1" x14ac:dyDescent="0.25">
      <c r="A532" s="12">
        <v>46045.083333333336</v>
      </c>
      <c r="B532" t="s">
        <v>11</v>
      </c>
      <c r="C532" t="s">
        <v>15</v>
      </c>
      <c r="D532">
        <v>11</v>
      </c>
      <c r="E532">
        <v>30</v>
      </c>
      <c r="F532">
        <v>21.230993853879959</v>
      </c>
      <c r="G532" t="str">
        <f>FLOOR(FinalData[[#This Row],[Temperature_C]],2)&amp;"–"&amp;(FLOOR(FinalData[[#This Row],[Temperature_C]],2)+2)&amp;"°C"</f>
        <v>20–22°C</v>
      </c>
      <c r="H532">
        <v>3.51</v>
      </c>
      <c r="I532">
        <v>2026</v>
      </c>
      <c r="J532">
        <v>1</v>
      </c>
      <c r="K532">
        <v>23</v>
      </c>
      <c r="L532">
        <v>5</v>
      </c>
      <c r="M532">
        <v>2</v>
      </c>
      <c r="N532">
        <v>0.36666666666666664</v>
      </c>
      <c r="O532">
        <v>0.31909090909090909</v>
      </c>
      <c r="P532" t="s">
        <v>40</v>
      </c>
    </row>
    <row r="533" spans="1:16" hidden="1" x14ac:dyDescent="0.25">
      <c r="A533" s="12">
        <v>46045.125</v>
      </c>
      <c r="B533" t="s">
        <v>9</v>
      </c>
      <c r="C533" t="s">
        <v>16</v>
      </c>
      <c r="D533">
        <v>6</v>
      </c>
      <c r="E533">
        <v>40</v>
      </c>
      <c r="F533">
        <v>24.01404054427071</v>
      </c>
      <c r="G533" t="str">
        <f>FLOOR(FinalData[[#This Row],[Temperature_C]],2)&amp;"–"&amp;(FLOOR(FinalData[[#This Row],[Temperature_C]],2)+2)&amp;"°C"</f>
        <v>24–26°C</v>
      </c>
      <c r="H533">
        <v>2.58</v>
      </c>
      <c r="I533">
        <v>2026</v>
      </c>
      <c r="J533">
        <v>1</v>
      </c>
      <c r="K533">
        <v>23</v>
      </c>
      <c r="L533">
        <v>5</v>
      </c>
      <c r="M533">
        <v>3</v>
      </c>
      <c r="N533">
        <v>0.15</v>
      </c>
      <c r="O533">
        <v>0.43</v>
      </c>
      <c r="P533" t="s">
        <v>40</v>
      </c>
    </row>
    <row r="534" spans="1:16" hidden="1" x14ac:dyDescent="0.25">
      <c r="A534" s="12">
        <v>46045.166666666664</v>
      </c>
      <c r="B534" t="s">
        <v>7</v>
      </c>
      <c r="C534" t="s">
        <v>16</v>
      </c>
      <c r="D534">
        <v>7</v>
      </c>
      <c r="E534">
        <v>20</v>
      </c>
      <c r="F534">
        <v>25.854610728578429</v>
      </c>
      <c r="G534" t="str">
        <f>FLOOR(FinalData[[#This Row],[Temperature_C]],2)&amp;"–"&amp;(FLOOR(FinalData[[#This Row],[Temperature_C]],2)+2)&amp;"°C"</f>
        <v>24–26°C</v>
      </c>
      <c r="H534">
        <v>3</v>
      </c>
      <c r="I534">
        <v>2026</v>
      </c>
      <c r="J534">
        <v>1</v>
      </c>
      <c r="K534">
        <v>23</v>
      </c>
      <c r="L534">
        <v>5</v>
      </c>
      <c r="M534">
        <v>4</v>
      </c>
      <c r="N534">
        <v>0.35</v>
      </c>
      <c r="O534">
        <v>0.42857142857142855</v>
      </c>
      <c r="P534" t="s">
        <v>40</v>
      </c>
    </row>
    <row r="535" spans="1:16" hidden="1" x14ac:dyDescent="0.25">
      <c r="A535" s="12">
        <v>46045.208333333336</v>
      </c>
      <c r="B535" t="s">
        <v>11</v>
      </c>
      <c r="C535" t="s">
        <v>10</v>
      </c>
      <c r="D535">
        <v>6</v>
      </c>
      <c r="E535">
        <v>30</v>
      </c>
      <c r="F535">
        <v>22.316846735563281</v>
      </c>
      <c r="G535" t="str">
        <f>FLOOR(FinalData[[#This Row],[Temperature_C]],2)&amp;"–"&amp;(FLOOR(FinalData[[#This Row],[Temperature_C]],2)+2)&amp;"°C"</f>
        <v>22–24°C</v>
      </c>
      <c r="H535">
        <v>2.61</v>
      </c>
      <c r="I535">
        <v>2026</v>
      </c>
      <c r="J535">
        <v>1</v>
      </c>
      <c r="K535">
        <v>23</v>
      </c>
      <c r="L535">
        <v>5</v>
      </c>
      <c r="M535">
        <v>5</v>
      </c>
      <c r="N535">
        <v>0.2</v>
      </c>
      <c r="O535">
        <v>0.435</v>
      </c>
      <c r="P535" t="s">
        <v>40</v>
      </c>
    </row>
    <row r="536" spans="1:16" hidden="1" x14ac:dyDescent="0.25">
      <c r="A536" s="12">
        <v>46045.25</v>
      </c>
      <c r="B536" t="s">
        <v>9</v>
      </c>
      <c r="C536" t="s">
        <v>27</v>
      </c>
      <c r="D536">
        <v>6</v>
      </c>
      <c r="E536">
        <v>20</v>
      </c>
      <c r="F536">
        <v>22.874703555756358</v>
      </c>
      <c r="G536" t="str">
        <f>FLOOR(FinalData[[#This Row],[Temperature_C]],2)&amp;"–"&amp;(FLOOR(FinalData[[#This Row],[Temperature_C]],2)+2)&amp;"°C"</f>
        <v>22–24°C</v>
      </c>
      <c r="H536">
        <v>2.5</v>
      </c>
      <c r="I536">
        <v>2026</v>
      </c>
      <c r="J536">
        <v>1</v>
      </c>
      <c r="K536">
        <v>23</v>
      </c>
      <c r="L536">
        <v>5</v>
      </c>
      <c r="M536">
        <v>6</v>
      </c>
      <c r="N536">
        <v>0.3</v>
      </c>
      <c r="O536">
        <v>0.41666666666666669</v>
      </c>
      <c r="P536" t="s">
        <v>40</v>
      </c>
    </row>
    <row r="537" spans="1:16" hidden="1" x14ac:dyDescent="0.25">
      <c r="A537" s="12">
        <v>46045.291666666664</v>
      </c>
      <c r="B537" t="s">
        <v>18</v>
      </c>
      <c r="C537" t="s">
        <v>8</v>
      </c>
      <c r="D537">
        <v>9</v>
      </c>
      <c r="E537">
        <v>20</v>
      </c>
      <c r="F537">
        <v>24.17571177627547</v>
      </c>
      <c r="G537" t="str">
        <f>FLOOR(FinalData[[#This Row],[Temperature_C]],2)&amp;"–"&amp;(FLOOR(FinalData[[#This Row],[Temperature_C]],2)+2)&amp;"°C"</f>
        <v>24–26°C</v>
      </c>
      <c r="H537">
        <v>3.56</v>
      </c>
      <c r="I537">
        <v>2026</v>
      </c>
      <c r="J537">
        <v>1</v>
      </c>
      <c r="K537">
        <v>23</v>
      </c>
      <c r="L537">
        <v>5</v>
      </c>
      <c r="M537">
        <v>7</v>
      </c>
      <c r="N537">
        <v>0.45</v>
      </c>
      <c r="O537">
        <v>0.39555555555555555</v>
      </c>
      <c r="P537" t="s">
        <v>41</v>
      </c>
    </row>
    <row r="538" spans="1:16" hidden="1" x14ac:dyDescent="0.25">
      <c r="A538" s="12">
        <v>46045.333333333336</v>
      </c>
      <c r="B538" t="s">
        <v>9</v>
      </c>
      <c r="C538" t="s">
        <v>24</v>
      </c>
      <c r="D538">
        <v>7</v>
      </c>
      <c r="E538">
        <v>30</v>
      </c>
      <c r="F538">
        <v>24.371179492596831</v>
      </c>
      <c r="G538" t="str">
        <f>FLOOR(FinalData[[#This Row],[Temperature_C]],2)&amp;"–"&amp;(FLOOR(FinalData[[#This Row],[Temperature_C]],2)+2)&amp;"°C"</f>
        <v>24–26°C</v>
      </c>
      <c r="H538">
        <v>2.86</v>
      </c>
      <c r="I538">
        <v>2026</v>
      </c>
      <c r="J538">
        <v>1</v>
      </c>
      <c r="K538">
        <v>23</v>
      </c>
      <c r="L538">
        <v>5</v>
      </c>
      <c r="M538">
        <v>8</v>
      </c>
      <c r="N538">
        <v>0.23333333333333334</v>
      </c>
      <c r="O538">
        <v>0.40857142857142853</v>
      </c>
      <c r="P538" t="s">
        <v>41</v>
      </c>
    </row>
    <row r="539" spans="1:16" hidden="1" x14ac:dyDescent="0.25">
      <c r="A539" s="12">
        <v>46045.375</v>
      </c>
      <c r="B539" t="s">
        <v>9</v>
      </c>
      <c r="C539" t="s">
        <v>29</v>
      </c>
      <c r="D539">
        <v>9</v>
      </c>
      <c r="E539">
        <v>20</v>
      </c>
      <c r="F539">
        <v>24.062052189788421</v>
      </c>
      <c r="G539" t="str">
        <f>FLOOR(FinalData[[#This Row],[Temperature_C]],2)&amp;"–"&amp;(FLOOR(FinalData[[#This Row],[Temperature_C]],2)+2)&amp;"°C"</f>
        <v>24–26°C</v>
      </c>
      <c r="H539">
        <v>3.4</v>
      </c>
      <c r="I539">
        <v>2026</v>
      </c>
      <c r="J539">
        <v>1</v>
      </c>
      <c r="K539">
        <v>23</v>
      </c>
      <c r="L539">
        <v>5</v>
      </c>
      <c r="M539">
        <v>9</v>
      </c>
      <c r="N539">
        <v>0.45</v>
      </c>
      <c r="O539">
        <v>0.37777777777777777</v>
      </c>
      <c r="P539" t="s">
        <v>41</v>
      </c>
    </row>
    <row r="540" spans="1:16" hidden="1" x14ac:dyDescent="0.25">
      <c r="A540" s="12">
        <v>46045.416666666664</v>
      </c>
      <c r="B540" t="s">
        <v>9</v>
      </c>
      <c r="C540" t="s">
        <v>20</v>
      </c>
      <c r="D540">
        <v>4</v>
      </c>
      <c r="E540">
        <v>25</v>
      </c>
      <c r="F540">
        <v>21.645619524693409</v>
      </c>
      <c r="G540" t="str">
        <f>FLOOR(FinalData[[#This Row],[Temperature_C]],2)&amp;"–"&amp;(FLOOR(FinalData[[#This Row],[Temperature_C]],2)+2)&amp;"°C"</f>
        <v>20–22°C</v>
      </c>
      <c r="H540">
        <v>1.98</v>
      </c>
      <c r="I540">
        <v>2026</v>
      </c>
      <c r="J540">
        <v>1</v>
      </c>
      <c r="K540">
        <v>23</v>
      </c>
      <c r="L540">
        <v>5</v>
      </c>
      <c r="M540">
        <v>10</v>
      </c>
      <c r="N540">
        <v>0.16</v>
      </c>
      <c r="O540">
        <v>0.495</v>
      </c>
      <c r="P540" t="s">
        <v>41</v>
      </c>
    </row>
    <row r="541" spans="1:16" hidden="1" x14ac:dyDescent="0.25">
      <c r="A541" s="12">
        <v>46045.458333333336</v>
      </c>
      <c r="B541" t="s">
        <v>9</v>
      </c>
      <c r="C541" t="s">
        <v>23</v>
      </c>
      <c r="D541">
        <v>7</v>
      </c>
      <c r="E541">
        <v>25</v>
      </c>
      <c r="F541">
        <v>21.931519456074149</v>
      </c>
      <c r="G541" t="str">
        <f>FLOOR(FinalData[[#This Row],[Temperature_C]],2)&amp;"–"&amp;(FLOOR(FinalData[[#This Row],[Temperature_C]],2)+2)&amp;"°C"</f>
        <v>20–22°C</v>
      </c>
      <c r="H541">
        <v>2.61</v>
      </c>
      <c r="I541">
        <v>2026</v>
      </c>
      <c r="J541">
        <v>1</v>
      </c>
      <c r="K541">
        <v>23</v>
      </c>
      <c r="L541">
        <v>5</v>
      </c>
      <c r="M541">
        <v>11</v>
      </c>
      <c r="N541">
        <v>0.28000000000000003</v>
      </c>
      <c r="O541">
        <v>0.37285714285714283</v>
      </c>
      <c r="P541" t="s">
        <v>41</v>
      </c>
    </row>
    <row r="542" spans="1:16" hidden="1" x14ac:dyDescent="0.25">
      <c r="A542" s="12">
        <v>46045.5</v>
      </c>
      <c r="B542" t="s">
        <v>13</v>
      </c>
      <c r="C542" t="s">
        <v>25</v>
      </c>
      <c r="D542">
        <v>8</v>
      </c>
      <c r="E542">
        <v>40</v>
      </c>
      <c r="F542">
        <v>21.63723952986085</v>
      </c>
      <c r="G542" t="str">
        <f>FLOOR(FinalData[[#This Row],[Temperature_C]],2)&amp;"–"&amp;(FLOOR(FinalData[[#This Row],[Temperature_C]],2)+2)&amp;"°C"</f>
        <v>20–22°C</v>
      </c>
      <c r="H542">
        <v>3.14</v>
      </c>
      <c r="I542">
        <v>2026</v>
      </c>
      <c r="J542">
        <v>1</v>
      </c>
      <c r="K542">
        <v>23</v>
      </c>
      <c r="L542">
        <v>5</v>
      </c>
      <c r="M542">
        <v>12</v>
      </c>
      <c r="N542">
        <v>0.2</v>
      </c>
      <c r="O542">
        <v>0.39250000000000002</v>
      </c>
      <c r="P542" t="s">
        <v>42</v>
      </c>
    </row>
    <row r="543" spans="1:16" hidden="1" x14ac:dyDescent="0.25">
      <c r="A543" s="12">
        <v>46045.541666666664</v>
      </c>
      <c r="B543" t="s">
        <v>7</v>
      </c>
      <c r="C543" t="s">
        <v>26</v>
      </c>
      <c r="D543">
        <v>8</v>
      </c>
      <c r="E543">
        <v>20</v>
      </c>
      <c r="F543">
        <v>22.150555567722559</v>
      </c>
      <c r="G543" t="str">
        <f>FLOOR(FinalData[[#This Row],[Temperature_C]],2)&amp;"–"&amp;(FLOOR(FinalData[[#This Row],[Temperature_C]],2)+2)&amp;"°C"</f>
        <v>22–24°C</v>
      </c>
      <c r="H543">
        <v>2.97</v>
      </c>
      <c r="I543">
        <v>2026</v>
      </c>
      <c r="J543">
        <v>1</v>
      </c>
      <c r="K543">
        <v>23</v>
      </c>
      <c r="L543">
        <v>5</v>
      </c>
      <c r="M543">
        <v>13</v>
      </c>
      <c r="N543">
        <v>0.4</v>
      </c>
      <c r="O543">
        <v>0.37125000000000002</v>
      </c>
      <c r="P543" t="s">
        <v>42</v>
      </c>
    </row>
    <row r="544" spans="1:16" hidden="1" x14ac:dyDescent="0.25">
      <c r="A544" s="12">
        <v>46045.583333333336</v>
      </c>
      <c r="B544" t="s">
        <v>18</v>
      </c>
      <c r="C544" t="s">
        <v>10</v>
      </c>
      <c r="D544">
        <v>7</v>
      </c>
      <c r="E544">
        <v>25</v>
      </c>
      <c r="F544">
        <v>20.973940976754321</v>
      </c>
      <c r="G544" t="str">
        <f>FLOOR(FinalData[[#This Row],[Temperature_C]],2)&amp;"–"&amp;(FLOOR(FinalData[[#This Row],[Temperature_C]],2)+2)&amp;"°C"</f>
        <v>20–22°C</v>
      </c>
      <c r="H544">
        <v>2.2000000000000002</v>
      </c>
      <c r="I544">
        <v>2026</v>
      </c>
      <c r="J544">
        <v>1</v>
      </c>
      <c r="K544">
        <v>23</v>
      </c>
      <c r="L544">
        <v>5</v>
      </c>
      <c r="M544">
        <v>14</v>
      </c>
      <c r="N544">
        <v>0.28000000000000003</v>
      </c>
      <c r="O544">
        <v>0.31428571428571433</v>
      </c>
      <c r="P544" t="s">
        <v>42</v>
      </c>
    </row>
    <row r="545" spans="1:16" hidden="1" x14ac:dyDescent="0.25">
      <c r="A545" s="12">
        <v>46045.625</v>
      </c>
      <c r="B545" t="s">
        <v>9</v>
      </c>
      <c r="C545" t="s">
        <v>22</v>
      </c>
      <c r="D545">
        <v>6</v>
      </c>
      <c r="E545">
        <v>20</v>
      </c>
      <c r="F545">
        <v>22.21624646922627</v>
      </c>
      <c r="G545" t="str">
        <f>FLOOR(FinalData[[#This Row],[Temperature_C]],2)&amp;"–"&amp;(FLOOR(FinalData[[#This Row],[Temperature_C]],2)+2)&amp;"°C"</f>
        <v>22–24°C</v>
      </c>
      <c r="H545">
        <v>2.0299999999999998</v>
      </c>
      <c r="I545">
        <v>2026</v>
      </c>
      <c r="J545">
        <v>1</v>
      </c>
      <c r="K545">
        <v>23</v>
      </c>
      <c r="L545">
        <v>5</v>
      </c>
      <c r="M545">
        <v>15</v>
      </c>
      <c r="N545">
        <v>0.3</v>
      </c>
      <c r="O545">
        <v>0.33833333333333332</v>
      </c>
      <c r="P545" t="s">
        <v>42</v>
      </c>
    </row>
    <row r="546" spans="1:16" hidden="1" x14ac:dyDescent="0.25">
      <c r="A546" s="12">
        <v>46045.666666666664</v>
      </c>
      <c r="B546" t="s">
        <v>9</v>
      </c>
      <c r="C546" t="s">
        <v>8</v>
      </c>
      <c r="D546">
        <v>6</v>
      </c>
      <c r="E546">
        <v>25</v>
      </c>
      <c r="F546">
        <v>21.207739064054969</v>
      </c>
      <c r="G546" t="str">
        <f>FLOOR(FinalData[[#This Row],[Temperature_C]],2)&amp;"–"&amp;(FLOOR(FinalData[[#This Row],[Temperature_C]],2)+2)&amp;"°C"</f>
        <v>20–22°C</v>
      </c>
      <c r="H546">
        <v>2.5099999999999998</v>
      </c>
      <c r="I546">
        <v>2026</v>
      </c>
      <c r="J546">
        <v>1</v>
      </c>
      <c r="K546">
        <v>23</v>
      </c>
      <c r="L546">
        <v>5</v>
      </c>
      <c r="M546">
        <v>16</v>
      </c>
      <c r="N546">
        <v>0.24</v>
      </c>
      <c r="O546">
        <v>0.41833333333333328</v>
      </c>
      <c r="P546" t="s">
        <v>42</v>
      </c>
    </row>
    <row r="547" spans="1:16" hidden="1" x14ac:dyDescent="0.25">
      <c r="A547" s="12">
        <v>46045.708333333336</v>
      </c>
      <c r="B547" t="s">
        <v>9</v>
      </c>
      <c r="C547" t="s">
        <v>14</v>
      </c>
      <c r="D547">
        <v>14</v>
      </c>
      <c r="E547">
        <v>20</v>
      </c>
      <c r="F547">
        <v>26.327465664286951</v>
      </c>
      <c r="G547" t="str">
        <f>FLOOR(FinalData[[#This Row],[Temperature_C]],2)&amp;"–"&amp;(FLOOR(FinalData[[#This Row],[Temperature_C]],2)+2)&amp;"°C"</f>
        <v>26–28°C</v>
      </c>
      <c r="H547">
        <v>5.04</v>
      </c>
      <c r="I547">
        <v>2026</v>
      </c>
      <c r="J547">
        <v>1</v>
      </c>
      <c r="K547">
        <v>23</v>
      </c>
      <c r="L547">
        <v>5</v>
      </c>
      <c r="M547">
        <v>17</v>
      </c>
      <c r="N547">
        <v>0.7</v>
      </c>
      <c r="O547">
        <v>0.36</v>
      </c>
      <c r="P547" t="s">
        <v>43</v>
      </c>
    </row>
    <row r="548" spans="1:16" hidden="1" x14ac:dyDescent="0.25">
      <c r="A548" s="12">
        <v>46045.75</v>
      </c>
      <c r="B548" t="s">
        <v>11</v>
      </c>
      <c r="C548" t="s">
        <v>12</v>
      </c>
      <c r="D548">
        <v>7</v>
      </c>
      <c r="E548">
        <v>30</v>
      </c>
      <c r="F548">
        <v>25.19309423646051</v>
      </c>
      <c r="G548" t="str">
        <f>FLOOR(FinalData[[#This Row],[Temperature_C]],2)&amp;"–"&amp;(FLOOR(FinalData[[#This Row],[Temperature_C]],2)+2)&amp;"°C"</f>
        <v>24–26°C</v>
      </c>
      <c r="H548">
        <v>2.37</v>
      </c>
      <c r="I548">
        <v>2026</v>
      </c>
      <c r="J548">
        <v>1</v>
      </c>
      <c r="K548">
        <v>23</v>
      </c>
      <c r="L548">
        <v>5</v>
      </c>
      <c r="M548">
        <v>18</v>
      </c>
      <c r="N548">
        <v>0.23333333333333334</v>
      </c>
      <c r="O548">
        <v>0.33857142857142858</v>
      </c>
      <c r="P548" t="s">
        <v>43</v>
      </c>
    </row>
    <row r="549" spans="1:16" hidden="1" x14ac:dyDescent="0.25">
      <c r="A549" s="12">
        <v>46045.791666666664</v>
      </c>
      <c r="B549" t="s">
        <v>11</v>
      </c>
      <c r="C549" t="s">
        <v>31</v>
      </c>
      <c r="D549">
        <v>11</v>
      </c>
      <c r="E549">
        <v>40</v>
      </c>
      <c r="F549">
        <v>24.965366285539879</v>
      </c>
      <c r="G549" t="str">
        <f>FLOOR(FinalData[[#This Row],[Temperature_C]],2)&amp;"–"&amp;(FLOOR(FinalData[[#This Row],[Temperature_C]],2)+2)&amp;"°C"</f>
        <v>24–26°C</v>
      </c>
      <c r="H549">
        <v>3.57</v>
      </c>
      <c r="I549">
        <v>2026</v>
      </c>
      <c r="J549">
        <v>1</v>
      </c>
      <c r="K549">
        <v>23</v>
      </c>
      <c r="L549">
        <v>5</v>
      </c>
      <c r="M549">
        <v>19</v>
      </c>
      <c r="N549">
        <v>0.27500000000000002</v>
      </c>
      <c r="O549">
        <v>0.32454545454545453</v>
      </c>
      <c r="P549" t="s">
        <v>43</v>
      </c>
    </row>
    <row r="550" spans="1:16" hidden="1" x14ac:dyDescent="0.25">
      <c r="A550" s="12">
        <v>46045.833333333336</v>
      </c>
      <c r="B550" t="s">
        <v>18</v>
      </c>
      <c r="C550" t="s">
        <v>27</v>
      </c>
      <c r="D550">
        <v>9</v>
      </c>
      <c r="E550">
        <v>25</v>
      </c>
      <c r="F550">
        <v>23.480411687892449</v>
      </c>
      <c r="G550" t="str">
        <f>FLOOR(FinalData[[#This Row],[Temperature_C]],2)&amp;"–"&amp;(FLOOR(FinalData[[#This Row],[Temperature_C]],2)+2)&amp;"°C"</f>
        <v>22–24°C</v>
      </c>
      <c r="H550">
        <v>3.65</v>
      </c>
      <c r="I550">
        <v>2026</v>
      </c>
      <c r="J550">
        <v>1</v>
      </c>
      <c r="K550">
        <v>23</v>
      </c>
      <c r="L550">
        <v>5</v>
      </c>
      <c r="M550">
        <v>20</v>
      </c>
      <c r="N550">
        <v>0.36</v>
      </c>
      <c r="O550">
        <v>0.40555555555555556</v>
      </c>
      <c r="P550" t="s">
        <v>43</v>
      </c>
    </row>
    <row r="551" spans="1:16" hidden="1" x14ac:dyDescent="0.25">
      <c r="A551" s="12">
        <v>46045.875</v>
      </c>
      <c r="B551" t="s">
        <v>11</v>
      </c>
      <c r="C551" t="s">
        <v>20</v>
      </c>
      <c r="D551">
        <v>11</v>
      </c>
      <c r="E551">
        <v>20</v>
      </c>
      <c r="F551">
        <v>21.688624561077109</v>
      </c>
      <c r="G551" t="str">
        <f>FLOOR(FinalData[[#This Row],[Temperature_C]],2)&amp;"–"&amp;(FLOOR(FinalData[[#This Row],[Temperature_C]],2)+2)&amp;"°C"</f>
        <v>20–22°C</v>
      </c>
      <c r="H551">
        <v>3.53</v>
      </c>
      <c r="I551">
        <v>2026</v>
      </c>
      <c r="J551">
        <v>1</v>
      </c>
      <c r="K551">
        <v>23</v>
      </c>
      <c r="L551">
        <v>5</v>
      </c>
      <c r="M551">
        <v>21</v>
      </c>
      <c r="N551">
        <v>0.55000000000000004</v>
      </c>
      <c r="O551">
        <v>0.32090909090909087</v>
      </c>
      <c r="P551" t="s">
        <v>40</v>
      </c>
    </row>
    <row r="552" spans="1:16" hidden="1" x14ac:dyDescent="0.25">
      <c r="A552" s="12">
        <v>46045.916666666664</v>
      </c>
      <c r="B552" t="s">
        <v>9</v>
      </c>
      <c r="C552" t="s">
        <v>26</v>
      </c>
      <c r="D552">
        <v>11</v>
      </c>
      <c r="E552">
        <v>20</v>
      </c>
      <c r="F552">
        <v>23.779209048183979</v>
      </c>
      <c r="G552" t="str">
        <f>FLOOR(FinalData[[#This Row],[Temperature_C]],2)&amp;"–"&amp;(FLOOR(FinalData[[#This Row],[Temperature_C]],2)+2)&amp;"°C"</f>
        <v>22–24°C</v>
      </c>
      <c r="H552">
        <v>3.15</v>
      </c>
      <c r="I552">
        <v>2026</v>
      </c>
      <c r="J552">
        <v>1</v>
      </c>
      <c r="K552">
        <v>23</v>
      </c>
      <c r="L552">
        <v>5</v>
      </c>
      <c r="M552">
        <v>22</v>
      </c>
      <c r="N552">
        <v>0.55000000000000004</v>
      </c>
      <c r="O552">
        <v>0.28636363636363638</v>
      </c>
      <c r="P552" t="s">
        <v>40</v>
      </c>
    </row>
    <row r="553" spans="1:16" hidden="1" x14ac:dyDescent="0.25">
      <c r="A553" s="12">
        <v>46045.958333333336</v>
      </c>
      <c r="B553" t="s">
        <v>9</v>
      </c>
      <c r="C553" t="s">
        <v>20</v>
      </c>
      <c r="D553">
        <v>8</v>
      </c>
      <c r="E553">
        <v>25</v>
      </c>
      <c r="F553">
        <v>29.02942341860442</v>
      </c>
      <c r="G553" t="str">
        <f>FLOOR(FinalData[[#This Row],[Temperature_C]],2)&amp;"–"&amp;(FLOOR(FinalData[[#This Row],[Temperature_C]],2)+2)&amp;"°C"</f>
        <v>28–30°C</v>
      </c>
      <c r="H553">
        <v>4.04</v>
      </c>
      <c r="I553">
        <v>2026</v>
      </c>
      <c r="J553">
        <v>1</v>
      </c>
      <c r="K553">
        <v>23</v>
      </c>
      <c r="L553">
        <v>5</v>
      </c>
      <c r="M553">
        <v>23</v>
      </c>
      <c r="N553">
        <v>0.32</v>
      </c>
      <c r="O553">
        <v>0.505</v>
      </c>
      <c r="P553" t="s">
        <v>40</v>
      </c>
    </row>
    <row r="554" spans="1:16" hidden="1" x14ac:dyDescent="0.25">
      <c r="A554" s="12">
        <v>46046</v>
      </c>
      <c r="B554" t="s">
        <v>11</v>
      </c>
      <c r="C554" t="s">
        <v>25</v>
      </c>
      <c r="D554">
        <v>6</v>
      </c>
      <c r="E554">
        <v>25</v>
      </c>
      <c r="F554">
        <v>24.42282115893099</v>
      </c>
      <c r="G554" t="str">
        <f>FLOOR(FinalData[[#This Row],[Temperature_C]],2)&amp;"–"&amp;(FLOOR(FinalData[[#This Row],[Temperature_C]],2)+2)&amp;"°C"</f>
        <v>24–26°C</v>
      </c>
      <c r="H554">
        <v>3.6</v>
      </c>
      <c r="I554">
        <v>2026</v>
      </c>
      <c r="J554">
        <v>1</v>
      </c>
      <c r="K554">
        <v>24</v>
      </c>
      <c r="L554">
        <v>6</v>
      </c>
      <c r="M554">
        <v>0</v>
      </c>
      <c r="N554">
        <v>0.24</v>
      </c>
      <c r="O554">
        <v>0.6</v>
      </c>
      <c r="P554" t="s">
        <v>40</v>
      </c>
    </row>
    <row r="555" spans="1:16" hidden="1" x14ac:dyDescent="0.25">
      <c r="A555" s="12">
        <v>46046.041666666664</v>
      </c>
      <c r="B555" t="s">
        <v>13</v>
      </c>
      <c r="C555" t="s">
        <v>20</v>
      </c>
      <c r="D555">
        <v>6</v>
      </c>
      <c r="E555">
        <v>25</v>
      </c>
      <c r="F555">
        <v>25.688636415974411</v>
      </c>
      <c r="G555" t="str">
        <f>FLOOR(FinalData[[#This Row],[Temperature_C]],2)&amp;"–"&amp;(FLOOR(FinalData[[#This Row],[Temperature_C]],2)+2)&amp;"°C"</f>
        <v>24–26°C</v>
      </c>
      <c r="H555">
        <v>3.24</v>
      </c>
      <c r="I555">
        <v>2026</v>
      </c>
      <c r="J555">
        <v>1</v>
      </c>
      <c r="K555">
        <v>24</v>
      </c>
      <c r="L555">
        <v>6</v>
      </c>
      <c r="M555">
        <v>1</v>
      </c>
      <c r="N555">
        <v>0.24</v>
      </c>
      <c r="O555">
        <v>0.54</v>
      </c>
      <c r="P555" t="s">
        <v>40</v>
      </c>
    </row>
    <row r="556" spans="1:16" hidden="1" x14ac:dyDescent="0.25">
      <c r="A556" s="12">
        <v>46046.083333333336</v>
      </c>
      <c r="B556" t="s">
        <v>7</v>
      </c>
      <c r="C556" t="s">
        <v>30</v>
      </c>
      <c r="D556">
        <v>7</v>
      </c>
      <c r="E556">
        <v>25</v>
      </c>
      <c r="F556">
        <v>21.88911041427</v>
      </c>
      <c r="G556" t="str">
        <f>FLOOR(FinalData[[#This Row],[Temperature_C]],2)&amp;"–"&amp;(FLOOR(FinalData[[#This Row],[Temperature_C]],2)+2)&amp;"°C"</f>
        <v>20–22°C</v>
      </c>
      <c r="H556">
        <v>2.57</v>
      </c>
      <c r="I556">
        <v>2026</v>
      </c>
      <c r="J556">
        <v>1</v>
      </c>
      <c r="K556">
        <v>24</v>
      </c>
      <c r="L556">
        <v>6</v>
      </c>
      <c r="M556">
        <v>2</v>
      </c>
      <c r="N556">
        <v>0.28000000000000003</v>
      </c>
      <c r="O556">
        <v>0.3671428571428571</v>
      </c>
      <c r="P556" t="s">
        <v>40</v>
      </c>
    </row>
    <row r="557" spans="1:16" hidden="1" x14ac:dyDescent="0.25">
      <c r="A557" s="12">
        <v>46046.125</v>
      </c>
      <c r="B557" t="s">
        <v>11</v>
      </c>
      <c r="C557" t="s">
        <v>15</v>
      </c>
      <c r="D557">
        <v>10</v>
      </c>
      <c r="E557">
        <v>25</v>
      </c>
      <c r="F557">
        <v>27.554172996106612</v>
      </c>
      <c r="G557" t="str">
        <f>FLOOR(FinalData[[#This Row],[Temperature_C]],2)&amp;"–"&amp;(FLOOR(FinalData[[#This Row],[Temperature_C]],2)+2)&amp;"°C"</f>
        <v>26–28°C</v>
      </c>
      <c r="H557">
        <v>3.76</v>
      </c>
      <c r="I557">
        <v>2026</v>
      </c>
      <c r="J557">
        <v>1</v>
      </c>
      <c r="K557">
        <v>24</v>
      </c>
      <c r="L557">
        <v>6</v>
      </c>
      <c r="M557">
        <v>3</v>
      </c>
      <c r="N557">
        <v>0.4</v>
      </c>
      <c r="O557">
        <v>0.376</v>
      </c>
      <c r="P557" t="s">
        <v>40</v>
      </c>
    </row>
    <row r="558" spans="1:16" hidden="1" x14ac:dyDescent="0.25">
      <c r="A558" s="12">
        <v>46046.166666666664</v>
      </c>
      <c r="B558" t="s">
        <v>13</v>
      </c>
      <c r="C558" t="s">
        <v>8</v>
      </c>
      <c r="D558">
        <v>9</v>
      </c>
      <c r="E558">
        <v>40</v>
      </c>
      <c r="F558">
        <v>24.462001253570961</v>
      </c>
      <c r="G558" t="str">
        <f>FLOOR(FinalData[[#This Row],[Temperature_C]],2)&amp;"–"&amp;(FLOOR(FinalData[[#This Row],[Temperature_C]],2)+2)&amp;"°C"</f>
        <v>24–26°C</v>
      </c>
      <c r="H558">
        <v>3.58</v>
      </c>
      <c r="I558">
        <v>2026</v>
      </c>
      <c r="J558">
        <v>1</v>
      </c>
      <c r="K558">
        <v>24</v>
      </c>
      <c r="L558">
        <v>6</v>
      </c>
      <c r="M558">
        <v>4</v>
      </c>
      <c r="N558">
        <v>0.22500000000000001</v>
      </c>
      <c r="O558">
        <v>0.39777777777777779</v>
      </c>
      <c r="P558" t="s">
        <v>40</v>
      </c>
    </row>
    <row r="559" spans="1:16" hidden="1" x14ac:dyDescent="0.25">
      <c r="A559" s="12">
        <v>46046.208333333336</v>
      </c>
      <c r="B559" t="s">
        <v>13</v>
      </c>
      <c r="C559" t="s">
        <v>22</v>
      </c>
      <c r="D559">
        <v>8</v>
      </c>
      <c r="E559">
        <v>25</v>
      </c>
      <c r="F559">
        <v>21.25241075751762</v>
      </c>
      <c r="G559" t="str">
        <f>FLOOR(FinalData[[#This Row],[Temperature_C]],2)&amp;"–"&amp;(FLOOR(FinalData[[#This Row],[Temperature_C]],2)+2)&amp;"°C"</f>
        <v>20–22°C</v>
      </c>
      <c r="H559">
        <v>3.2</v>
      </c>
      <c r="I559">
        <v>2026</v>
      </c>
      <c r="J559">
        <v>1</v>
      </c>
      <c r="K559">
        <v>24</v>
      </c>
      <c r="L559">
        <v>6</v>
      </c>
      <c r="M559">
        <v>5</v>
      </c>
      <c r="N559">
        <v>0.32</v>
      </c>
      <c r="O559">
        <v>0.4</v>
      </c>
      <c r="P559" t="s">
        <v>40</v>
      </c>
    </row>
    <row r="560" spans="1:16" hidden="1" x14ac:dyDescent="0.25">
      <c r="A560" s="12">
        <v>46046.25</v>
      </c>
      <c r="B560" t="s">
        <v>11</v>
      </c>
      <c r="C560" t="s">
        <v>29</v>
      </c>
      <c r="D560">
        <v>9</v>
      </c>
      <c r="E560">
        <v>20</v>
      </c>
      <c r="F560">
        <v>23.858356239750002</v>
      </c>
      <c r="G560" t="str">
        <f>FLOOR(FinalData[[#This Row],[Temperature_C]],2)&amp;"–"&amp;(FLOOR(FinalData[[#This Row],[Temperature_C]],2)+2)&amp;"°C"</f>
        <v>22–24°C</v>
      </c>
      <c r="H560">
        <v>3.58</v>
      </c>
      <c r="I560">
        <v>2026</v>
      </c>
      <c r="J560">
        <v>1</v>
      </c>
      <c r="K560">
        <v>24</v>
      </c>
      <c r="L560">
        <v>6</v>
      </c>
      <c r="M560">
        <v>6</v>
      </c>
      <c r="N560">
        <v>0.45</v>
      </c>
      <c r="O560">
        <v>0.39777777777777779</v>
      </c>
      <c r="P560" t="s">
        <v>40</v>
      </c>
    </row>
    <row r="561" spans="1:16" hidden="1" x14ac:dyDescent="0.25">
      <c r="A561" s="12">
        <v>46046.291666666664</v>
      </c>
      <c r="B561" t="s">
        <v>18</v>
      </c>
      <c r="C561" t="s">
        <v>21</v>
      </c>
      <c r="D561">
        <v>9</v>
      </c>
      <c r="E561">
        <v>20</v>
      </c>
      <c r="F561">
        <v>24.879961636185641</v>
      </c>
      <c r="G561" t="str">
        <f>FLOOR(FinalData[[#This Row],[Temperature_C]],2)&amp;"–"&amp;(FLOOR(FinalData[[#This Row],[Temperature_C]],2)+2)&amp;"°C"</f>
        <v>24–26°C</v>
      </c>
      <c r="H561">
        <v>3.37</v>
      </c>
      <c r="I561">
        <v>2026</v>
      </c>
      <c r="J561">
        <v>1</v>
      </c>
      <c r="K561">
        <v>24</v>
      </c>
      <c r="L561">
        <v>6</v>
      </c>
      <c r="M561">
        <v>7</v>
      </c>
      <c r="N561">
        <v>0.45</v>
      </c>
      <c r="O561">
        <v>0.37444444444444447</v>
      </c>
      <c r="P561" t="s">
        <v>41</v>
      </c>
    </row>
    <row r="562" spans="1:16" x14ac:dyDescent="0.25">
      <c r="A562" s="12">
        <v>46046.333333333336</v>
      </c>
      <c r="B562" t="s">
        <v>11</v>
      </c>
      <c r="C562" t="s">
        <v>23</v>
      </c>
      <c r="D562">
        <v>9</v>
      </c>
      <c r="E562">
        <v>30</v>
      </c>
      <c r="F562">
        <v>22.125585106104229</v>
      </c>
      <c r="G562" t="str">
        <f>FLOOR(FinalData[[#This Row],[Temperature_C]],2)&amp;"–"&amp;(FLOOR(FinalData[[#This Row],[Temperature_C]],2)+2)&amp;"°C"</f>
        <v>22–24°C</v>
      </c>
      <c r="H562">
        <v>2.58</v>
      </c>
      <c r="I562">
        <v>2026</v>
      </c>
      <c r="J562">
        <v>1</v>
      </c>
      <c r="K562">
        <v>24</v>
      </c>
      <c r="L562">
        <v>6</v>
      </c>
      <c r="M562">
        <v>8</v>
      </c>
      <c r="N562">
        <v>0.3</v>
      </c>
      <c r="O562">
        <v>0.28666666666666668</v>
      </c>
      <c r="P562" t="s">
        <v>41</v>
      </c>
    </row>
    <row r="563" spans="1:16" x14ac:dyDescent="0.25">
      <c r="A563" s="12">
        <v>46046.375</v>
      </c>
      <c r="B563" t="s">
        <v>11</v>
      </c>
      <c r="C563" t="s">
        <v>16</v>
      </c>
      <c r="D563">
        <v>12</v>
      </c>
      <c r="E563">
        <v>40</v>
      </c>
      <c r="F563">
        <v>23.168933572779899</v>
      </c>
      <c r="G563" t="str">
        <f>FLOOR(FinalData[[#This Row],[Temperature_C]],2)&amp;"–"&amp;(FLOOR(FinalData[[#This Row],[Temperature_C]],2)+2)&amp;"°C"</f>
        <v>22–24°C</v>
      </c>
      <c r="H563">
        <v>3.65</v>
      </c>
      <c r="I563">
        <v>2026</v>
      </c>
      <c r="J563">
        <v>1</v>
      </c>
      <c r="K563">
        <v>24</v>
      </c>
      <c r="L563">
        <v>6</v>
      </c>
      <c r="M563">
        <v>9</v>
      </c>
      <c r="N563">
        <v>0.3</v>
      </c>
      <c r="O563">
        <v>0.30416666666666664</v>
      </c>
      <c r="P563" t="s">
        <v>41</v>
      </c>
    </row>
    <row r="564" spans="1:16" hidden="1" x14ac:dyDescent="0.25">
      <c r="A564" s="12">
        <v>46046.416666666664</v>
      </c>
      <c r="B564" t="s">
        <v>9</v>
      </c>
      <c r="C564" t="s">
        <v>31</v>
      </c>
      <c r="D564">
        <v>3</v>
      </c>
      <c r="E564">
        <v>30</v>
      </c>
      <c r="F564">
        <v>24.91259000418269</v>
      </c>
      <c r="G564" t="str">
        <f>FLOOR(FinalData[[#This Row],[Temperature_C]],2)&amp;"–"&amp;(FLOOR(FinalData[[#This Row],[Temperature_C]],2)+2)&amp;"°C"</f>
        <v>24–26°C</v>
      </c>
      <c r="H564">
        <v>2.68</v>
      </c>
      <c r="I564">
        <v>2026</v>
      </c>
      <c r="J564">
        <v>1</v>
      </c>
      <c r="K564">
        <v>24</v>
      </c>
      <c r="L564">
        <v>6</v>
      </c>
      <c r="M564">
        <v>10</v>
      </c>
      <c r="N564">
        <v>0.1</v>
      </c>
      <c r="O564">
        <v>0.89333333333333342</v>
      </c>
      <c r="P564" t="s">
        <v>41</v>
      </c>
    </row>
    <row r="565" spans="1:16" x14ac:dyDescent="0.25">
      <c r="A565" s="12">
        <v>46046.458333333336</v>
      </c>
      <c r="B565" t="s">
        <v>11</v>
      </c>
      <c r="C565" t="s">
        <v>14</v>
      </c>
      <c r="D565">
        <v>9</v>
      </c>
      <c r="E565">
        <v>40</v>
      </c>
      <c r="F565">
        <v>20.216083238096541</v>
      </c>
      <c r="G565" t="str">
        <f>FLOOR(FinalData[[#This Row],[Temperature_C]],2)&amp;"–"&amp;(FLOOR(FinalData[[#This Row],[Temperature_C]],2)+2)&amp;"°C"</f>
        <v>20–22°C</v>
      </c>
      <c r="H565">
        <v>3.83</v>
      </c>
      <c r="I565">
        <v>2026</v>
      </c>
      <c r="J565">
        <v>1</v>
      </c>
      <c r="K565">
        <v>24</v>
      </c>
      <c r="L565">
        <v>6</v>
      </c>
      <c r="M565">
        <v>11</v>
      </c>
      <c r="N565">
        <v>0.22500000000000001</v>
      </c>
      <c r="O565">
        <v>0.42555555555555558</v>
      </c>
      <c r="P565" t="s">
        <v>41</v>
      </c>
    </row>
    <row r="566" spans="1:16" hidden="1" x14ac:dyDescent="0.25">
      <c r="A566" s="12">
        <v>46046.5</v>
      </c>
      <c r="B566" t="s">
        <v>7</v>
      </c>
      <c r="C566" t="s">
        <v>14</v>
      </c>
      <c r="D566">
        <v>7</v>
      </c>
      <c r="E566">
        <v>20</v>
      </c>
      <c r="F566">
        <v>21.466271923990899</v>
      </c>
      <c r="G566" t="str">
        <f>FLOOR(FinalData[[#This Row],[Temperature_C]],2)&amp;"–"&amp;(FLOOR(FinalData[[#This Row],[Temperature_C]],2)+2)&amp;"°C"</f>
        <v>20–22°C</v>
      </c>
      <c r="H566">
        <v>2.65</v>
      </c>
      <c r="I566">
        <v>2026</v>
      </c>
      <c r="J566">
        <v>1</v>
      </c>
      <c r="K566">
        <v>24</v>
      </c>
      <c r="L566">
        <v>6</v>
      </c>
      <c r="M566">
        <v>12</v>
      </c>
      <c r="N566">
        <v>0.35</v>
      </c>
      <c r="O566">
        <v>0.37857142857142856</v>
      </c>
      <c r="P566" t="s">
        <v>42</v>
      </c>
    </row>
    <row r="567" spans="1:16" hidden="1" x14ac:dyDescent="0.25">
      <c r="A567" s="12">
        <v>46046.541666666664</v>
      </c>
      <c r="B567" t="s">
        <v>7</v>
      </c>
      <c r="C567" t="s">
        <v>10</v>
      </c>
      <c r="D567">
        <v>13</v>
      </c>
      <c r="E567">
        <v>20</v>
      </c>
      <c r="F567">
        <v>22.92021123249658</v>
      </c>
      <c r="G567" t="str">
        <f>FLOOR(FinalData[[#This Row],[Temperature_C]],2)&amp;"–"&amp;(FLOOR(FinalData[[#This Row],[Temperature_C]],2)+2)&amp;"°C"</f>
        <v>22–24°C</v>
      </c>
      <c r="H567">
        <v>3.77</v>
      </c>
      <c r="I567">
        <v>2026</v>
      </c>
      <c r="J567">
        <v>1</v>
      </c>
      <c r="K567">
        <v>24</v>
      </c>
      <c r="L567">
        <v>6</v>
      </c>
      <c r="M567">
        <v>13</v>
      </c>
      <c r="N567">
        <v>0.65</v>
      </c>
      <c r="O567">
        <v>0.28999999999999998</v>
      </c>
      <c r="P567" t="s">
        <v>42</v>
      </c>
    </row>
    <row r="568" spans="1:16" hidden="1" x14ac:dyDescent="0.25">
      <c r="A568" s="12">
        <v>46046.583333333336</v>
      </c>
      <c r="B568" t="s">
        <v>13</v>
      </c>
      <c r="C568" t="s">
        <v>28</v>
      </c>
      <c r="D568">
        <v>9</v>
      </c>
      <c r="E568">
        <v>30</v>
      </c>
      <c r="F568">
        <v>22.484759028978011</v>
      </c>
      <c r="G568" t="str">
        <f>FLOOR(FinalData[[#This Row],[Temperature_C]],2)&amp;"–"&amp;(FLOOR(FinalData[[#This Row],[Temperature_C]],2)+2)&amp;"°C"</f>
        <v>22–24°C</v>
      </c>
      <c r="H568">
        <v>3.1</v>
      </c>
      <c r="I568">
        <v>2026</v>
      </c>
      <c r="J568">
        <v>1</v>
      </c>
      <c r="K568">
        <v>24</v>
      </c>
      <c r="L568">
        <v>6</v>
      </c>
      <c r="M568">
        <v>14</v>
      </c>
      <c r="N568">
        <v>0.3</v>
      </c>
      <c r="O568">
        <v>0.34444444444444444</v>
      </c>
      <c r="P568" t="s">
        <v>42</v>
      </c>
    </row>
    <row r="569" spans="1:16" hidden="1" x14ac:dyDescent="0.25">
      <c r="A569" s="12">
        <v>46046.625</v>
      </c>
      <c r="B569" t="s">
        <v>9</v>
      </c>
      <c r="C569" t="s">
        <v>21</v>
      </c>
      <c r="D569">
        <v>5</v>
      </c>
      <c r="E569">
        <v>30</v>
      </c>
      <c r="F569">
        <v>23.299195915037579</v>
      </c>
      <c r="G569" t="str">
        <f>FLOOR(FinalData[[#This Row],[Temperature_C]],2)&amp;"–"&amp;(FLOOR(FinalData[[#This Row],[Temperature_C]],2)+2)&amp;"°C"</f>
        <v>22–24°C</v>
      </c>
      <c r="H569">
        <v>2.27</v>
      </c>
      <c r="I569">
        <v>2026</v>
      </c>
      <c r="J569">
        <v>1</v>
      </c>
      <c r="K569">
        <v>24</v>
      </c>
      <c r="L569">
        <v>6</v>
      </c>
      <c r="M569">
        <v>15</v>
      </c>
      <c r="N569">
        <v>0.16666666666666666</v>
      </c>
      <c r="O569">
        <v>0.45400000000000001</v>
      </c>
      <c r="P569" t="s">
        <v>42</v>
      </c>
    </row>
    <row r="570" spans="1:16" hidden="1" x14ac:dyDescent="0.25">
      <c r="A570" s="12">
        <v>46046.666666666664</v>
      </c>
      <c r="B570" t="s">
        <v>9</v>
      </c>
      <c r="C570" t="s">
        <v>21</v>
      </c>
      <c r="D570">
        <v>11</v>
      </c>
      <c r="E570">
        <v>40</v>
      </c>
      <c r="F570">
        <v>21.615298451532411</v>
      </c>
      <c r="G570" t="str">
        <f>FLOOR(FinalData[[#This Row],[Temperature_C]],2)&amp;"–"&amp;(FLOOR(FinalData[[#This Row],[Temperature_C]],2)+2)&amp;"°C"</f>
        <v>20–22°C</v>
      </c>
      <c r="H570">
        <v>3.41</v>
      </c>
      <c r="I570">
        <v>2026</v>
      </c>
      <c r="J570">
        <v>1</v>
      </c>
      <c r="K570">
        <v>24</v>
      </c>
      <c r="L570">
        <v>6</v>
      </c>
      <c r="M570">
        <v>16</v>
      </c>
      <c r="N570">
        <v>0.27500000000000002</v>
      </c>
      <c r="O570">
        <v>0.31</v>
      </c>
      <c r="P570" t="s">
        <v>42</v>
      </c>
    </row>
    <row r="571" spans="1:16" hidden="1" x14ac:dyDescent="0.25">
      <c r="A571" s="12">
        <v>46046.708333333336</v>
      </c>
      <c r="B571" t="s">
        <v>11</v>
      </c>
      <c r="C571" t="s">
        <v>20</v>
      </c>
      <c r="D571">
        <v>4</v>
      </c>
      <c r="E571">
        <v>25</v>
      </c>
      <c r="F571">
        <v>22.15020182159439</v>
      </c>
      <c r="G571" t="str">
        <f>FLOOR(FinalData[[#This Row],[Temperature_C]],2)&amp;"–"&amp;(FLOOR(FinalData[[#This Row],[Temperature_C]],2)+2)&amp;"°C"</f>
        <v>22–24°C</v>
      </c>
      <c r="H571">
        <v>2.14</v>
      </c>
      <c r="I571">
        <v>2026</v>
      </c>
      <c r="J571">
        <v>1</v>
      </c>
      <c r="K571">
        <v>24</v>
      </c>
      <c r="L571">
        <v>6</v>
      </c>
      <c r="M571">
        <v>17</v>
      </c>
      <c r="N571">
        <v>0.16</v>
      </c>
      <c r="O571">
        <v>0.53500000000000003</v>
      </c>
      <c r="P571" t="s">
        <v>43</v>
      </c>
    </row>
    <row r="572" spans="1:16" hidden="1" x14ac:dyDescent="0.25">
      <c r="A572" s="12">
        <v>46046.75</v>
      </c>
      <c r="B572" t="s">
        <v>11</v>
      </c>
      <c r="C572" t="s">
        <v>29</v>
      </c>
      <c r="D572">
        <v>5</v>
      </c>
      <c r="E572">
        <v>25</v>
      </c>
      <c r="F572">
        <v>24.59611974670468</v>
      </c>
      <c r="G572" t="str">
        <f>FLOOR(FinalData[[#This Row],[Temperature_C]],2)&amp;"–"&amp;(FLOOR(FinalData[[#This Row],[Temperature_C]],2)+2)&amp;"°C"</f>
        <v>24–26°C</v>
      </c>
      <c r="H572">
        <v>2.09</v>
      </c>
      <c r="I572">
        <v>2026</v>
      </c>
      <c r="J572">
        <v>1</v>
      </c>
      <c r="K572">
        <v>24</v>
      </c>
      <c r="L572">
        <v>6</v>
      </c>
      <c r="M572">
        <v>18</v>
      </c>
      <c r="N572">
        <v>0.2</v>
      </c>
      <c r="O572">
        <v>0.41799999999999998</v>
      </c>
      <c r="P572" t="s">
        <v>43</v>
      </c>
    </row>
    <row r="573" spans="1:16" hidden="1" x14ac:dyDescent="0.25">
      <c r="A573" s="12">
        <v>46046.791666666664</v>
      </c>
      <c r="B573" t="s">
        <v>11</v>
      </c>
      <c r="C573" t="s">
        <v>31</v>
      </c>
      <c r="D573">
        <v>9</v>
      </c>
      <c r="E573">
        <v>25</v>
      </c>
      <c r="F573">
        <v>20.664696435767151</v>
      </c>
      <c r="G573" t="str">
        <f>FLOOR(FinalData[[#This Row],[Temperature_C]],2)&amp;"–"&amp;(FLOOR(FinalData[[#This Row],[Temperature_C]],2)+2)&amp;"°C"</f>
        <v>20–22°C</v>
      </c>
      <c r="H573">
        <v>3.25</v>
      </c>
      <c r="I573">
        <v>2026</v>
      </c>
      <c r="J573">
        <v>1</v>
      </c>
      <c r="K573">
        <v>24</v>
      </c>
      <c r="L573">
        <v>6</v>
      </c>
      <c r="M573">
        <v>19</v>
      </c>
      <c r="N573">
        <v>0.36</v>
      </c>
      <c r="O573">
        <v>0.3611111111111111</v>
      </c>
      <c r="P573" t="s">
        <v>43</v>
      </c>
    </row>
    <row r="574" spans="1:16" hidden="1" x14ac:dyDescent="0.25">
      <c r="A574" s="12">
        <v>46046.833333333336</v>
      </c>
      <c r="B574" t="s">
        <v>11</v>
      </c>
      <c r="C574" t="s">
        <v>27</v>
      </c>
      <c r="D574">
        <v>5</v>
      </c>
      <c r="E574">
        <v>20</v>
      </c>
      <c r="F574">
        <v>21.237150187665289</v>
      </c>
      <c r="G574" t="str">
        <f>FLOOR(FinalData[[#This Row],[Temperature_C]],2)&amp;"–"&amp;(FLOOR(FinalData[[#This Row],[Temperature_C]],2)+2)&amp;"°C"</f>
        <v>20–22°C</v>
      </c>
      <c r="H574">
        <v>2.59</v>
      </c>
      <c r="I574">
        <v>2026</v>
      </c>
      <c r="J574">
        <v>1</v>
      </c>
      <c r="K574">
        <v>24</v>
      </c>
      <c r="L574">
        <v>6</v>
      </c>
      <c r="M574">
        <v>20</v>
      </c>
      <c r="N574">
        <v>0.25</v>
      </c>
      <c r="O574">
        <v>0.51800000000000002</v>
      </c>
      <c r="P574" t="s">
        <v>43</v>
      </c>
    </row>
    <row r="575" spans="1:16" hidden="1" x14ac:dyDescent="0.25">
      <c r="A575" s="12">
        <v>46046.875</v>
      </c>
      <c r="B575" t="s">
        <v>13</v>
      </c>
      <c r="C575" t="s">
        <v>17</v>
      </c>
      <c r="D575">
        <v>6</v>
      </c>
      <c r="E575">
        <v>30</v>
      </c>
      <c r="F575">
        <v>22.170746198856271</v>
      </c>
      <c r="G575" t="str">
        <f>FLOOR(FinalData[[#This Row],[Temperature_C]],2)&amp;"–"&amp;(FLOOR(FinalData[[#This Row],[Temperature_C]],2)+2)&amp;"°C"</f>
        <v>22–24°C</v>
      </c>
      <c r="H575">
        <v>2.0299999999999998</v>
      </c>
      <c r="I575">
        <v>2026</v>
      </c>
      <c r="J575">
        <v>1</v>
      </c>
      <c r="K575">
        <v>24</v>
      </c>
      <c r="L575">
        <v>6</v>
      </c>
      <c r="M575">
        <v>21</v>
      </c>
      <c r="N575">
        <v>0.2</v>
      </c>
      <c r="O575">
        <v>0.33833333333333332</v>
      </c>
      <c r="P575" t="s">
        <v>40</v>
      </c>
    </row>
    <row r="576" spans="1:16" hidden="1" x14ac:dyDescent="0.25">
      <c r="A576" s="12">
        <v>46046.916666666664</v>
      </c>
      <c r="B576" t="s">
        <v>11</v>
      </c>
      <c r="C576" t="s">
        <v>21</v>
      </c>
      <c r="D576">
        <v>5</v>
      </c>
      <c r="E576">
        <v>20</v>
      </c>
      <c r="F576">
        <v>23.437318613514599</v>
      </c>
      <c r="G576" t="str">
        <f>FLOOR(FinalData[[#This Row],[Temperature_C]],2)&amp;"–"&amp;(FLOOR(FinalData[[#This Row],[Temperature_C]],2)+2)&amp;"°C"</f>
        <v>22–24°C</v>
      </c>
      <c r="H576">
        <v>2.13</v>
      </c>
      <c r="I576">
        <v>2026</v>
      </c>
      <c r="J576">
        <v>1</v>
      </c>
      <c r="K576">
        <v>24</v>
      </c>
      <c r="L576">
        <v>6</v>
      </c>
      <c r="M576">
        <v>22</v>
      </c>
      <c r="N576">
        <v>0.25</v>
      </c>
      <c r="O576">
        <v>0.42599999999999999</v>
      </c>
      <c r="P576" t="s">
        <v>40</v>
      </c>
    </row>
    <row r="577" spans="1:16" hidden="1" x14ac:dyDescent="0.25">
      <c r="A577" s="12">
        <v>46046.958333333336</v>
      </c>
      <c r="B577" t="s">
        <v>11</v>
      </c>
      <c r="C577" t="s">
        <v>16</v>
      </c>
      <c r="D577">
        <v>11</v>
      </c>
      <c r="E577">
        <v>30</v>
      </c>
      <c r="F577">
        <v>24.112044193684579</v>
      </c>
      <c r="G577" t="str">
        <f>FLOOR(FinalData[[#This Row],[Temperature_C]],2)&amp;"–"&amp;(FLOOR(FinalData[[#This Row],[Temperature_C]],2)+2)&amp;"°C"</f>
        <v>24–26°C</v>
      </c>
      <c r="H577">
        <v>3.69</v>
      </c>
      <c r="I577">
        <v>2026</v>
      </c>
      <c r="J577">
        <v>1</v>
      </c>
      <c r="K577">
        <v>24</v>
      </c>
      <c r="L577">
        <v>6</v>
      </c>
      <c r="M577">
        <v>23</v>
      </c>
      <c r="N577">
        <v>0.36666666666666664</v>
      </c>
      <c r="O577">
        <v>0.33545454545454545</v>
      </c>
      <c r="P577" t="s">
        <v>40</v>
      </c>
    </row>
    <row r="578" spans="1:16" hidden="1" x14ac:dyDescent="0.25">
      <c r="A578" s="12">
        <v>46047</v>
      </c>
      <c r="B578" t="s">
        <v>13</v>
      </c>
      <c r="C578" t="s">
        <v>12</v>
      </c>
      <c r="D578">
        <v>7</v>
      </c>
      <c r="E578">
        <v>25</v>
      </c>
      <c r="F578">
        <v>23.298912179326621</v>
      </c>
      <c r="G578" t="str">
        <f>FLOOR(FinalData[[#This Row],[Temperature_C]],2)&amp;"–"&amp;(FLOOR(FinalData[[#This Row],[Temperature_C]],2)+2)&amp;"°C"</f>
        <v>22–24°C</v>
      </c>
      <c r="H578">
        <v>2.98</v>
      </c>
      <c r="I578">
        <v>2026</v>
      </c>
      <c r="J578">
        <v>1</v>
      </c>
      <c r="K578">
        <v>25</v>
      </c>
      <c r="L578">
        <v>0</v>
      </c>
      <c r="M578">
        <v>0</v>
      </c>
      <c r="N578">
        <v>0.28000000000000003</v>
      </c>
      <c r="O578">
        <v>0.42571428571428571</v>
      </c>
      <c r="P578" t="s">
        <v>40</v>
      </c>
    </row>
    <row r="579" spans="1:16" hidden="1" x14ac:dyDescent="0.25">
      <c r="A579" s="12">
        <v>46047.041666666664</v>
      </c>
      <c r="B579" t="s">
        <v>13</v>
      </c>
      <c r="C579" t="s">
        <v>16</v>
      </c>
      <c r="D579">
        <v>9</v>
      </c>
      <c r="E579">
        <v>40</v>
      </c>
      <c r="F579">
        <v>23.720786790036161</v>
      </c>
      <c r="G579" t="str">
        <f>FLOOR(FinalData[[#This Row],[Temperature_C]],2)&amp;"–"&amp;(FLOOR(FinalData[[#This Row],[Temperature_C]],2)+2)&amp;"°C"</f>
        <v>22–24°C</v>
      </c>
      <c r="H579">
        <v>3.46</v>
      </c>
      <c r="I579">
        <v>2026</v>
      </c>
      <c r="J579">
        <v>1</v>
      </c>
      <c r="K579">
        <v>25</v>
      </c>
      <c r="L579">
        <v>0</v>
      </c>
      <c r="M579">
        <v>1</v>
      </c>
      <c r="N579">
        <v>0.22500000000000001</v>
      </c>
      <c r="O579">
        <v>0.38444444444444442</v>
      </c>
      <c r="P579" t="s">
        <v>40</v>
      </c>
    </row>
    <row r="580" spans="1:16" hidden="1" x14ac:dyDescent="0.25">
      <c r="A580" s="12">
        <v>46047.083333333336</v>
      </c>
      <c r="B580" t="s">
        <v>11</v>
      </c>
      <c r="C580" t="s">
        <v>10</v>
      </c>
      <c r="D580">
        <v>4</v>
      </c>
      <c r="E580">
        <v>25</v>
      </c>
      <c r="F580">
        <v>23.061495166175</v>
      </c>
      <c r="G580" t="str">
        <f>FLOOR(FinalData[[#This Row],[Temperature_C]],2)&amp;"–"&amp;(FLOOR(FinalData[[#This Row],[Temperature_C]],2)+2)&amp;"°C"</f>
        <v>22–24°C</v>
      </c>
      <c r="H580">
        <v>1.26</v>
      </c>
      <c r="I580">
        <v>2026</v>
      </c>
      <c r="J580">
        <v>1</v>
      </c>
      <c r="K580">
        <v>25</v>
      </c>
      <c r="L580">
        <v>0</v>
      </c>
      <c r="M580">
        <v>2</v>
      </c>
      <c r="N580">
        <v>0.16</v>
      </c>
      <c r="O580">
        <v>0.315</v>
      </c>
      <c r="P580" t="s">
        <v>40</v>
      </c>
    </row>
    <row r="581" spans="1:16" hidden="1" x14ac:dyDescent="0.25">
      <c r="A581" s="12">
        <v>46047.125</v>
      </c>
      <c r="B581" t="s">
        <v>13</v>
      </c>
      <c r="C581" t="s">
        <v>20</v>
      </c>
      <c r="D581">
        <v>10</v>
      </c>
      <c r="E581">
        <v>20</v>
      </c>
      <c r="F581">
        <v>20.88793840006667</v>
      </c>
      <c r="G581" t="str">
        <f>FLOOR(FinalData[[#This Row],[Temperature_C]],2)&amp;"–"&amp;(FLOOR(FinalData[[#This Row],[Temperature_C]],2)+2)&amp;"°C"</f>
        <v>20–22°C</v>
      </c>
      <c r="H581">
        <v>3.39</v>
      </c>
      <c r="I581">
        <v>2026</v>
      </c>
      <c r="J581">
        <v>1</v>
      </c>
      <c r="K581">
        <v>25</v>
      </c>
      <c r="L581">
        <v>0</v>
      </c>
      <c r="M581">
        <v>3</v>
      </c>
      <c r="N581">
        <v>0.5</v>
      </c>
      <c r="O581">
        <v>0.33900000000000002</v>
      </c>
      <c r="P581" t="s">
        <v>40</v>
      </c>
    </row>
    <row r="582" spans="1:16" hidden="1" x14ac:dyDescent="0.25">
      <c r="A582" s="12">
        <v>46047.166666666664</v>
      </c>
      <c r="B582" t="s">
        <v>11</v>
      </c>
      <c r="C582" t="s">
        <v>26</v>
      </c>
      <c r="D582">
        <v>12</v>
      </c>
      <c r="E582">
        <v>20</v>
      </c>
      <c r="F582">
        <v>24.754701013479391</v>
      </c>
      <c r="G582" t="str">
        <f>FLOOR(FinalData[[#This Row],[Temperature_C]],2)&amp;"–"&amp;(FLOOR(FinalData[[#This Row],[Temperature_C]],2)+2)&amp;"°C"</f>
        <v>24–26°C</v>
      </c>
      <c r="H582">
        <v>4.1500000000000004</v>
      </c>
      <c r="I582">
        <v>2026</v>
      </c>
      <c r="J582">
        <v>1</v>
      </c>
      <c r="K582">
        <v>25</v>
      </c>
      <c r="L582">
        <v>0</v>
      </c>
      <c r="M582">
        <v>4</v>
      </c>
      <c r="N582">
        <v>0.6</v>
      </c>
      <c r="O582">
        <v>0.34583333333333338</v>
      </c>
      <c r="P582" t="s">
        <v>40</v>
      </c>
    </row>
    <row r="583" spans="1:16" hidden="1" x14ac:dyDescent="0.25">
      <c r="A583" s="12">
        <v>46047.208333333336</v>
      </c>
      <c r="B583" t="s">
        <v>13</v>
      </c>
      <c r="C583" t="s">
        <v>16</v>
      </c>
      <c r="D583">
        <v>8</v>
      </c>
      <c r="E583">
        <v>30</v>
      </c>
      <c r="F583">
        <v>21.364635206789728</v>
      </c>
      <c r="G583" t="str">
        <f>FLOOR(FinalData[[#This Row],[Temperature_C]],2)&amp;"–"&amp;(FLOOR(FinalData[[#This Row],[Temperature_C]],2)+2)&amp;"°C"</f>
        <v>20–22°C</v>
      </c>
      <c r="H583">
        <v>2.56</v>
      </c>
      <c r="I583">
        <v>2026</v>
      </c>
      <c r="J583">
        <v>1</v>
      </c>
      <c r="K583">
        <v>25</v>
      </c>
      <c r="L583">
        <v>0</v>
      </c>
      <c r="M583">
        <v>5</v>
      </c>
      <c r="N583">
        <v>0.26666666666666666</v>
      </c>
      <c r="O583">
        <v>0.32</v>
      </c>
      <c r="P583" t="s">
        <v>40</v>
      </c>
    </row>
    <row r="584" spans="1:16" hidden="1" x14ac:dyDescent="0.25">
      <c r="A584" s="12">
        <v>46047.25</v>
      </c>
      <c r="B584" t="s">
        <v>18</v>
      </c>
      <c r="C584" t="s">
        <v>26</v>
      </c>
      <c r="D584">
        <v>10</v>
      </c>
      <c r="E584">
        <v>25</v>
      </c>
      <c r="F584">
        <v>22.274427344931659</v>
      </c>
      <c r="G584" t="str">
        <f>FLOOR(FinalData[[#This Row],[Temperature_C]],2)&amp;"–"&amp;(FLOOR(FinalData[[#This Row],[Temperature_C]],2)+2)&amp;"°C"</f>
        <v>22–24°C</v>
      </c>
      <c r="H584">
        <v>3.08</v>
      </c>
      <c r="I584">
        <v>2026</v>
      </c>
      <c r="J584">
        <v>1</v>
      </c>
      <c r="K584">
        <v>25</v>
      </c>
      <c r="L584">
        <v>0</v>
      </c>
      <c r="M584">
        <v>6</v>
      </c>
      <c r="N584">
        <v>0.4</v>
      </c>
      <c r="O584">
        <v>0.308</v>
      </c>
      <c r="P584" t="s">
        <v>40</v>
      </c>
    </row>
    <row r="585" spans="1:16" hidden="1" x14ac:dyDescent="0.25">
      <c r="A585" s="12">
        <v>46047.291666666664</v>
      </c>
      <c r="B585" t="s">
        <v>9</v>
      </c>
      <c r="C585" t="s">
        <v>12</v>
      </c>
      <c r="D585">
        <v>6</v>
      </c>
      <c r="E585">
        <v>20</v>
      </c>
      <c r="F585">
        <v>25.58151684824486</v>
      </c>
      <c r="G585" t="str">
        <f>FLOOR(FinalData[[#This Row],[Temperature_C]],2)&amp;"–"&amp;(FLOOR(FinalData[[#This Row],[Temperature_C]],2)+2)&amp;"°C"</f>
        <v>24–26°C</v>
      </c>
      <c r="H585">
        <v>3.61</v>
      </c>
      <c r="I585">
        <v>2026</v>
      </c>
      <c r="J585">
        <v>1</v>
      </c>
      <c r="K585">
        <v>25</v>
      </c>
      <c r="L585">
        <v>0</v>
      </c>
      <c r="M585">
        <v>7</v>
      </c>
      <c r="N585">
        <v>0.3</v>
      </c>
      <c r="O585">
        <v>0.60166666666666668</v>
      </c>
      <c r="P585" t="s">
        <v>41</v>
      </c>
    </row>
    <row r="586" spans="1:16" hidden="1" x14ac:dyDescent="0.25">
      <c r="A586" s="12">
        <v>46047.333333333336</v>
      </c>
      <c r="B586" t="s">
        <v>9</v>
      </c>
      <c r="C586" t="s">
        <v>21</v>
      </c>
      <c r="D586">
        <v>6</v>
      </c>
      <c r="E586">
        <v>20</v>
      </c>
      <c r="F586">
        <v>24.219658155326989</v>
      </c>
      <c r="G586" t="str">
        <f>FLOOR(FinalData[[#This Row],[Temperature_C]],2)&amp;"–"&amp;(FLOOR(FinalData[[#This Row],[Temperature_C]],2)+2)&amp;"°C"</f>
        <v>24–26°C</v>
      </c>
      <c r="H586">
        <v>2.0099999999999998</v>
      </c>
      <c r="I586">
        <v>2026</v>
      </c>
      <c r="J586">
        <v>1</v>
      </c>
      <c r="K586">
        <v>25</v>
      </c>
      <c r="L586">
        <v>0</v>
      </c>
      <c r="M586">
        <v>8</v>
      </c>
      <c r="N586">
        <v>0.3</v>
      </c>
      <c r="O586">
        <v>0.33499999999999996</v>
      </c>
      <c r="P586" t="s">
        <v>41</v>
      </c>
    </row>
    <row r="587" spans="1:16" hidden="1" x14ac:dyDescent="0.25">
      <c r="A587" s="12">
        <v>46047.375</v>
      </c>
      <c r="B587" t="s">
        <v>7</v>
      </c>
      <c r="C587" t="s">
        <v>25</v>
      </c>
      <c r="D587">
        <v>10</v>
      </c>
      <c r="E587">
        <v>40</v>
      </c>
      <c r="F587">
        <v>26.147468433110209</v>
      </c>
      <c r="G587" t="str">
        <f>FLOOR(FinalData[[#This Row],[Temperature_C]],2)&amp;"–"&amp;(FLOOR(FinalData[[#This Row],[Temperature_C]],2)+2)&amp;"°C"</f>
        <v>26–28°C</v>
      </c>
      <c r="H587">
        <v>4.0599999999999996</v>
      </c>
      <c r="I587">
        <v>2026</v>
      </c>
      <c r="J587">
        <v>1</v>
      </c>
      <c r="K587">
        <v>25</v>
      </c>
      <c r="L587">
        <v>0</v>
      </c>
      <c r="M587">
        <v>9</v>
      </c>
      <c r="N587">
        <v>0.25</v>
      </c>
      <c r="O587">
        <v>0.40599999999999997</v>
      </c>
      <c r="P587" t="s">
        <v>41</v>
      </c>
    </row>
    <row r="588" spans="1:16" hidden="1" x14ac:dyDescent="0.25">
      <c r="A588" s="12">
        <v>46047.416666666664</v>
      </c>
      <c r="B588" t="s">
        <v>13</v>
      </c>
      <c r="C588" t="s">
        <v>20</v>
      </c>
      <c r="D588">
        <v>9</v>
      </c>
      <c r="E588">
        <v>30</v>
      </c>
      <c r="F588">
        <v>24.71579765058269</v>
      </c>
      <c r="G588" t="str">
        <f>FLOOR(FinalData[[#This Row],[Temperature_C]],2)&amp;"–"&amp;(FLOOR(FinalData[[#This Row],[Temperature_C]],2)+2)&amp;"°C"</f>
        <v>24–26°C</v>
      </c>
      <c r="H588">
        <v>3.62</v>
      </c>
      <c r="I588">
        <v>2026</v>
      </c>
      <c r="J588">
        <v>1</v>
      </c>
      <c r="K588">
        <v>25</v>
      </c>
      <c r="L588">
        <v>0</v>
      </c>
      <c r="M588">
        <v>10</v>
      </c>
      <c r="N588">
        <v>0.3</v>
      </c>
      <c r="O588">
        <v>0.40222222222222226</v>
      </c>
      <c r="P588" t="s">
        <v>41</v>
      </c>
    </row>
    <row r="589" spans="1:16" x14ac:dyDescent="0.25">
      <c r="A589" s="12">
        <v>46047.458333333336</v>
      </c>
      <c r="B589" t="s">
        <v>11</v>
      </c>
      <c r="C589" t="s">
        <v>16</v>
      </c>
      <c r="D589">
        <v>7</v>
      </c>
      <c r="E589">
        <v>25</v>
      </c>
      <c r="F589">
        <v>22.45517996679262</v>
      </c>
      <c r="G589" t="str">
        <f>FLOOR(FinalData[[#This Row],[Temperature_C]],2)&amp;"–"&amp;(FLOOR(FinalData[[#This Row],[Temperature_C]],2)+2)&amp;"°C"</f>
        <v>22–24°C</v>
      </c>
      <c r="H589">
        <v>2.99</v>
      </c>
      <c r="I589">
        <v>2026</v>
      </c>
      <c r="J589">
        <v>1</v>
      </c>
      <c r="K589">
        <v>25</v>
      </c>
      <c r="L589">
        <v>0</v>
      </c>
      <c r="M589">
        <v>11</v>
      </c>
      <c r="N589">
        <v>0.28000000000000003</v>
      </c>
      <c r="O589">
        <v>0.42714285714285716</v>
      </c>
      <c r="P589" t="s">
        <v>41</v>
      </c>
    </row>
    <row r="590" spans="1:16" hidden="1" x14ac:dyDescent="0.25">
      <c r="A590" s="12">
        <v>46047.5</v>
      </c>
      <c r="B590" t="s">
        <v>11</v>
      </c>
      <c r="C590" t="s">
        <v>19</v>
      </c>
      <c r="D590">
        <v>7</v>
      </c>
      <c r="E590">
        <v>20</v>
      </c>
      <c r="F590">
        <v>22.612589240390079</v>
      </c>
      <c r="G590" t="str">
        <f>FLOOR(FinalData[[#This Row],[Temperature_C]],2)&amp;"–"&amp;(FLOOR(FinalData[[#This Row],[Temperature_C]],2)+2)&amp;"°C"</f>
        <v>22–24°C</v>
      </c>
      <c r="H590">
        <v>2.8</v>
      </c>
      <c r="I590">
        <v>2026</v>
      </c>
      <c r="J590">
        <v>1</v>
      </c>
      <c r="K590">
        <v>25</v>
      </c>
      <c r="L590">
        <v>0</v>
      </c>
      <c r="M590">
        <v>12</v>
      </c>
      <c r="N590">
        <v>0.35</v>
      </c>
      <c r="O590">
        <v>0.39999999999999997</v>
      </c>
      <c r="P590" t="s">
        <v>42</v>
      </c>
    </row>
    <row r="591" spans="1:16" hidden="1" x14ac:dyDescent="0.25">
      <c r="A591" s="12">
        <v>46047.541666666664</v>
      </c>
      <c r="B591" t="s">
        <v>11</v>
      </c>
      <c r="C591" t="s">
        <v>15</v>
      </c>
      <c r="D591">
        <v>3</v>
      </c>
      <c r="E591">
        <v>30</v>
      </c>
      <c r="F591">
        <v>25.16839648808709</v>
      </c>
      <c r="G591" t="str">
        <f>FLOOR(FinalData[[#This Row],[Temperature_C]],2)&amp;"–"&amp;(FLOOR(FinalData[[#This Row],[Temperature_C]],2)+2)&amp;"°C"</f>
        <v>24–26°C</v>
      </c>
      <c r="H591">
        <v>2.09</v>
      </c>
      <c r="I591">
        <v>2026</v>
      </c>
      <c r="J591">
        <v>1</v>
      </c>
      <c r="K591">
        <v>25</v>
      </c>
      <c r="L591">
        <v>0</v>
      </c>
      <c r="M591">
        <v>13</v>
      </c>
      <c r="N591">
        <v>0.1</v>
      </c>
      <c r="O591">
        <v>0.69666666666666666</v>
      </c>
      <c r="P591" t="s">
        <v>42</v>
      </c>
    </row>
    <row r="592" spans="1:16" hidden="1" x14ac:dyDescent="0.25">
      <c r="A592" s="12">
        <v>46047.583333333336</v>
      </c>
      <c r="B592" t="s">
        <v>13</v>
      </c>
      <c r="C592" t="s">
        <v>31</v>
      </c>
      <c r="D592">
        <v>9</v>
      </c>
      <c r="E592">
        <v>40</v>
      </c>
      <c r="F592">
        <v>23.512341211388559</v>
      </c>
      <c r="G592" t="str">
        <f>FLOOR(FinalData[[#This Row],[Temperature_C]],2)&amp;"–"&amp;(FLOOR(FinalData[[#This Row],[Temperature_C]],2)+2)&amp;"°C"</f>
        <v>22–24°C</v>
      </c>
      <c r="H592">
        <v>3.63</v>
      </c>
      <c r="I592">
        <v>2026</v>
      </c>
      <c r="J592">
        <v>1</v>
      </c>
      <c r="K592">
        <v>25</v>
      </c>
      <c r="L592">
        <v>0</v>
      </c>
      <c r="M592">
        <v>14</v>
      </c>
      <c r="N592">
        <v>0.22500000000000001</v>
      </c>
      <c r="O592">
        <v>0.40333333333333332</v>
      </c>
      <c r="P592" t="s">
        <v>42</v>
      </c>
    </row>
    <row r="593" spans="1:16" hidden="1" x14ac:dyDescent="0.25">
      <c r="A593" s="12">
        <v>46047.625</v>
      </c>
      <c r="B593" t="s">
        <v>13</v>
      </c>
      <c r="C593" t="s">
        <v>29</v>
      </c>
      <c r="D593">
        <v>9</v>
      </c>
      <c r="E593">
        <v>30</v>
      </c>
      <c r="F593">
        <v>22.305627009775471</v>
      </c>
      <c r="G593" t="str">
        <f>FLOOR(FinalData[[#This Row],[Temperature_C]],2)&amp;"–"&amp;(FLOOR(FinalData[[#This Row],[Temperature_C]],2)+2)&amp;"°C"</f>
        <v>22–24°C</v>
      </c>
      <c r="H593">
        <v>3.33</v>
      </c>
      <c r="I593">
        <v>2026</v>
      </c>
      <c r="J593">
        <v>1</v>
      </c>
      <c r="K593">
        <v>25</v>
      </c>
      <c r="L593">
        <v>0</v>
      </c>
      <c r="M593">
        <v>15</v>
      </c>
      <c r="N593">
        <v>0.3</v>
      </c>
      <c r="O593">
        <v>0.37</v>
      </c>
      <c r="P593" t="s">
        <v>42</v>
      </c>
    </row>
    <row r="594" spans="1:16" hidden="1" x14ac:dyDescent="0.25">
      <c r="A594" s="12">
        <v>46047.666666666664</v>
      </c>
      <c r="B594" t="s">
        <v>9</v>
      </c>
      <c r="C594" t="s">
        <v>28</v>
      </c>
      <c r="D594">
        <v>9</v>
      </c>
      <c r="E594">
        <v>30</v>
      </c>
      <c r="F594">
        <v>22.45039539049462</v>
      </c>
      <c r="G594" t="str">
        <f>FLOOR(FinalData[[#This Row],[Temperature_C]],2)&amp;"–"&amp;(FLOOR(FinalData[[#This Row],[Temperature_C]],2)+2)&amp;"°C"</f>
        <v>22–24°C</v>
      </c>
      <c r="H594">
        <v>2.46</v>
      </c>
      <c r="I594">
        <v>2026</v>
      </c>
      <c r="J594">
        <v>1</v>
      </c>
      <c r="K594">
        <v>25</v>
      </c>
      <c r="L594">
        <v>0</v>
      </c>
      <c r="M594">
        <v>16</v>
      </c>
      <c r="N594">
        <v>0.3</v>
      </c>
      <c r="O594">
        <v>0.27333333333333332</v>
      </c>
      <c r="P594" t="s">
        <v>42</v>
      </c>
    </row>
    <row r="595" spans="1:16" hidden="1" x14ac:dyDescent="0.25">
      <c r="A595" s="12">
        <v>46047.708333333336</v>
      </c>
      <c r="B595" t="s">
        <v>7</v>
      </c>
      <c r="C595" t="s">
        <v>21</v>
      </c>
      <c r="D595">
        <v>13</v>
      </c>
      <c r="E595">
        <v>25</v>
      </c>
      <c r="F595">
        <v>22.90747756546731</v>
      </c>
      <c r="G595" t="str">
        <f>FLOOR(FinalData[[#This Row],[Temperature_C]],2)&amp;"–"&amp;(FLOOR(FinalData[[#This Row],[Temperature_C]],2)+2)&amp;"°C"</f>
        <v>22–24°C</v>
      </c>
      <c r="H595">
        <v>4.22</v>
      </c>
      <c r="I595">
        <v>2026</v>
      </c>
      <c r="J595">
        <v>1</v>
      </c>
      <c r="K595">
        <v>25</v>
      </c>
      <c r="L595">
        <v>0</v>
      </c>
      <c r="M595">
        <v>17</v>
      </c>
      <c r="N595">
        <v>0.52</v>
      </c>
      <c r="O595">
        <v>0.32461538461538458</v>
      </c>
      <c r="P595" t="s">
        <v>43</v>
      </c>
    </row>
    <row r="596" spans="1:16" hidden="1" x14ac:dyDescent="0.25">
      <c r="A596" s="12">
        <v>46047.75</v>
      </c>
      <c r="B596" t="s">
        <v>18</v>
      </c>
      <c r="C596" t="s">
        <v>24</v>
      </c>
      <c r="D596">
        <v>3</v>
      </c>
      <c r="E596">
        <v>25</v>
      </c>
      <c r="F596">
        <v>22.619518311173572</v>
      </c>
      <c r="G596" t="str">
        <f>FLOOR(FinalData[[#This Row],[Temperature_C]],2)&amp;"–"&amp;(FLOOR(FinalData[[#This Row],[Temperature_C]],2)+2)&amp;"°C"</f>
        <v>22–24°C</v>
      </c>
      <c r="H596">
        <v>1.19</v>
      </c>
      <c r="I596">
        <v>2026</v>
      </c>
      <c r="J596">
        <v>1</v>
      </c>
      <c r="K596">
        <v>25</v>
      </c>
      <c r="L596">
        <v>0</v>
      </c>
      <c r="M596">
        <v>18</v>
      </c>
      <c r="N596">
        <v>0.12</v>
      </c>
      <c r="O596">
        <v>0.39666666666666667</v>
      </c>
      <c r="P596" t="s">
        <v>43</v>
      </c>
    </row>
    <row r="597" spans="1:16" hidden="1" x14ac:dyDescent="0.25">
      <c r="A597" s="12">
        <v>46047.791666666664</v>
      </c>
      <c r="B597" t="s">
        <v>13</v>
      </c>
      <c r="C597" t="s">
        <v>22</v>
      </c>
      <c r="D597">
        <v>8</v>
      </c>
      <c r="E597">
        <v>40</v>
      </c>
      <c r="F597">
        <v>22.77701842574978</v>
      </c>
      <c r="G597" t="str">
        <f>FLOOR(FinalData[[#This Row],[Temperature_C]],2)&amp;"–"&amp;(FLOOR(FinalData[[#This Row],[Temperature_C]],2)+2)&amp;"°C"</f>
        <v>22–24°C</v>
      </c>
      <c r="H597">
        <v>3.35</v>
      </c>
      <c r="I597">
        <v>2026</v>
      </c>
      <c r="J597">
        <v>1</v>
      </c>
      <c r="K597">
        <v>25</v>
      </c>
      <c r="L597">
        <v>0</v>
      </c>
      <c r="M597">
        <v>19</v>
      </c>
      <c r="N597">
        <v>0.2</v>
      </c>
      <c r="O597">
        <v>0.41875000000000001</v>
      </c>
      <c r="P597" t="s">
        <v>43</v>
      </c>
    </row>
    <row r="598" spans="1:16" hidden="1" x14ac:dyDescent="0.25">
      <c r="A598" s="12">
        <v>46047.833333333336</v>
      </c>
      <c r="B598" t="s">
        <v>11</v>
      </c>
      <c r="C598" t="s">
        <v>28</v>
      </c>
      <c r="D598">
        <v>11</v>
      </c>
      <c r="E598">
        <v>25</v>
      </c>
      <c r="F598">
        <v>24.3193995398616</v>
      </c>
      <c r="G598" t="str">
        <f>FLOOR(FinalData[[#This Row],[Temperature_C]],2)&amp;"–"&amp;(FLOOR(FinalData[[#This Row],[Temperature_C]],2)+2)&amp;"°C"</f>
        <v>24–26°C</v>
      </c>
      <c r="H598">
        <v>3.58</v>
      </c>
      <c r="I598">
        <v>2026</v>
      </c>
      <c r="J598">
        <v>1</v>
      </c>
      <c r="K598">
        <v>25</v>
      </c>
      <c r="L598">
        <v>0</v>
      </c>
      <c r="M598">
        <v>20</v>
      </c>
      <c r="N598">
        <v>0.44</v>
      </c>
      <c r="O598">
        <v>0.32545454545454544</v>
      </c>
      <c r="P598" t="s">
        <v>43</v>
      </c>
    </row>
    <row r="599" spans="1:16" hidden="1" x14ac:dyDescent="0.25">
      <c r="A599" s="12">
        <v>46047.875</v>
      </c>
      <c r="B599" t="s">
        <v>11</v>
      </c>
      <c r="C599" t="s">
        <v>16</v>
      </c>
      <c r="D599">
        <v>9</v>
      </c>
      <c r="E599">
        <v>30</v>
      </c>
      <c r="F599">
        <v>22.28976686911378</v>
      </c>
      <c r="G599" t="str">
        <f>FLOOR(FinalData[[#This Row],[Temperature_C]],2)&amp;"–"&amp;(FLOOR(FinalData[[#This Row],[Temperature_C]],2)+2)&amp;"°C"</f>
        <v>22–24°C</v>
      </c>
      <c r="H599">
        <v>2.7</v>
      </c>
      <c r="I599">
        <v>2026</v>
      </c>
      <c r="J599">
        <v>1</v>
      </c>
      <c r="K599">
        <v>25</v>
      </c>
      <c r="L599">
        <v>0</v>
      </c>
      <c r="M599">
        <v>21</v>
      </c>
      <c r="N599">
        <v>0.3</v>
      </c>
      <c r="O599">
        <v>0.30000000000000004</v>
      </c>
      <c r="P599" t="s">
        <v>40</v>
      </c>
    </row>
    <row r="600" spans="1:16" hidden="1" x14ac:dyDescent="0.25">
      <c r="A600" s="12">
        <v>46047.916666666664</v>
      </c>
      <c r="B600" t="s">
        <v>9</v>
      </c>
      <c r="C600" t="s">
        <v>17</v>
      </c>
      <c r="D600">
        <v>7</v>
      </c>
      <c r="E600">
        <v>20</v>
      </c>
      <c r="F600">
        <v>25.184205922038672</v>
      </c>
      <c r="G600" t="str">
        <f>FLOOR(FinalData[[#This Row],[Temperature_C]],2)&amp;"–"&amp;(FLOOR(FinalData[[#This Row],[Temperature_C]],2)+2)&amp;"°C"</f>
        <v>24–26°C</v>
      </c>
      <c r="H600">
        <v>2.58</v>
      </c>
      <c r="I600">
        <v>2026</v>
      </c>
      <c r="J600">
        <v>1</v>
      </c>
      <c r="K600">
        <v>25</v>
      </c>
      <c r="L600">
        <v>0</v>
      </c>
      <c r="M600">
        <v>22</v>
      </c>
      <c r="N600">
        <v>0.35</v>
      </c>
      <c r="O600">
        <v>0.36857142857142861</v>
      </c>
      <c r="P600" t="s">
        <v>40</v>
      </c>
    </row>
    <row r="601" spans="1:16" hidden="1" x14ac:dyDescent="0.25">
      <c r="A601" s="12">
        <v>46047.958333333336</v>
      </c>
      <c r="B601" t="s">
        <v>11</v>
      </c>
      <c r="C601" t="s">
        <v>19</v>
      </c>
      <c r="D601">
        <v>8</v>
      </c>
      <c r="E601">
        <v>30</v>
      </c>
      <c r="F601">
        <v>20.624469520164951</v>
      </c>
      <c r="G601" t="str">
        <f>FLOOR(FinalData[[#This Row],[Temperature_C]],2)&amp;"–"&amp;(FLOOR(FinalData[[#This Row],[Temperature_C]],2)+2)&amp;"°C"</f>
        <v>20–22°C</v>
      </c>
      <c r="H601">
        <v>2.89</v>
      </c>
      <c r="I601">
        <v>2026</v>
      </c>
      <c r="J601">
        <v>1</v>
      </c>
      <c r="K601">
        <v>25</v>
      </c>
      <c r="L601">
        <v>0</v>
      </c>
      <c r="M601">
        <v>23</v>
      </c>
      <c r="N601">
        <v>0.26666666666666666</v>
      </c>
      <c r="O601">
        <v>0.36125000000000002</v>
      </c>
      <c r="P601" t="s">
        <v>40</v>
      </c>
    </row>
    <row r="602" spans="1:16" hidden="1" x14ac:dyDescent="0.25">
      <c r="A602" s="12">
        <v>46048</v>
      </c>
      <c r="B602" t="s">
        <v>13</v>
      </c>
      <c r="C602" t="s">
        <v>31</v>
      </c>
      <c r="D602">
        <v>9</v>
      </c>
      <c r="E602">
        <v>40</v>
      </c>
      <c r="F602">
        <v>21.47162642672431</v>
      </c>
      <c r="G602" t="str">
        <f>FLOOR(FinalData[[#This Row],[Temperature_C]],2)&amp;"–"&amp;(FLOOR(FinalData[[#This Row],[Temperature_C]],2)+2)&amp;"°C"</f>
        <v>20–22°C</v>
      </c>
      <c r="H602">
        <v>3.39</v>
      </c>
      <c r="I602">
        <v>2026</v>
      </c>
      <c r="J602">
        <v>1</v>
      </c>
      <c r="K602">
        <v>26</v>
      </c>
      <c r="L602">
        <v>1</v>
      </c>
      <c r="M602">
        <v>0</v>
      </c>
      <c r="N602">
        <v>0.22500000000000001</v>
      </c>
      <c r="O602">
        <v>0.37666666666666671</v>
      </c>
      <c r="P602" t="s">
        <v>40</v>
      </c>
    </row>
    <row r="603" spans="1:16" hidden="1" x14ac:dyDescent="0.25">
      <c r="A603" s="12">
        <v>46048.041666666664</v>
      </c>
      <c r="B603" t="s">
        <v>9</v>
      </c>
      <c r="C603" t="s">
        <v>25</v>
      </c>
      <c r="D603">
        <v>8</v>
      </c>
      <c r="E603">
        <v>25</v>
      </c>
      <c r="F603">
        <v>16.857698024201941</v>
      </c>
      <c r="G603" t="str">
        <f>FLOOR(FinalData[[#This Row],[Temperature_C]],2)&amp;"–"&amp;(FLOOR(FinalData[[#This Row],[Temperature_C]],2)+2)&amp;"°C"</f>
        <v>16–18°C</v>
      </c>
      <c r="H603">
        <v>3.8</v>
      </c>
      <c r="I603">
        <v>2026</v>
      </c>
      <c r="J603">
        <v>1</v>
      </c>
      <c r="K603">
        <v>26</v>
      </c>
      <c r="L603">
        <v>1</v>
      </c>
      <c r="M603">
        <v>1</v>
      </c>
      <c r="N603">
        <v>0.32</v>
      </c>
      <c r="O603">
        <v>0.47499999999999998</v>
      </c>
      <c r="P603" t="s">
        <v>40</v>
      </c>
    </row>
    <row r="604" spans="1:16" hidden="1" x14ac:dyDescent="0.25">
      <c r="A604" s="12">
        <v>46048.083333333336</v>
      </c>
      <c r="B604" t="s">
        <v>13</v>
      </c>
      <c r="C604" t="s">
        <v>28</v>
      </c>
      <c r="D604">
        <v>7</v>
      </c>
      <c r="E604">
        <v>20</v>
      </c>
      <c r="F604">
        <v>20.086637117351831</v>
      </c>
      <c r="G604" t="str">
        <f>FLOOR(FinalData[[#This Row],[Temperature_C]],2)&amp;"–"&amp;(FLOOR(FinalData[[#This Row],[Temperature_C]],2)+2)&amp;"°C"</f>
        <v>20–22°C</v>
      </c>
      <c r="H604">
        <v>2.71</v>
      </c>
      <c r="I604">
        <v>2026</v>
      </c>
      <c r="J604">
        <v>1</v>
      </c>
      <c r="K604">
        <v>26</v>
      </c>
      <c r="L604">
        <v>1</v>
      </c>
      <c r="M604">
        <v>2</v>
      </c>
      <c r="N604">
        <v>0.35</v>
      </c>
      <c r="O604">
        <v>0.38714285714285712</v>
      </c>
      <c r="P604" t="s">
        <v>40</v>
      </c>
    </row>
    <row r="605" spans="1:16" hidden="1" x14ac:dyDescent="0.25">
      <c r="A605" s="12">
        <v>46048.125</v>
      </c>
      <c r="B605" t="s">
        <v>7</v>
      </c>
      <c r="C605" t="s">
        <v>12</v>
      </c>
      <c r="D605">
        <v>4</v>
      </c>
      <c r="E605">
        <v>25</v>
      </c>
      <c r="F605">
        <v>24.375865944102859</v>
      </c>
      <c r="G605" t="str">
        <f>FLOOR(FinalData[[#This Row],[Temperature_C]],2)&amp;"–"&amp;(FLOOR(FinalData[[#This Row],[Temperature_C]],2)+2)&amp;"°C"</f>
        <v>24–26°C</v>
      </c>
      <c r="H605">
        <v>1.97</v>
      </c>
      <c r="I605">
        <v>2026</v>
      </c>
      <c r="J605">
        <v>1</v>
      </c>
      <c r="K605">
        <v>26</v>
      </c>
      <c r="L605">
        <v>1</v>
      </c>
      <c r="M605">
        <v>3</v>
      </c>
      <c r="N605">
        <v>0.16</v>
      </c>
      <c r="O605">
        <v>0.49249999999999999</v>
      </c>
      <c r="P605" t="s">
        <v>40</v>
      </c>
    </row>
    <row r="606" spans="1:16" hidden="1" x14ac:dyDescent="0.25">
      <c r="A606" s="12">
        <v>46048.166666666664</v>
      </c>
      <c r="B606" t="s">
        <v>11</v>
      </c>
      <c r="C606" t="s">
        <v>17</v>
      </c>
      <c r="D606">
        <v>8</v>
      </c>
      <c r="E606">
        <v>30</v>
      </c>
      <c r="F606">
        <v>23.43044146590044</v>
      </c>
      <c r="G606" t="str">
        <f>FLOOR(FinalData[[#This Row],[Temperature_C]],2)&amp;"–"&amp;(FLOOR(FinalData[[#This Row],[Temperature_C]],2)+2)&amp;"°C"</f>
        <v>22–24°C</v>
      </c>
      <c r="H606">
        <v>3.24</v>
      </c>
      <c r="I606">
        <v>2026</v>
      </c>
      <c r="J606">
        <v>1</v>
      </c>
      <c r="K606">
        <v>26</v>
      </c>
      <c r="L606">
        <v>1</v>
      </c>
      <c r="M606">
        <v>4</v>
      </c>
      <c r="N606">
        <v>0.26666666666666666</v>
      </c>
      <c r="O606">
        <v>0.40500000000000003</v>
      </c>
      <c r="P606" t="s">
        <v>40</v>
      </c>
    </row>
    <row r="607" spans="1:16" hidden="1" x14ac:dyDescent="0.25">
      <c r="A607" s="12">
        <v>46048.208333333336</v>
      </c>
      <c r="B607" t="s">
        <v>9</v>
      </c>
      <c r="C607" t="s">
        <v>27</v>
      </c>
      <c r="D607">
        <v>6</v>
      </c>
      <c r="E607">
        <v>30</v>
      </c>
      <c r="F607">
        <v>26.40918418659475</v>
      </c>
      <c r="G607" t="str">
        <f>FLOOR(FinalData[[#This Row],[Temperature_C]],2)&amp;"–"&amp;(FLOOR(FinalData[[#This Row],[Temperature_C]],2)+2)&amp;"°C"</f>
        <v>26–28°C</v>
      </c>
      <c r="H607">
        <v>2.63</v>
      </c>
      <c r="I607">
        <v>2026</v>
      </c>
      <c r="J607">
        <v>1</v>
      </c>
      <c r="K607">
        <v>26</v>
      </c>
      <c r="L607">
        <v>1</v>
      </c>
      <c r="M607">
        <v>5</v>
      </c>
      <c r="N607">
        <v>0.2</v>
      </c>
      <c r="O607">
        <v>0.4383333333333333</v>
      </c>
      <c r="P607" t="s">
        <v>40</v>
      </c>
    </row>
    <row r="608" spans="1:16" hidden="1" x14ac:dyDescent="0.25">
      <c r="A608" s="12">
        <v>46048.25</v>
      </c>
      <c r="B608" t="s">
        <v>13</v>
      </c>
      <c r="C608" t="s">
        <v>22</v>
      </c>
      <c r="D608">
        <v>7</v>
      </c>
      <c r="E608">
        <v>25</v>
      </c>
      <c r="F608">
        <v>25.180366942040891</v>
      </c>
      <c r="G608" t="str">
        <f>FLOOR(FinalData[[#This Row],[Temperature_C]],2)&amp;"–"&amp;(FLOOR(FinalData[[#This Row],[Temperature_C]],2)+2)&amp;"°C"</f>
        <v>24–26°C</v>
      </c>
      <c r="H608">
        <v>2.8</v>
      </c>
      <c r="I608">
        <v>2026</v>
      </c>
      <c r="J608">
        <v>1</v>
      </c>
      <c r="K608">
        <v>26</v>
      </c>
      <c r="L608">
        <v>1</v>
      </c>
      <c r="M608">
        <v>6</v>
      </c>
      <c r="N608">
        <v>0.28000000000000003</v>
      </c>
      <c r="O608">
        <v>0.39999999999999997</v>
      </c>
      <c r="P608" t="s">
        <v>40</v>
      </c>
    </row>
    <row r="609" spans="1:16" x14ac:dyDescent="0.25">
      <c r="A609" s="12">
        <v>46048.291666666664</v>
      </c>
      <c r="B609" t="s">
        <v>11</v>
      </c>
      <c r="C609" t="s">
        <v>14</v>
      </c>
      <c r="D609">
        <v>8</v>
      </c>
      <c r="E609">
        <v>25</v>
      </c>
      <c r="F609">
        <v>23.825961131050089</v>
      </c>
      <c r="G609" t="str">
        <f>FLOOR(FinalData[[#This Row],[Temperature_C]],2)&amp;"–"&amp;(FLOOR(FinalData[[#This Row],[Temperature_C]],2)+2)&amp;"°C"</f>
        <v>22–24°C</v>
      </c>
      <c r="H609">
        <v>2.99</v>
      </c>
      <c r="I609">
        <v>2026</v>
      </c>
      <c r="J609">
        <v>1</v>
      </c>
      <c r="K609">
        <v>26</v>
      </c>
      <c r="L609">
        <v>1</v>
      </c>
      <c r="M609">
        <v>7</v>
      </c>
      <c r="N609">
        <v>0.32</v>
      </c>
      <c r="O609">
        <v>0.37375000000000003</v>
      </c>
      <c r="P609" t="s">
        <v>41</v>
      </c>
    </row>
    <row r="610" spans="1:16" hidden="1" x14ac:dyDescent="0.25">
      <c r="A610" s="12">
        <v>46048.333333333336</v>
      </c>
      <c r="B610" t="s">
        <v>13</v>
      </c>
      <c r="C610" t="s">
        <v>27</v>
      </c>
      <c r="D610">
        <v>4</v>
      </c>
      <c r="E610">
        <v>40</v>
      </c>
      <c r="F610">
        <v>22.035372858127399</v>
      </c>
      <c r="G610" t="str">
        <f>FLOOR(FinalData[[#This Row],[Temperature_C]],2)&amp;"–"&amp;(FLOOR(FinalData[[#This Row],[Temperature_C]],2)+2)&amp;"°C"</f>
        <v>22–24°C</v>
      </c>
      <c r="H610">
        <v>2.14</v>
      </c>
      <c r="I610">
        <v>2026</v>
      </c>
      <c r="J610">
        <v>1</v>
      </c>
      <c r="K610">
        <v>26</v>
      </c>
      <c r="L610">
        <v>1</v>
      </c>
      <c r="M610">
        <v>8</v>
      </c>
      <c r="N610">
        <v>0.1</v>
      </c>
      <c r="O610">
        <v>0.53500000000000003</v>
      </c>
      <c r="P610" t="s">
        <v>41</v>
      </c>
    </row>
    <row r="611" spans="1:16" hidden="1" x14ac:dyDescent="0.25">
      <c r="A611" s="12">
        <v>46048.375</v>
      </c>
      <c r="B611" t="s">
        <v>7</v>
      </c>
      <c r="C611" t="s">
        <v>31</v>
      </c>
      <c r="D611">
        <v>12</v>
      </c>
      <c r="E611">
        <v>25</v>
      </c>
      <c r="F611">
        <v>20.1774899896606</v>
      </c>
      <c r="G611" t="str">
        <f>FLOOR(FinalData[[#This Row],[Temperature_C]],2)&amp;"–"&amp;(FLOOR(FinalData[[#This Row],[Temperature_C]],2)+2)&amp;"°C"</f>
        <v>20–22°C</v>
      </c>
      <c r="H611">
        <v>4.03</v>
      </c>
      <c r="I611">
        <v>2026</v>
      </c>
      <c r="J611">
        <v>1</v>
      </c>
      <c r="K611">
        <v>26</v>
      </c>
      <c r="L611">
        <v>1</v>
      </c>
      <c r="M611">
        <v>9</v>
      </c>
      <c r="N611">
        <v>0.48</v>
      </c>
      <c r="O611">
        <v>0.33583333333333337</v>
      </c>
      <c r="P611" t="s">
        <v>41</v>
      </c>
    </row>
    <row r="612" spans="1:16" hidden="1" x14ac:dyDescent="0.25">
      <c r="A612" s="12">
        <v>46048.416666666664</v>
      </c>
      <c r="B612" t="s">
        <v>18</v>
      </c>
      <c r="C612" t="s">
        <v>25</v>
      </c>
      <c r="D612">
        <v>8</v>
      </c>
      <c r="E612">
        <v>30</v>
      </c>
      <c r="F612">
        <v>23.330807320599408</v>
      </c>
      <c r="G612" t="str">
        <f>FLOOR(FinalData[[#This Row],[Temperature_C]],2)&amp;"–"&amp;(FLOOR(FinalData[[#This Row],[Temperature_C]],2)+2)&amp;"°C"</f>
        <v>22–24°C</v>
      </c>
      <c r="H612">
        <v>2.59</v>
      </c>
      <c r="I612">
        <v>2026</v>
      </c>
      <c r="J612">
        <v>1</v>
      </c>
      <c r="K612">
        <v>26</v>
      </c>
      <c r="L612">
        <v>1</v>
      </c>
      <c r="M612">
        <v>10</v>
      </c>
      <c r="N612">
        <v>0.26666666666666666</v>
      </c>
      <c r="O612">
        <v>0.32374999999999998</v>
      </c>
      <c r="P612" t="s">
        <v>41</v>
      </c>
    </row>
    <row r="613" spans="1:16" hidden="1" x14ac:dyDescent="0.25">
      <c r="A613" s="12">
        <v>46048.458333333336</v>
      </c>
      <c r="B613" t="s">
        <v>18</v>
      </c>
      <c r="C613" t="s">
        <v>17</v>
      </c>
      <c r="D613">
        <v>7</v>
      </c>
      <c r="E613">
        <v>40</v>
      </c>
      <c r="F613">
        <v>22.545787984438149</v>
      </c>
      <c r="G613" t="str">
        <f>FLOOR(FinalData[[#This Row],[Temperature_C]],2)&amp;"–"&amp;(FLOOR(FinalData[[#This Row],[Temperature_C]],2)+2)&amp;"°C"</f>
        <v>22–24°C</v>
      </c>
      <c r="H613">
        <v>2.59</v>
      </c>
      <c r="I613">
        <v>2026</v>
      </c>
      <c r="J613">
        <v>1</v>
      </c>
      <c r="K613">
        <v>26</v>
      </c>
      <c r="L613">
        <v>1</v>
      </c>
      <c r="M613">
        <v>11</v>
      </c>
      <c r="N613">
        <v>0.17499999999999999</v>
      </c>
      <c r="O613">
        <v>0.37</v>
      </c>
      <c r="P613" t="s">
        <v>41</v>
      </c>
    </row>
    <row r="614" spans="1:16" hidden="1" x14ac:dyDescent="0.25">
      <c r="A614" s="12">
        <v>46048.5</v>
      </c>
      <c r="B614" t="s">
        <v>11</v>
      </c>
      <c r="C614" t="s">
        <v>23</v>
      </c>
      <c r="D614">
        <v>9</v>
      </c>
      <c r="E614">
        <v>30</v>
      </c>
      <c r="F614">
        <v>20.52087542783952</v>
      </c>
      <c r="G614" t="str">
        <f>FLOOR(FinalData[[#This Row],[Temperature_C]],2)&amp;"–"&amp;(FLOOR(FinalData[[#This Row],[Temperature_C]],2)+2)&amp;"°C"</f>
        <v>20–22°C</v>
      </c>
      <c r="H614">
        <v>2.82</v>
      </c>
      <c r="I614">
        <v>2026</v>
      </c>
      <c r="J614">
        <v>1</v>
      </c>
      <c r="K614">
        <v>26</v>
      </c>
      <c r="L614">
        <v>1</v>
      </c>
      <c r="M614">
        <v>12</v>
      </c>
      <c r="N614">
        <v>0.3</v>
      </c>
      <c r="O614">
        <v>0.3133333333333333</v>
      </c>
      <c r="P614" t="s">
        <v>42</v>
      </c>
    </row>
    <row r="615" spans="1:16" hidden="1" x14ac:dyDescent="0.25">
      <c r="A615" s="12">
        <v>46048.541666666664</v>
      </c>
      <c r="B615" t="s">
        <v>9</v>
      </c>
      <c r="C615" t="s">
        <v>19</v>
      </c>
      <c r="D615">
        <v>1</v>
      </c>
      <c r="E615">
        <v>20</v>
      </c>
      <c r="F615">
        <v>21.508115747048802</v>
      </c>
      <c r="G615" t="str">
        <f>FLOOR(FinalData[[#This Row],[Temperature_C]],2)&amp;"–"&amp;(FLOOR(FinalData[[#This Row],[Temperature_C]],2)+2)&amp;"°C"</f>
        <v>20–22°C</v>
      </c>
      <c r="H615">
        <v>0.93</v>
      </c>
      <c r="I615">
        <v>2026</v>
      </c>
      <c r="J615">
        <v>1</v>
      </c>
      <c r="K615">
        <v>26</v>
      </c>
      <c r="L615">
        <v>1</v>
      </c>
      <c r="M615">
        <v>13</v>
      </c>
      <c r="N615">
        <v>0.05</v>
      </c>
      <c r="O615">
        <v>0.93</v>
      </c>
      <c r="P615" t="s">
        <v>42</v>
      </c>
    </row>
    <row r="616" spans="1:16" hidden="1" x14ac:dyDescent="0.25">
      <c r="A616" s="12">
        <v>46048.583333333336</v>
      </c>
      <c r="B616" t="s">
        <v>7</v>
      </c>
      <c r="C616" t="s">
        <v>14</v>
      </c>
      <c r="D616">
        <v>7</v>
      </c>
      <c r="E616">
        <v>25</v>
      </c>
      <c r="F616">
        <v>25.58412066865305</v>
      </c>
      <c r="G616" t="str">
        <f>FLOOR(FinalData[[#This Row],[Temperature_C]],2)&amp;"–"&amp;(FLOOR(FinalData[[#This Row],[Temperature_C]],2)+2)&amp;"°C"</f>
        <v>24–26°C</v>
      </c>
      <c r="H616">
        <v>2.86</v>
      </c>
      <c r="I616">
        <v>2026</v>
      </c>
      <c r="J616">
        <v>1</v>
      </c>
      <c r="K616">
        <v>26</v>
      </c>
      <c r="L616">
        <v>1</v>
      </c>
      <c r="M616">
        <v>14</v>
      </c>
      <c r="N616">
        <v>0.28000000000000003</v>
      </c>
      <c r="O616">
        <v>0.40857142857142853</v>
      </c>
      <c r="P616" t="s">
        <v>42</v>
      </c>
    </row>
    <row r="617" spans="1:16" hidden="1" x14ac:dyDescent="0.25">
      <c r="A617" s="12">
        <v>46048.625</v>
      </c>
      <c r="B617" t="s">
        <v>7</v>
      </c>
      <c r="C617" t="s">
        <v>17</v>
      </c>
      <c r="D617">
        <v>9</v>
      </c>
      <c r="E617">
        <v>40</v>
      </c>
      <c r="F617">
        <v>20.535137521671999</v>
      </c>
      <c r="G617" t="str">
        <f>FLOOR(FinalData[[#This Row],[Temperature_C]],2)&amp;"–"&amp;(FLOOR(FinalData[[#This Row],[Temperature_C]],2)+2)&amp;"°C"</f>
        <v>20–22°C</v>
      </c>
      <c r="H617">
        <v>3.56</v>
      </c>
      <c r="I617">
        <v>2026</v>
      </c>
      <c r="J617">
        <v>1</v>
      </c>
      <c r="K617">
        <v>26</v>
      </c>
      <c r="L617">
        <v>1</v>
      </c>
      <c r="M617">
        <v>15</v>
      </c>
      <c r="N617">
        <v>0.22500000000000001</v>
      </c>
      <c r="O617">
        <v>0.39555555555555555</v>
      </c>
      <c r="P617" t="s">
        <v>42</v>
      </c>
    </row>
    <row r="618" spans="1:16" hidden="1" x14ac:dyDescent="0.25">
      <c r="A618" s="12">
        <v>46048.666666666664</v>
      </c>
      <c r="B618" t="s">
        <v>11</v>
      </c>
      <c r="C618" t="s">
        <v>26</v>
      </c>
      <c r="D618">
        <v>11</v>
      </c>
      <c r="E618">
        <v>30</v>
      </c>
      <c r="F618">
        <v>22.65474173141833</v>
      </c>
      <c r="G618" t="str">
        <f>FLOOR(FinalData[[#This Row],[Temperature_C]],2)&amp;"–"&amp;(FLOOR(FinalData[[#This Row],[Temperature_C]],2)+2)&amp;"°C"</f>
        <v>22–24°C</v>
      </c>
      <c r="H618">
        <v>3.84</v>
      </c>
      <c r="I618">
        <v>2026</v>
      </c>
      <c r="J618">
        <v>1</v>
      </c>
      <c r="K618">
        <v>26</v>
      </c>
      <c r="L618">
        <v>1</v>
      </c>
      <c r="M618">
        <v>16</v>
      </c>
      <c r="N618">
        <v>0.36666666666666664</v>
      </c>
      <c r="O618">
        <v>0.34909090909090906</v>
      </c>
      <c r="P618" t="s">
        <v>42</v>
      </c>
    </row>
    <row r="619" spans="1:16" hidden="1" x14ac:dyDescent="0.25">
      <c r="A619" s="12">
        <v>46048.708333333336</v>
      </c>
      <c r="B619" t="s">
        <v>13</v>
      </c>
      <c r="C619" t="s">
        <v>31</v>
      </c>
      <c r="D619">
        <v>7</v>
      </c>
      <c r="E619">
        <v>20</v>
      </c>
      <c r="F619">
        <v>20.908941028651899</v>
      </c>
      <c r="G619" t="str">
        <f>FLOOR(FinalData[[#This Row],[Temperature_C]],2)&amp;"–"&amp;(FLOOR(FinalData[[#This Row],[Temperature_C]],2)+2)&amp;"°C"</f>
        <v>20–22°C</v>
      </c>
      <c r="H619">
        <v>2.71</v>
      </c>
      <c r="I619">
        <v>2026</v>
      </c>
      <c r="J619">
        <v>1</v>
      </c>
      <c r="K619">
        <v>26</v>
      </c>
      <c r="L619">
        <v>1</v>
      </c>
      <c r="M619">
        <v>17</v>
      </c>
      <c r="N619">
        <v>0.35</v>
      </c>
      <c r="O619">
        <v>0.38714285714285712</v>
      </c>
      <c r="P619" t="s">
        <v>43</v>
      </c>
    </row>
    <row r="620" spans="1:16" hidden="1" x14ac:dyDescent="0.25">
      <c r="A620" s="12">
        <v>46048.75</v>
      </c>
      <c r="B620" t="s">
        <v>9</v>
      </c>
      <c r="C620" t="s">
        <v>20</v>
      </c>
      <c r="D620">
        <v>10</v>
      </c>
      <c r="E620">
        <v>25</v>
      </c>
      <c r="F620">
        <v>20.565039625528328</v>
      </c>
      <c r="G620" t="str">
        <f>FLOOR(FinalData[[#This Row],[Temperature_C]],2)&amp;"–"&amp;(FLOOR(FinalData[[#This Row],[Temperature_C]],2)+2)&amp;"°C"</f>
        <v>20–22°C</v>
      </c>
      <c r="H620">
        <v>3.51</v>
      </c>
      <c r="I620">
        <v>2026</v>
      </c>
      <c r="J620">
        <v>1</v>
      </c>
      <c r="K620">
        <v>26</v>
      </c>
      <c r="L620">
        <v>1</v>
      </c>
      <c r="M620">
        <v>18</v>
      </c>
      <c r="N620">
        <v>0.4</v>
      </c>
      <c r="O620">
        <v>0.35099999999999998</v>
      </c>
      <c r="P620" t="s">
        <v>43</v>
      </c>
    </row>
    <row r="621" spans="1:16" hidden="1" x14ac:dyDescent="0.25">
      <c r="A621" s="12">
        <v>46048.791666666664</v>
      </c>
      <c r="B621" t="s">
        <v>7</v>
      </c>
      <c r="C621" t="s">
        <v>31</v>
      </c>
      <c r="D621">
        <v>6</v>
      </c>
      <c r="E621">
        <v>20</v>
      </c>
      <c r="F621">
        <v>26.800536848621931</v>
      </c>
      <c r="G621" t="str">
        <f>FLOOR(FinalData[[#This Row],[Temperature_C]],2)&amp;"–"&amp;(FLOOR(FinalData[[#This Row],[Temperature_C]],2)+2)&amp;"°C"</f>
        <v>26–28°C</v>
      </c>
      <c r="H621">
        <v>3.33</v>
      </c>
      <c r="I621">
        <v>2026</v>
      </c>
      <c r="J621">
        <v>1</v>
      </c>
      <c r="K621">
        <v>26</v>
      </c>
      <c r="L621">
        <v>1</v>
      </c>
      <c r="M621">
        <v>19</v>
      </c>
      <c r="N621">
        <v>0.3</v>
      </c>
      <c r="O621">
        <v>0.55500000000000005</v>
      </c>
      <c r="P621" t="s">
        <v>43</v>
      </c>
    </row>
    <row r="622" spans="1:16" hidden="1" x14ac:dyDescent="0.25">
      <c r="A622" s="12">
        <v>46048.833333333336</v>
      </c>
      <c r="B622" t="s">
        <v>9</v>
      </c>
      <c r="C622" t="s">
        <v>28</v>
      </c>
      <c r="D622">
        <v>7</v>
      </c>
      <c r="E622">
        <v>30</v>
      </c>
      <c r="F622">
        <v>25.372290948084601</v>
      </c>
      <c r="G622" t="str">
        <f>FLOOR(FinalData[[#This Row],[Temperature_C]],2)&amp;"–"&amp;(FLOOR(FinalData[[#This Row],[Temperature_C]],2)+2)&amp;"°C"</f>
        <v>24–26°C</v>
      </c>
      <c r="H622">
        <v>3.52</v>
      </c>
      <c r="I622">
        <v>2026</v>
      </c>
      <c r="J622">
        <v>1</v>
      </c>
      <c r="K622">
        <v>26</v>
      </c>
      <c r="L622">
        <v>1</v>
      </c>
      <c r="M622">
        <v>20</v>
      </c>
      <c r="N622">
        <v>0.23333333333333334</v>
      </c>
      <c r="O622">
        <v>0.50285714285714289</v>
      </c>
      <c r="P622" t="s">
        <v>43</v>
      </c>
    </row>
    <row r="623" spans="1:16" hidden="1" x14ac:dyDescent="0.25">
      <c r="A623" s="12">
        <v>46048.875</v>
      </c>
      <c r="B623" t="s">
        <v>9</v>
      </c>
      <c r="C623" t="s">
        <v>21</v>
      </c>
      <c r="D623">
        <v>5</v>
      </c>
      <c r="E623">
        <v>20</v>
      </c>
      <c r="F623">
        <v>25.24986509060648</v>
      </c>
      <c r="G623" t="str">
        <f>FLOOR(FinalData[[#This Row],[Temperature_C]],2)&amp;"–"&amp;(FLOOR(FinalData[[#This Row],[Temperature_C]],2)+2)&amp;"°C"</f>
        <v>24–26°C</v>
      </c>
      <c r="H623">
        <v>2.0099999999999998</v>
      </c>
      <c r="I623">
        <v>2026</v>
      </c>
      <c r="J623">
        <v>1</v>
      </c>
      <c r="K623">
        <v>26</v>
      </c>
      <c r="L623">
        <v>1</v>
      </c>
      <c r="M623">
        <v>21</v>
      </c>
      <c r="N623">
        <v>0.25</v>
      </c>
      <c r="O623">
        <v>0.40199999999999997</v>
      </c>
      <c r="P623" t="s">
        <v>40</v>
      </c>
    </row>
    <row r="624" spans="1:16" hidden="1" x14ac:dyDescent="0.25">
      <c r="A624" s="12">
        <v>46048.916666666664</v>
      </c>
      <c r="B624" t="s">
        <v>7</v>
      </c>
      <c r="C624" t="s">
        <v>20</v>
      </c>
      <c r="D624">
        <v>4</v>
      </c>
      <c r="E624">
        <v>20</v>
      </c>
      <c r="F624">
        <v>20.112885931632551</v>
      </c>
      <c r="G624" t="str">
        <f>FLOOR(FinalData[[#This Row],[Temperature_C]],2)&amp;"–"&amp;(FLOOR(FinalData[[#This Row],[Temperature_C]],2)+2)&amp;"°C"</f>
        <v>20–22°C</v>
      </c>
      <c r="H624">
        <v>2.29</v>
      </c>
      <c r="I624">
        <v>2026</v>
      </c>
      <c r="J624">
        <v>1</v>
      </c>
      <c r="K624">
        <v>26</v>
      </c>
      <c r="L624">
        <v>1</v>
      </c>
      <c r="M624">
        <v>22</v>
      </c>
      <c r="N624">
        <v>0.2</v>
      </c>
      <c r="O624">
        <v>0.57250000000000001</v>
      </c>
      <c r="P624" t="s">
        <v>40</v>
      </c>
    </row>
    <row r="625" spans="1:16" hidden="1" x14ac:dyDescent="0.25">
      <c r="A625" s="12">
        <v>46048.958333333336</v>
      </c>
      <c r="B625" t="s">
        <v>11</v>
      </c>
      <c r="C625" t="s">
        <v>30</v>
      </c>
      <c r="D625">
        <v>4</v>
      </c>
      <c r="E625">
        <v>40</v>
      </c>
      <c r="F625">
        <v>23.837519920254991</v>
      </c>
      <c r="G625" t="str">
        <f>FLOOR(FinalData[[#This Row],[Temperature_C]],2)&amp;"–"&amp;(FLOOR(FinalData[[#This Row],[Temperature_C]],2)+2)&amp;"°C"</f>
        <v>22–24°C</v>
      </c>
      <c r="H625">
        <v>2.14</v>
      </c>
      <c r="I625">
        <v>2026</v>
      </c>
      <c r="J625">
        <v>1</v>
      </c>
      <c r="K625">
        <v>26</v>
      </c>
      <c r="L625">
        <v>1</v>
      </c>
      <c r="M625">
        <v>23</v>
      </c>
      <c r="N625">
        <v>0.1</v>
      </c>
      <c r="O625">
        <v>0.53500000000000003</v>
      </c>
      <c r="P625" t="s">
        <v>40</v>
      </c>
    </row>
    <row r="626" spans="1:16" hidden="1" x14ac:dyDescent="0.25">
      <c r="A626" s="12">
        <v>46049</v>
      </c>
      <c r="B626" t="s">
        <v>9</v>
      </c>
      <c r="C626" t="s">
        <v>29</v>
      </c>
      <c r="D626">
        <v>9</v>
      </c>
      <c r="E626">
        <v>25</v>
      </c>
      <c r="F626">
        <v>25.077212138417629</v>
      </c>
      <c r="G626" t="str">
        <f>FLOOR(FinalData[[#This Row],[Temperature_C]],2)&amp;"–"&amp;(FLOOR(FinalData[[#This Row],[Temperature_C]],2)+2)&amp;"°C"</f>
        <v>24–26°C</v>
      </c>
      <c r="H626">
        <v>3.54</v>
      </c>
      <c r="I626">
        <v>2026</v>
      </c>
      <c r="J626">
        <v>1</v>
      </c>
      <c r="K626">
        <v>27</v>
      </c>
      <c r="L626">
        <v>2</v>
      </c>
      <c r="M626">
        <v>0</v>
      </c>
      <c r="N626">
        <v>0.36</v>
      </c>
      <c r="O626">
        <v>0.39333333333333331</v>
      </c>
      <c r="P626" t="s">
        <v>40</v>
      </c>
    </row>
    <row r="627" spans="1:16" hidden="1" x14ac:dyDescent="0.25">
      <c r="A627" s="12">
        <v>46049.041666666664</v>
      </c>
      <c r="B627" t="s">
        <v>9</v>
      </c>
      <c r="C627" t="s">
        <v>27</v>
      </c>
      <c r="D627">
        <v>7</v>
      </c>
      <c r="E627">
        <v>25</v>
      </c>
      <c r="F627">
        <v>21.120064341699869</v>
      </c>
      <c r="G627" t="str">
        <f>FLOOR(FinalData[[#This Row],[Temperature_C]],2)&amp;"–"&amp;(FLOOR(FinalData[[#This Row],[Temperature_C]],2)+2)&amp;"°C"</f>
        <v>20–22°C</v>
      </c>
      <c r="H627">
        <v>2.82</v>
      </c>
      <c r="I627">
        <v>2026</v>
      </c>
      <c r="J627">
        <v>1</v>
      </c>
      <c r="K627">
        <v>27</v>
      </c>
      <c r="L627">
        <v>2</v>
      </c>
      <c r="M627">
        <v>1</v>
      </c>
      <c r="N627">
        <v>0.28000000000000003</v>
      </c>
      <c r="O627">
        <v>0.40285714285714286</v>
      </c>
      <c r="P627" t="s">
        <v>40</v>
      </c>
    </row>
    <row r="628" spans="1:16" hidden="1" x14ac:dyDescent="0.25">
      <c r="A628" s="12">
        <v>46049.083333333336</v>
      </c>
      <c r="B628" t="s">
        <v>11</v>
      </c>
      <c r="C628" t="s">
        <v>26</v>
      </c>
      <c r="D628">
        <v>11</v>
      </c>
      <c r="E628">
        <v>40</v>
      </c>
      <c r="F628">
        <v>21.434802805162821</v>
      </c>
      <c r="G628" t="str">
        <f>FLOOR(FinalData[[#This Row],[Temperature_C]],2)&amp;"–"&amp;(FLOOR(FinalData[[#This Row],[Temperature_C]],2)+2)&amp;"°C"</f>
        <v>20–22°C</v>
      </c>
      <c r="H628">
        <v>3.85</v>
      </c>
      <c r="I628">
        <v>2026</v>
      </c>
      <c r="J628">
        <v>1</v>
      </c>
      <c r="K628">
        <v>27</v>
      </c>
      <c r="L628">
        <v>2</v>
      </c>
      <c r="M628">
        <v>2</v>
      </c>
      <c r="N628">
        <v>0.27500000000000002</v>
      </c>
      <c r="O628">
        <v>0.35000000000000003</v>
      </c>
      <c r="P628" t="s">
        <v>40</v>
      </c>
    </row>
    <row r="629" spans="1:16" hidden="1" x14ac:dyDescent="0.25">
      <c r="A629" s="12">
        <v>46049.125</v>
      </c>
      <c r="B629" t="s">
        <v>9</v>
      </c>
      <c r="C629" t="s">
        <v>8</v>
      </c>
      <c r="D629">
        <v>10</v>
      </c>
      <c r="E629">
        <v>25</v>
      </c>
      <c r="F629">
        <v>26.198109030957379</v>
      </c>
      <c r="G629" t="str">
        <f>FLOOR(FinalData[[#This Row],[Temperature_C]],2)&amp;"–"&amp;(FLOOR(FinalData[[#This Row],[Temperature_C]],2)+2)&amp;"°C"</f>
        <v>26–28°C</v>
      </c>
      <c r="H629">
        <v>4.0999999999999996</v>
      </c>
      <c r="I629">
        <v>2026</v>
      </c>
      <c r="J629">
        <v>1</v>
      </c>
      <c r="K629">
        <v>27</v>
      </c>
      <c r="L629">
        <v>2</v>
      </c>
      <c r="M629">
        <v>3</v>
      </c>
      <c r="N629">
        <v>0.4</v>
      </c>
      <c r="O629">
        <v>0.41</v>
      </c>
      <c r="P629" t="s">
        <v>40</v>
      </c>
    </row>
    <row r="630" spans="1:16" hidden="1" x14ac:dyDescent="0.25">
      <c r="A630" s="12">
        <v>46049.166666666664</v>
      </c>
      <c r="B630" t="s">
        <v>9</v>
      </c>
      <c r="C630" t="s">
        <v>10</v>
      </c>
      <c r="D630">
        <v>8</v>
      </c>
      <c r="E630">
        <v>25</v>
      </c>
      <c r="F630">
        <v>25.02054917367203</v>
      </c>
      <c r="G630" t="str">
        <f>FLOOR(FinalData[[#This Row],[Temperature_C]],2)&amp;"–"&amp;(FLOOR(FinalData[[#This Row],[Temperature_C]],2)+2)&amp;"°C"</f>
        <v>24–26°C</v>
      </c>
      <c r="H630">
        <v>3.24</v>
      </c>
      <c r="I630">
        <v>2026</v>
      </c>
      <c r="J630">
        <v>1</v>
      </c>
      <c r="K630">
        <v>27</v>
      </c>
      <c r="L630">
        <v>2</v>
      </c>
      <c r="M630">
        <v>4</v>
      </c>
      <c r="N630">
        <v>0.32</v>
      </c>
      <c r="O630">
        <v>0.40500000000000003</v>
      </c>
      <c r="P630" t="s">
        <v>40</v>
      </c>
    </row>
    <row r="631" spans="1:16" hidden="1" x14ac:dyDescent="0.25">
      <c r="A631" s="12">
        <v>46049.208333333336</v>
      </c>
      <c r="B631" t="s">
        <v>11</v>
      </c>
      <c r="C631" t="s">
        <v>30</v>
      </c>
      <c r="D631">
        <v>8</v>
      </c>
      <c r="E631">
        <v>30</v>
      </c>
      <c r="F631">
        <v>25.770972681036181</v>
      </c>
      <c r="G631" t="str">
        <f>FLOOR(FinalData[[#This Row],[Temperature_C]],2)&amp;"–"&amp;(FLOOR(FinalData[[#This Row],[Temperature_C]],2)+2)&amp;"°C"</f>
        <v>24–26°C</v>
      </c>
      <c r="H631">
        <v>3.23</v>
      </c>
      <c r="I631">
        <v>2026</v>
      </c>
      <c r="J631">
        <v>1</v>
      </c>
      <c r="K631">
        <v>27</v>
      </c>
      <c r="L631">
        <v>2</v>
      </c>
      <c r="M631">
        <v>5</v>
      </c>
      <c r="N631">
        <v>0.26666666666666666</v>
      </c>
      <c r="O631">
        <v>0.40375</v>
      </c>
      <c r="P631" t="s">
        <v>40</v>
      </c>
    </row>
    <row r="632" spans="1:16" hidden="1" x14ac:dyDescent="0.25">
      <c r="A632" s="12">
        <v>46049.25</v>
      </c>
      <c r="B632" t="s">
        <v>9</v>
      </c>
      <c r="C632" t="s">
        <v>30</v>
      </c>
      <c r="D632">
        <v>10</v>
      </c>
      <c r="E632">
        <v>20</v>
      </c>
      <c r="F632">
        <v>23.359244545263849</v>
      </c>
      <c r="G632" t="str">
        <f>FLOOR(FinalData[[#This Row],[Temperature_C]],2)&amp;"–"&amp;(FLOOR(FinalData[[#This Row],[Temperature_C]],2)+2)&amp;"°C"</f>
        <v>22–24°C</v>
      </c>
      <c r="H632">
        <v>3.91</v>
      </c>
      <c r="I632">
        <v>2026</v>
      </c>
      <c r="J632">
        <v>1</v>
      </c>
      <c r="K632">
        <v>27</v>
      </c>
      <c r="L632">
        <v>2</v>
      </c>
      <c r="M632">
        <v>6</v>
      </c>
      <c r="N632">
        <v>0.5</v>
      </c>
      <c r="O632">
        <v>0.39100000000000001</v>
      </c>
      <c r="P632" t="s">
        <v>40</v>
      </c>
    </row>
    <row r="633" spans="1:16" hidden="1" x14ac:dyDescent="0.25">
      <c r="A633" s="12">
        <v>46049.291666666664</v>
      </c>
      <c r="B633" t="s">
        <v>7</v>
      </c>
      <c r="C633" t="s">
        <v>17</v>
      </c>
      <c r="D633">
        <v>7</v>
      </c>
      <c r="E633">
        <v>40</v>
      </c>
      <c r="F633">
        <v>21.871607640279031</v>
      </c>
      <c r="G633" t="str">
        <f>FLOOR(FinalData[[#This Row],[Temperature_C]],2)&amp;"–"&amp;(FLOOR(FinalData[[#This Row],[Temperature_C]],2)+2)&amp;"°C"</f>
        <v>20–22°C</v>
      </c>
      <c r="H633">
        <v>2.12</v>
      </c>
      <c r="I633">
        <v>2026</v>
      </c>
      <c r="J633">
        <v>1</v>
      </c>
      <c r="K633">
        <v>27</v>
      </c>
      <c r="L633">
        <v>2</v>
      </c>
      <c r="M633">
        <v>7</v>
      </c>
      <c r="N633">
        <v>0.17499999999999999</v>
      </c>
      <c r="O633">
        <v>0.30285714285714288</v>
      </c>
      <c r="P633" t="s">
        <v>41</v>
      </c>
    </row>
    <row r="634" spans="1:16" hidden="1" x14ac:dyDescent="0.25">
      <c r="A634" s="12">
        <v>46049.333333333336</v>
      </c>
      <c r="B634" t="s">
        <v>18</v>
      </c>
      <c r="C634" t="s">
        <v>29</v>
      </c>
      <c r="D634">
        <v>7</v>
      </c>
      <c r="E634">
        <v>30</v>
      </c>
      <c r="F634">
        <v>26.422057618381579</v>
      </c>
      <c r="G634" t="str">
        <f>FLOOR(FinalData[[#This Row],[Temperature_C]],2)&amp;"–"&amp;(FLOOR(FinalData[[#This Row],[Temperature_C]],2)+2)&amp;"°C"</f>
        <v>26–28°C</v>
      </c>
      <c r="H634">
        <v>3.37</v>
      </c>
      <c r="I634">
        <v>2026</v>
      </c>
      <c r="J634">
        <v>1</v>
      </c>
      <c r="K634">
        <v>27</v>
      </c>
      <c r="L634">
        <v>2</v>
      </c>
      <c r="M634">
        <v>8</v>
      </c>
      <c r="N634">
        <v>0.23333333333333334</v>
      </c>
      <c r="O634">
        <v>0.48142857142857143</v>
      </c>
      <c r="P634" t="s">
        <v>41</v>
      </c>
    </row>
    <row r="635" spans="1:16" x14ac:dyDescent="0.25">
      <c r="A635" s="12">
        <v>46049.375</v>
      </c>
      <c r="B635" t="s">
        <v>11</v>
      </c>
      <c r="C635" t="s">
        <v>19</v>
      </c>
      <c r="D635">
        <v>11</v>
      </c>
      <c r="E635">
        <v>30</v>
      </c>
      <c r="F635">
        <v>22.949011742829601</v>
      </c>
      <c r="G635" t="str">
        <f>FLOOR(FinalData[[#This Row],[Temperature_C]],2)&amp;"–"&amp;(FLOOR(FinalData[[#This Row],[Temperature_C]],2)+2)&amp;"°C"</f>
        <v>22–24°C</v>
      </c>
      <c r="H635">
        <v>3.63</v>
      </c>
      <c r="I635">
        <v>2026</v>
      </c>
      <c r="J635">
        <v>1</v>
      </c>
      <c r="K635">
        <v>27</v>
      </c>
      <c r="L635">
        <v>2</v>
      </c>
      <c r="M635">
        <v>9</v>
      </c>
      <c r="N635">
        <v>0.36666666666666664</v>
      </c>
      <c r="O635">
        <v>0.33</v>
      </c>
      <c r="P635" t="s">
        <v>41</v>
      </c>
    </row>
    <row r="636" spans="1:16" hidden="1" x14ac:dyDescent="0.25">
      <c r="A636" s="12">
        <v>46049.416666666664</v>
      </c>
      <c r="B636" t="s">
        <v>13</v>
      </c>
      <c r="C636" t="s">
        <v>19</v>
      </c>
      <c r="D636">
        <v>10</v>
      </c>
      <c r="E636">
        <v>30</v>
      </c>
      <c r="F636">
        <v>19.393365492622561</v>
      </c>
      <c r="G636" t="str">
        <f>FLOOR(FinalData[[#This Row],[Temperature_C]],2)&amp;"–"&amp;(FLOOR(FinalData[[#This Row],[Temperature_C]],2)+2)&amp;"°C"</f>
        <v>18–20°C</v>
      </c>
      <c r="H636">
        <v>3.77</v>
      </c>
      <c r="I636">
        <v>2026</v>
      </c>
      <c r="J636">
        <v>1</v>
      </c>
      <c r="K636">
        <v>27</v>
      </c>
      <c r="L636">
        <v>2</v>
      </c>
      <c r="M636">
        <v>10</v>
      </c>
      <c r="N636">
        <v>0.33333333333333331</v>
      </c>
      <c r="O636">
        <v>0.377</v>
      </c>
      <c r="P636" t="s">
        <v>41</v>
      </c>
    </row>
    <row r="637" spans="1:16" hidden="1" x14ac:dyDescent="0.25">
      <c r="A637" s="12">
        <v>46049.458333333336</v>
      </c>
      <c r="B637" t="s">
        <v>9</v>
      </c>
      <c r="C637" t="s">
        <v>31</v>
      </c>
      <c r="D637">
        <v>9</v>
      </c>
      <c r="E637">
        <v>40</v>
      </c>
      <c r="F637">
        <v>21.745114329046999</v>
      </c>
      <c r="G637" t="str">
        <f>FLOOR(FinalData[[#This Row],[Temperature_C]],2)&amp;"–"&amp;(FLOOR(FinalData[[#This Row],[Temperature_C]],2)+2)&amp;"°C"</f>
        <v>20–22°C</v>
      </c>
      <c r="H637">
        <v>3.11</v>
      </c>
      <c r="I637">
        <v>2026</v>
      </c>
      <c r="J637">
        <v>1</v>
      </c>
      <c r="K637">
        <v>27</v>
      </c>
      <c r="L637">
        <v>2</v>
      </c>
      <c r="M637">
        <v>11</v>
      </c>
      <c r="N637">
        <v>0.22500000000000001</v>
      </c>
      <c r="O637">
        <v>0.34555555555555556</v>
      </c>
      <c r="P637" t="s">
        <v>41</v>
      </c>
    </row>
    <row r="638" spans="1:16" hidden="1" x14ac:dyDescent="0.25">
      <c r="A638" s="12">
        <v>46049.5</v>
      </c>
      <c r="B638" t="s">
        <v>13</v>
      </c>
      <c r="C638" t="s">
        <v>14</v>
      </c>
      <c r="D638">
        <v>6</v>
      </c>
      <c r="E638">
        <v>30</v>
      </c>
      <c r="F638">
        <v>22.10407732310005</v>
      </c>
      <c r="G638" t="str">
        <f>FLOOR(FinalData[[#This Row],[Temperature_C]],2)&amp;"–"&amp;(FLOOR(FinalData[[#This Row],[Temperature_C]],2)+2)&amp;"°C"</f>
        <v>22–24°C</v>
      </c>
      <c r="H638">
        <v>1.95</v>
      </c>
      <c r="I638">
        <v>2026</v>
      </c>
      <c r="J638">
        <v>1</v>
      </c>
      <c r="K638">
        <v>27</v>
      </c>
      <c r="L638">
        <v>2</v>
      </c>
      <c r="M638">
        <v>12</v>
      </c>
      <c r="N638">
        <v>0.2</v>
      </c>
      <c r="O638">
        <v>0.32500000000000001</v>
      </c>
      <c r="P638" t="s">
        <v>42</v>
      </c>
    </row>
    <row r="639" spans="1:16" hidden="1" x14ac:dyDescent="0.25">
      <c r="A639" s="12">
        <v>46049.541666666664</v>
      </c>
      <c r="B639" t="s">
        <v>7</v>
      </c>
      <c r="C639" t="s">
        <v>31</v>
      </c>
      <c r="D639">
        <v>7</v>
      </c>
      <c r="E639">
        <v>40</v>
      </c>
      <c r="F639">
        <v>21.851834845825461</v>
      </c>
      <c r="G639" t="str">
        <f>FLOOR(FinalData[[#This Row],[Temperature_C]],2)&amp;"–"&amp;(FLOOR(FinalData[[#This Row],[Temperature_C]],2)+2)&amp;"°C"</f>
        <v>20–22°C</v>
      </c>
      <c r="H639">
        <v>2.4900000000000002</v>
      </c>
      <c r="I639">
        <v>2026</v>
      </c>
      <c r="J639">
        <v>1</v>
      </c>
      <c r="K639">
        <v>27</v>
      </c>
      <c r="L639">
        <v>2</v>
      </c>
      <c r="M639">
        <v>13</v>
      </c>
      <c r="N639">
        <v>0.17499999999999999</v>
      </c>
      <c r="O639">
        <v>0.35571428571428576</v>
      </c>
      <c r="P639" t="s">
        <v>42</v>
      </c>
    </row>
    <row r="640" spans="1:16" hidden="1" x14ac:dyDescent="0.25">
      <c r="A640" s="12">
        <v>46049.583333333336</v>
      </c>
      <c r="B640" t="s">
        <v>9</v>
      </c>
      <c r="C640" t="s">
        <v>29</v>
      </c>
      <c r="D640">
        <v>6</v>
      </c>
      <c r="E640">
        <v>25</v>
      </c>
      <c r="F640">
        <v>29.179779215372768</v>
      </c>
      <c r="G640" t="str">
        <f>FLOOR(FinalData[[#This Row],[Temperature_C]],2)&amp;"–"&amp;(FLOOR(FinalData[[#This Row],[Temperature_C]],2)+2)&amp;"°C"</f>
        <v>28–30°C</v>
      </c>
      <c r="H640">
        <v>3.46</v>
      </c>
      <c r="I640">
        <v>2026</v>
      </c>
      <c r="J640">
        <v>1</v>
      </c>
      <c r="K640">
        <v>27</v>
      </c>
      <c r="L640">
        <v>2</v>
      </c>
      <c r="M640">
        <v>14</v>
      </c>
      <c r="N640">
        <v>0.24</v>
      </c>
      <c r="O640">
        <v>0.57666666666666666</v>
      </c>
      <c r="P640" t="s">
        <v>42</v>
      </c>
    </row>
    <row r="641" spans="1:16" hidden="1" x14ac:dyDescent="0.25">
      <c r="A641" s="12">
        <v>46049.625</v>
      </c>
      <c r="B641" t="s">
        <v>13</v>
      </c>
      <c r="C641" t="s">
        <v>15</v>
      </c>
      <c r="D641">
        <v>7</v>
      </c>
      <c r="E641">
        <v>20</v>
      </c>
      <c r="F641">
        <v>18.46100427100518</v>
      </c>
      <c r="G641" t="str">
        <f>FLOOR(FinalData[[#This Row],[Temperature_C]],2)&amp;"–"&amp;(FLOOR(FinalData[[#This Row],[Temperature_C]],2)+2)&amp;"°C"</f>
        <v>18–20°C</v>
      </c>
      <c r="H641">
        <v>3.02</v>
      </c>
      <c r="I641">
        <v>2026</v>
      </c>
      <c r="J641">
        <v>1</v>
      </c>
      <c r="K641">
        <v>27</v>
      </c>
      <c r="L641">
        <v>2</v>
      </c>
      <c r="M641">
        <v>15</v>
      </c>
      <c r="N641">
        <v>0.35</v>
      </c>
      <c r="O641">
        <v>0.43142857142857144</v>
      </c>
      <c r="P641" t="s">
        <v>42</v>
      </c>
    </row>
    <row r="642" spans="1:16" hidden="1" x14ac:dyDescent="0.25">
      <c r="A642" s="12">
        <v>46049.666666666664</v>
      </c>
      <c r="B642" t="s">
        <v>13</v>
      </c>
      <c r="C642" t="s">
        <v>24</v>
      </c>
      <c r="D642">
        <v>6</v>
      </c>
      <c r="E642">
        <v>20</v>
      </c>
      <c r="F642">
        <v>21.96266656075758</v>
      </c>
      <c r="G642" t="str">
        <f>FLOOR(FinalData[[#This Row],[Temperature_C]],2)&amp;"–"&amp;(FLOOR(FinalData[[#This Row],[Temperature_C]],2)+2)&amp;"°C"</f>
        <v>20–22°C</v>
      </c>
      <c r="H642">
        <v>2.56</v>
      </c>
      <c r="I642">
        <v>2026</v>
      </c>
      <c r="J642">
        <v>1</v>
      </c>
      <c r="K642">
        <v>27</v>
      </c>
      <c r="L642">
        <v>2</v>
      </c>
      <c r="M642">
        <v>16</v>
      </c>
      <c r="N642">
        <v>0.3</v>
      </c>
      <c r="O642">
        <v>0.42666666666666669</v>
      </c>
      <c r="P642" t="s">
        <v>42</v>
      </c>
    </row>
    <row r="643" spans="1:16" hidden="1" x14ac:dyDescent="0.25">
      <c r="A643" s="12">
        <v>46049.708333333336</v>
      </c>
      <c r="B643" t="s">
        <v>18</v>
      </c>
      <c r="C643" t="s">
        <v>21</v>
      </c>
      <c r="D643">
        <v>6</v>
      </c>
      <c r="E643">
        <v>40</v>
      </c>
      <c r="F643">
        <v>21.54026082707481</v>
      </c>
      <c r="G643" t="str">
        <f>FLOOR(FinalData[[#This Row],[Temperature_C]],2)&amp;"–"&amp;(FLOOR(FinalData[[#This Row],[Temperature_C]],2)+2)&amp;"°C"</f>
        <v>20–22°C</v>
      </c>
      <c r="H643">
        <v>2.96</v>
      </c>
      <c r="I643">
        <v>2026</v>
      </c>
      <c r="J643">
        <v>1</v>
      </c>
      <c r="K643">
        <v>27</v>
      </c>
      <c r="L643">
        <v>2</v>
      </c>
      <c r="M643">
        <v>17</v>
      </c>
      <c r="N643">
        <v>0.15</v>
      </c>
      <c r="O643">
        <v>0.49333333333333335</v>
      </c>
      <c r="P643" t="s">
        <v>43</v>
      </c>
    </row>
    <row r="644" spans="1:16" hidden="1" x14ac:dyDescent="0.25">
      <c r="A644" s="12">
        <v>46049.75</v>
      </c>
      <c r="B644" t="s">
        <v>13</v>
      </c>
      <c r="C644" t="s">
        <v>29</v>
      </c>
      <c r="D644">
        <v>7</v>
      </c>
      <c r="E644">
        <v>25</v>
      </c>
      <c r="F644">
        <v>21.430340193134729</v>
      </c>
      <c r="G644" t="str">
        <f>FLOOR(FinalData[[#This Row],[Temperature_C]],2)&amp;"–"&amp;(FLOOR(FinalData[[#This Row],[Temperature_C]],2)+2)&amp;"°C"</f>
        <v>20–22°C</v>
      </c>
      <c r="H644">
        <v>2.82</v>
      </c>
      <c r="I644">
        <v>2026</v>
      </c>
      <c r="J644">
        <v>1</v>
      </c>
      <c r="K644">
        <v>27</v>
      </c>
      <c r="L644">
        <v>2</v>
      </c>
      <c r="M644">
        <v>18</v>
      </c>
      <c r="N644">
        <v>0.28000000000000003</v>
      </c>
      <c r="O644">
        <v>0.40285714285714286</v>
      </c>
      <c r="P644" t="s">
        <v>43</v>
      </c>
    </row>
    <row r="645" spans="1:16" hidden="1" x14ac:dyDescent="0.25">
      <c r="A645" s="12">
        <v>46049.791666666664</v>
      </c>
      <c r="B645" t="s">
        <v>11</v>
      </c>
      <c r="C645" t="s">
        <v>30</v>
      </c>
      <c r="D645">
        <v>7</v>
      </c>
      <c r="E645">
        <v>20</v>
      </c>
      <c r="F645">
        <v>24.698285211864381</v>
      </c>
      <c r="G645" t="str">
        <f>FLOOR(FinalData[[#This Row],[Temperature_C]],2)&amp;"–"&amp;(FLOOR(FinalData[[#This Row],[Temperature_C]],2)+2)&amp;"°C"</f>
        <v>24–26°C</v>
      </c>
      <c r="H645">
        <v>2.57</v>
      </c>
      <c r="I645">
        <v>2026</v>
      </c>
      <c r="J645">
        <v>1</v>
      </c>
      <c r="K645">
        <v>27</v>
      </c>
      <c r="L645">
        <v>2</v>
      </c>
      <c r="M645">
        <v>19</v>
      </c>
      <c r="N645">
        <v>0.35</v>
      </c>
      <c r="O645">
        <v>0.3671428571428571</v>
      </c>
      <c r="P645" t="s">
        <v>43</v>
      </c>
    </row>
    <row r="646" spans="1:16" hidden="1" x14ac:dyDescent="0.25">
      <c r="A646" s="12">
        <v>46049.833333333336</v>
      </c>
      <c r="B646" t="s">
        <v>11</v>
      </c>
      <c r="C646" t="s">
        <v>12</v>
      </c>
      <c r="D646">
        <v>12</v>
      </c>
      <c r="E646">
        <v>40</v>
      </c>
      <c r="F646">
        <v>29.196598868142519</v>
      </c>
      <c r="G646" t="str">
        <f>FLOOR(FinalData[[#This Row],[Temperature_C]],2)&amp;"–"&amp;(FLOOR(FinalData[[#This Row],[Temperature_C]],2)+2)&amp;"°C"</f>
        <v>28–30°C</v>
      </c>
      <c r="H646">
        <v>4.8</v>
      </c>
      <c r="I646">
        <v>2026</v>
      </c>
      <c r="J646">
        <v>1</v>
      </c>
      <c r="K646">
        <v>27</v>
      </c>
      <c r="L646">
        <v>2</v>
      </c>
      <c r="M646">
        <v>20</v>
      </c>
      <c r="N646">
        <v>0.3</v>
      </c>
      <c r="O646">
        <v>0.39999999999999997</v>
      </c>
      <c r="P646" t="s">
        <v>43</v>
      </c>
    </row>
    <row r="647" spans="1:16" hidden="1" x14ac:dyDescent="0.25">
      <c r="A647" s="12">
        <v>46049.875</v>
      </c>
      <c r="B647" t="s">
        <v>7</v>
      </c>
      <c r="C647" t="s">
        <v>27</v>
      </c>
      <c r="D647">
        <v>12</v>
      </c>
      <c r="E647">
        <v>20</v>
      </c>
      <c r="F647">
        <v>20.41792085030016</v>
      </c>
      <c r="G647" t="str">
        <f>FLOOR(FinalData[[#This Row],[Temperature_C]],2)&amp;"–"&amp;(FLOOR(FinalData[[#This Row],[Temperature_C]],2)+2)&amp;"°C"</f>
        <v>20–22°C</v>
      </c>
      <c r="H647">
        <v>4.1399999999999997</v>
      </c>
      <c r="I647">
        <v>2026</v>
      </c>
      <c r="J647">
        <v>1</v>
      </c>
      <c r="K647">
        <v>27</v>
      </c>
      <c r="L647">
        <v>2</v>
      </c>
      <c r="M647">
        <v>21</v>
      </c>
      <c r="N647">
        <v>0.6</v>
      </c>
      <c r="O647">
        <v>0.34499999999999997</v>
      </c>
      <c r="P647" t="s">
        <v>40</v>
      </c>
    </row>
    <row r="648" spans="1:16" hidden="1" x14ac:dyDescent="0.25">
      <c r="A648" s="12">
        <v>46049.916666666664</v>
      </c>
      <c r="B648" t="s">
        <v>11</v>
      </c>
      <c r="C648" t="s">
        <v>16</v>
      </c>
      <c r="D648">
        <v>6</v>
      </c>
      <c r="E648">
        <v>30</v>
      </c>
      <c r="F648">
        <v>18.129375336434219</v>
      </c>
      <c r="G648" t="str">
        <f>FLOOR(FinalData[[#This Row],[Temperature_C]],2)&amp;"–"&amp;(FLOOR(FinalData[[#This Row],[Temperature_C]],2)+2)&amp;"°C"</f>
        <v>18–20°C</v>
      </c>
      <c r="H648">
        <v>3.09</v>
      </c>
      <c r="I648">
        <v>2026</v>
      </c>
      <c r="J648">
        <v>1</v>
      </c>
      <c r="K648">
        <v>27</v>
      </c>
      <c r="L648">
        <v>2</v>
      </c>
      <c r="M648">
        <v>22</v>
      </c>
      <c r="N648">
        <v>0.2</v>
      </c>
      <c r="O648">
        <v>0.51500000000000001</v>
      </c>
      <c r="P648" t="s">
        <v>40</v>
      </c>
    </row>
    <row r="649" spans="1:16" hidden="1" x14ac:dyDescent="0.25">
      <c r="A649" s="12">
        <v>46049.958333333336</v>
      </c>
      <c r="B649" t="s">
        <v>13</v>
      </c>
      <c r="C649" t="s">
        <v>26</v>
      </c>
      <c r="D649">
        <v>8</v>
      </c>
      <c r="E649">
        <v>20</v>
      </c>
      <c r="F649">
        <v>26.722514747961061</v>
      </c>
      <c r="G649" t="str">
        <f>FLOOR(FinalData[[#This Row],[Temperature_C]],2)&amp;"–"&amp;(FLOOR(FinalData[[#This Row],[Temperature_C]],2)+2)&amp;"°C"</f>
        <v>26–28°C</v>
      </c>
      <c r="H649">
        <v>3.22</v>
      </c>
      <c r="I649">
        <v>2026</v>
      </c>
      <c r="J649">
        <v>1</v>
      </c>
      <c r="K649">
        <v>27</v>
      </c>
      <c r="L649">
        <v>2</v>
      </c>
      <c r="M649">
        <v>23</v>
      </c>
      <c r="N649">
        <v>0.4</v>
      </c>
      <c r="O649">
        <v>0.40250000000000002</v>
      </c>
      <c r="P649" t="s">
        <v>40</v>
      </c>
    </row>
    <row r="650" spans="1:16" hidden="1" x14ac:dyDescent="0.25">
      <c r="A650" s="12">
        <v>46050</v>
      </c>
      <c r="B650" t="s">
        <v>7</v>
      </c>
      <c r="C650" t="s">
        <v>19</v>
      </c>
      <c r="D650">
        <v>4</v>
      </c>
      <c r="E650">
        <v>25</v>
      </c>
      <c r="F650">
        <v>20.793631237533809</v>
      </c>
      <c r="G650" t="str">
        <f>FLOOR(FinalData[[#This Row],[Temperature_C]],2)&amp;"–"&amp;(FLOOR(FinalData[[#This Row],[Temperature_C]],2)+2)&amp;"°C"</f>
        <v>20–22°C</v>
      </c>
      <c r="H650">
        <v>2.23</v>
      </c>
      <c r="I650">
        <v>2026</v>
      </c>
      <c r="J650">
        <v>1</v>
      </c>
      <c r="K650">
        <v>28</v>
      </c>
      <c r="L650">
        <v>3</v>
      </c>
      <c r="M650">
        <v>0</v>
      </c>
      <c r="N650">
        <v>0.16</v>
      </c>
      <c r="O650">
        <v>0.5575</v>
      </c>
      <c r="P650" t="s">
        <v>40</v>
      </c>
    </row>
    <row r="651" spans="1:16" hidden="1" x14ac:dyDescent="0.25">
      <c r="A651" s="12">
        <v>46050.041666666664</v>
      </c>
      <c r="B651" t="s">
        <v>11</v>
      </c>
      <c r="C651" t="s">
        <v>22</v>
      </c>
      <c r="D651">
        <v>8</v>
      </c>
      <c r="E651">
        <v>20</v>
      </c>
      <c r="F651">
        <v>20.086824053481269</v>
      </c>
      <c r="G651" t="str">
        <f>FLOOR(FinalData[[#This Row],[Temperature_C]],2)&amp;"–"&amp;(FLOOR(FinalData[[#This Row],[Temperature_C]],2)+2)&amp;"°C"</f>
        <v>20–22°C</v>
      </c>
      <c r="H651">
        <v>3.65</v>
      </c>
      <c r="I651">
        <v>2026</v>
      </c>
      <c r="J651">
        <v>1</v>
      </c>
      <c r="K651">
        <v>28</v>
      </c>
      <c r="L651">
        <v>3</v>
      </c>
      <c r="M651">
        <v>1</v>
      </c>
      <c r="N651">
        <v>0.4</v>
      </c>
      <c r="O651">
        <v>0.45624999999999999</v>
      </c>
      <c r="P651" t="s">
        <v>40</v>
      </c>
    </row>
    <row r="652" spans="1:16" hidden="1" x14ac:dyDescent="0.25">
      <c r="A652" s="12">
        <v>46050.083333333336</v>
      </c>
      <c r="B652" t="s">
        <v>7</v>
      </c>
      <c r="C652" t="s">
        <v>14</v>
      </c>
      <c r="D652">
        <v>7</v>
      </c>
      <c r="E652">
        <v>40</v>
      </c>
      <c r="F652">
        <v>21.219245883479839</v>
      </c>
      <c r="G652" t="str">
        <f>FLOOR(FinalData[[#This Row],[Temperature_C]],2)&amp;"–"&amp;(FLOOR(FinalData[[#This Row],[Temperature_C]],2)+2)&amp;"°C"</f>
        <v>20–22°C</v>
      </c>
      <c r="H652">
        <v>2.86</v>
      </c>
      <c r="I652">
        <v>2026</v>
      </c>
      <c r="J652">
        <v>1</v>
      </c>
      <c r="K652">
        <v>28</v>
      </c>
      <c r="L652">
        <v>3</v>
      </c>
      <c r="M652">
        <v>2</v>
      </c>
      <c r="N652">
        <v>0.17499999999999999</v>
      </c>
      <c r="O652">
        <v>0.40857142857142853</v>
      </c>
      <c r="P652" t="s">
        <v>40</v>
      </c>
    </row>
    <row r="653" spans="1:16" hidden="1" x14ac:dyDescent="0.25">
      <c r="A653" s="12">
        <v>46050.125</v>
      </c>
      <c r="B653" t="s">
        <v>18</v>
      </c>
      <c r="C653" t="s">
        <v>17</v>
      </c>
      <c r="D653">
        <v>8</v>
      </c>
      <c r="E653">
        <v>25</v>
      </c>
      <c r="F653">
        <v>22.330394025111001</v>
      </c>
      <c r="G653" t="str">
        <f>FLOOR(FinalData[[#This Row],[Temperature_C]],2)&amp;"–"&amp;(FLOOR(FinalData[[#This Row],[Temperature_C]],2)+2)&amp;"°C"</f>
        <v>22–24°C</v>
      </c>
      <c r="H653">
        <v>2.31</v>
      </c>
      <c r="I653">
        <v>2026</v>
      </c>
      <c r="J653">
        <v>1</v>
      </c>
      <c r="K653">
        <v>28</v>
      </c>
      <c r="L653">
        <v>3</v>
      </c>
      <c r="M653">
        <v>3</v>
      </c>
      <c r="N653">
        <v>0.32</v>
      </c>
      <c r="O653">
        <v>0.28875000000000001</v>
      </c>
      <c r="P653" t="s">
        <v>40</v>
      </c>
    </row>
    <row r="654" spans="1:16" hidden="1" x14ac:dyDescent="0.25">
      <c r="A654" s="12">
        <v>46050.166666666664</v>
      </c>
      <c r="B654" t="s">
        <v>11</v>
      </c>
      <c r="C654" t="s">
        <v>21</v>
      </c>
      <c r="D654">
        <v>4</v>
      </c>
      <c r="E654">
        <v>30</v>
      </c>
      <c r="F654">
        <v>21.500303579234799</v>
      </c>
      <c r="G654" t="str">
        <f>FLOOR(FinalData[[#This Row],[Temperature_C]],2)&amp;"–"&amp;(FLOOR(FinalData[[#This Row],[Temperature_C]],2)+2)&amp;"°C"</f>
        <v>20–22°C</v>
      </c>
      <c r="H654">
        <v>1.6</v>
      </c>
      <c r="I654">
        <v>2026</v>
      </c>
      <c r="J654">
        <v>1</v>
      </c>
      <c r="K654">
        <v>28</v>
      </c>
      <c r="L654">
        <v>3</v>
      </c>
      <c r="M654">
        <v>4</v>
      </c>
      <c r="N654">
        <v>0.13333333333333333</v>
      </c>
      <c r="O654">
        <v>0.4</v>
      </c>
      <c r="P654" t="s">
        <v>40</v>
      </c>
    </row>
    <row r="655" spans="1:16" hidden="1" x14ac:dyDescent="0.25">
      <c r="A655" s="12">
        <v>46050.208333333336</v>
      </c>
      <c r="B655" t="s">
        <v>7</v>
      </c>
      <c r="C655" t="s">
        <v>24</v>
      </c>
      <c r="D655">
        <v>5</v>
      </c>
      <c r="E655">
        <v>25</v>
      </c>
      <c r="F655">
        <v>23.97619076275836</v>
      </c>
      <c r="G655" t="str">
        <f>FLOOR(FinalData[[#This Row],[Temperature_C]],2)&amp;"–"&amp;(FLOOR(FinalData[[#This Row],[Temperature_C]],2)+2)&amp;"°C"</f>
        <v>22–24°C</v>
      </c>
      <c r="H655">
        <v>2.88</v>
      </c>
      <c r="I655">
        <v>2026</v>
      </c>
      <c r="J655">
        <v>1</v>
      </c>
      <c r="K655">
        <v>28</v>
      </c>
      <c r="L655">
        <v>3</v>
      </c>
      <c r="M655">
        <v>5</v>
      </c>
      <c r="N655">
        <v>0.2</v>
      </c>
      <c r="O655">
        <v>0.57599999999999996</v>
      </c>
      <c r="P655" t="s">
        <v>40</v>
      </c>
    </row>
    <row r="656" spans="1:16" hidden="1" x14ac:dyDescent="0.25">
      <c r="A656" s="12">
        <v>46050.25</v>
      </c>
      <c r="B656" t="s">
        <v>13</v>
      </c>
      <c r="C656" t="s">
        <v>8</v>
      </c>
      <c r="D656">
        <v>10</v>
      </c>
      <c r="E656">
        <v>40</v>
      </c>
      <c r="F656">
        <v>21.52524019300408</v>
      </c>
      <c r="G656" t="str">
        <f>FLOOR(FinalData[[#This Row],[Temperature_C]],2)&amp;"–"&amp;(FLOOR(FinalData[[#This Row],[Temperature_C]],2)+2)&amp;"°C"</f>
        <v>20–22°C</v>
      </c>
      <c r="H656">
        <v>3.12</v>
      </c>
      <c r="I656">
        <v>2026</v>
      </c>
      <c r="J656">
        <v>1</v>
      </c>
      <c r="K656">
        <v>28</v>
      </c>
      <c r="L656">
        <v>3</v>
      </c>
      <c r="M656">
        <v>6</v>
      </c>
      <c r="N656">
        <v>0.25</v>
      </c>
      <c r="O656">
        <v>0.312</v>
      </c>
      <c r="P656" t="s">
        <v>40</v>
      </c>
    </row>
    <row r="657" spans="1:16" hidden="1" x14ac:dyDescent="0.25">
      <c r="A657" s="12">
        <v>46050.291666666664</v>
      </c>
      <c r="B657" t="s">
        <v>13</v>
      </c>
      <c r="C657" t="s">
        <v>30</v>
      </c>
      <c r="D657">
        <v>11</v>
      </c>
      <c r="E657">
        <v>40</v>
      </c>
      <c r="F657">
        <v>23.075083682973641</v>
      </c>
      <c r="G657" t="str">
        <f>FLOOR(FinalData[[#This Row],[Temperature_C]],2)&amp;"–"&amp;(FLOOR(FinalData[[#This Row],[Temperature_C]],2)+2)&amp;"°C"</f>
        <v>22–24°C</v>
      </c>
      <c r="H657">
        <v>4.04</v>
      </c>
      <c r="I657">
        <v>2026</v>
      </c>
      <c r="J657">
        <v>1</v>
      </c>
      <c r="K657">
        <v>28</v>
      </c>
      <c r="L657">
        <v>3</v>
      </c>
      <c r="M657">
        <v>7</v>
      </c>
      <c r="N657">
        <v>0.27500000000000002</v>
      </c>
      <c r="O657">
        <v>0.36727272727272725</v>
      </c>
      <c r="P657" t="s">
        <v>41</v>
      </c>
    </row>
    <row r="658" spans="1:16" hidden="1" x14ac:dyDescent="0.25">
      <c r="A658" s="12">
        <v>46050.333333333336</v>
      </c>
      <c r="B658" t="s">
        <v>9</v>
      </c>
      <c r="C658" t="s">
        <v>8</v>
      </c>
      <c r="D658">
        <v>6</v>
      </c>
      <c r="E658">
        <v>25</v>
      </c>
      <c r="F658">
        <v>22.63253345046639</v>
      </c>
      <c r="G658" t="str">
        <f>FLOOR(FinalData[[#This Row],[Temperature_C]],2)&amp;"–"&amp;(FLOOR(FinalData[[#This Row],[Temperature_C]],2)+2)&amp;"°C"</f>
        <v>22–24°C</v>
      </c>
      <c r="H658">
        <v>2.0699999999999998</v>
      </c>
      <c r="I658">
        <v>2026</v>
      </c>
      <c r="J658">
        <v>1</v>
      </c>
      <c r="K658">
        <v>28</v>
      </c>
      <c r="L658">
        <v>3</v>
      </c>
      <c r="M658">
        <v>8</v>
      </c>
      <c r="N658">
        <v>0.24</v>
      </c>
      <c r="O658">
        <v>0.34499999999999997</v>
      </c>
      <c r="P658" t="s">
        <v>41</v>
      </c>
    </row>
    <row r="659" spans="1:16" hidden="1" x14ac:dyDescent="0.25">
      <c r="A659" s="12">
        <v>46050.375</v>
      </c>
      <c r="B659" t="s">
        <v>18</v>
      </c>
      <c r="C659" t="s">
        <v>30</v>
      </c>
      <c r="D659">
        <v>10</v>
      </c>
      <c r="E659">
        <v>25</v>
      </c>
      <c r="F659">
        <v>24.29178084055178</v>
      </c>
      <c r="G659" t="str">
        <f>FLOOR(FinalData[[#This Row],[Temperature_C]],2)&amp;"–"&amp;(FLOOR(FinalData[[#This Row],[Temperature_C]],2)+2)&amp;"°C"</f>
        <v>24–26°C</v>
      </c>
      <c r="H659">
        <v>3.31</v>
      </c>
      <c r="I659">
        <v>2026</v>
      </c>
      <c r="J659">
        <v>1</v>
      </c>
      <c r="K659">
        <v>28</v>
      </c>
      <c r="L659">
        <v>3</v>
      </c>
      <c r="M659">
        <v>9</v>
      </c>
      <c r="N659">
        <v>0.4</v>
      </c>
      <c r="O659">
        <v>0.33100000000000002</v>
      </c>
      <c r="P659" t="s">
        <v>41</v>
      </c>
    </row>
    <row r="660" spans="1:16" x14ac:dyDescent="0.25">
      <c r="A660" s="12">
        <v>46050.416666666664</v>
      </c>
      <c r="B660" t="s">
        <v>11</v>
      </c>
      <c r="C660" t="s">
        <v>27</v>
      </c>
      <c r="D660">
        <v>8</v>
      </c>
      <c r="E660">
        <v>30</v>
      </c>
      <c r="F660">
        <v>23.50741343898363</v>
      </c>
      <c r="G660" t="str">
        <f>FLOOR(FinalData[[#This Row],[Temperature_C]],2)&amp;"–"&amp;(FLOOR(FinalData[[#This Row],[Temperature_C]],2)+2)&amp;"°C"</f>
        <v>22–24°C</v>
      </c>
      <c r="H660">
        <v>2.76</v>
      </c>
      <c r="I660">
        <v>2026</v>
      </c>
      <c r="J660">
        <v>1</v>
      </c>
      <c r="K660">
        <v>28</v>
      </c>
      <c r="L660">
        <v>3</v>
      </c>
      <c r="M660">
        <v>10</v>
      </c>
      <c r="N660">
        <v>0.26666666666666666</v>
      </c>
      <c r="O660">
        <v>0.34499999999999997</v>
      </c>
      <c r="P660" t="s">
        <v>41</v>
      </c>
    </row>
    <row r="661" spans="1:16" hidden="1" x14ac:dyDescent="0.25">
      <c r="A661" s="12">
        <v>46050.458333333336</v>
      </c>
      <c r="B661" t="s">
        <v>13</v>
      </c>
      <c r="C661" t="s">
        <v>14</v>
      </c>
      <c r="D661">
        <v>7</v>
      </c>
      <c r="E661">
        <v>30</v>
      </c>
      <c r="F661">
        <v>21.32103681745442</v>
      </c>
      <c r="G661" t="str">
        <f>FLOOR(FinalData[[#This Row],[Temperature_C]],2)&amp;"–"&amp;(FLOOR(FinalData[[#This Row],[Temperature_C]],2)+2)&amp;"°C"</f>
        <v>20–22°C</v>
      </c>
      <c r="H661">
        <v>3.05</v>
      </c>
      <c r="I661">
        <v>2026</v>
      </c>
      <c r="J661">
        <v>1</v>
      </c>
      <c r="K661">
        <v>28</v>
      </c>
      <c r="L661">
        <v>3</v>
      </c>
      <c r="M661">
        <v>11</v>
      </c>
      <c r="N661">
        <v>0.23333333333333334</v>
      </c>
      <c r="O661">
        <v>0.43571428571428567</v>
      </c>
      <c r="P661" t="s">
        <v>41</v>
      </c>
    </row>
    <row r="662" spans="1:16" hidden="1" x14ac:dyDescent="0.25">
      <c r="A662" s="12">
        <v>46050.5</v>
      </c>
      <c r="B662" t="s">
        <v>7</v>
      </c>
      <c r="C662" t="s">
        <v>10</v>
      </c>
      <c r="D662">
        <v>6</v>
      </c>
      <c r="E662">
        <v>40</v>
      </c>
      <c r="F662">
        <v>23.00221988937459</v>
      </c>
      <c r="G662" t="str">
        <f>FLOOR(FinalData[[#This Row],[Temperature_C]],2)&amp;"–"&amp;(FLOOR(FinalData[[#This Row],[Temperature_C]],2)+2)&amp;"°C"</f>
        <v>22–24°C</v>
      </c>
      <c r="H662">
        <v>1.99</v>
      </c>
      <c r="I662">
        <v>2026</v>
      </c>
      <c r="J662">
        <v>1</v>
      </c>
      <c r="K662">
        <v>28</v>
      </c>
      <c r="L662">
        <v>3</v>
      </c>
      <c r="M662">
        <v>12</v>
      </c>
      <c r="N662">
        <v>0.15</v>
      </c>
      <c r="O662">
        <v>0.33166666666666667</v>
      </c>
      <c r="P662" t="s">
        <v>42</v>
      </c>
    </row>
    <row r="663" spans="1:16" hidden="1" x14ac:dyDescent="0.25">
      <c r="A663" s="12">
        <v>46050.541666666664</v>
      </c>
      <c r="B663" t="s">
        <v>18</v>
      </c>
      <c r="C663" t="s">
        <v>31</v>
      </c>
      <c r="D663">
        <v>7</v>
      </c>
      <c r="E663">
        <v>25</v>
      </c>
      <c r="F663">
        <v>23.273194791177509</v>
      </c>
      <c r="G663" t="str">
        <f>FLOOR(FinalData[[#This Row],[Temperature_C]],2)&amp;"–"&amp;(FLOOR(FinalData[[#This Row],[Temperature_C]],2)+2)&amp;"°C"</f>
        <v>22–24°C</v>
      </c>
      <c r="H663">
        <v>2.75</v>
      </c>
      <c r="I663">
        <v>2026</v>
      </c>
      <c r="J663">
        <v>1</v>
      </c>
      <c r="K663">
        <v>28</v>
      </c>
      <c r="L663">
        <v>3</v>
      </c>
      <c r="M663">
        <v>13</v>
      </c>
      <c r="N663">
        <v>0.28000000000000003</v>
      </c>
      <c r="O663">
        <v>0.39285714285714285</v>
      </c>
      <c r="P663" t="s">
        <v>42</v>
      </c>
    </row>
    <row r="664" spans="1:16" hidden="1" x14ac:dyDescent="0.25">
      <c r="A664" s="12">
        <v>46050.583333333336</v>
      </c>
      <c r="B664" t="s">
        <v>9</v>
      </c>
      <c r="C664" t="s">
        <v>27</v>
      </c>
      <c r="D664">
        <v>8</v>
      </c>
      <c r="E664">
        <v>20</v>
      </c>
      <c r="F664">
        <v>27.416838182309409</v>
      </c>
      <c r="G664" t="str">
        <f>FLOOR(FinalData[[#This Row],[Temperature_C]],2)&amp;"–"&amp;(FLOOR(FinalData[[#This Row],[Temperature_C]],2)+2)&amp;"°C"</f>
        <v>26–28°C</v>
      </c>
      <c r="H664">
        <v>3.43</v>
      </c>
      <c r="I664">
        <v>2026</v>
      </c>
      <c r="J664">
        <v>1</v>
      </c>
      <c r="K664">
        <v>28</v>
      </c>
      <c r="L664">
        <v>3</v>
      </c>
      <c r="M664">
        <v>14</v>
      </c>
      <c r="N664">
        <v>0.4</v>
      </c>
      <c r="O664">
        <v>0.42875000000000002</v>
      </c>
      <c r="P664" t="s">
        <v>42</v>
      </c>
    </row>
    <row r="665" spans="1:16" hidden="1" x14ac:dyDescent="0.25">
      <c r="A665" s="12">
        <v>46050.625</v>
      </c>
      <c r="B665" t="s">
        <v>11</v>
      </c>
      <c r="C665" t="s">
        <v>15</v>
      </c>
      <c r="D665">
        <v>10</v>
      </c>
      <c r="E665">
        <v>25</v>
      </c>
      <c r="F665">
        <v>24.371715637216841</v>
      </c>
      <c r="G665" t="str">
        <f>FLOOR(FinalData[[#This Row],[Temperature_C]],2)&amp;"–"&amp;(FLOOR(FinalData[[#This Row],[Temperature_C]],2)+2)&amp;"°C"</f>
        <v>24–26°C</v>
      </c>
      <c r="H665">
        <v>3.01</v>
      </c>
      <c r="I665">
        <v>2026</v>
      </c>
      <c r="J665">
        <v>1</v>
      </c>
      <c r="K665">
        <v>28</v>
      </c>
      <c r="L665">
        <v>3</v>
      </c>
      <c r="M665">
        <v>15</v>
      </c>
      <c r="N665">
        <v>0.4</v>
      </c>
      <c r="O665">
        <v>0.30099999999999999</v>
      </c>
      <c r="P665" t="s">
        <v>42</v>
      </c>
    </row>
    <row r="666" spans="1:16" hidden="1" x14ac:dyDescent="0.25">
      <c r="A666" s="12">
        <v>46050.666666666664</v>
      </c>
      <c r="B666" t="s">
        <v>9</v>
      </c>
      <c r="C666" t="s">
        <v>21</v>
      </c>
      <c r="D666">
        <v>3</v>
      </c>
      <c r="E666">
        <v>20</v>
      </c>
      <c r="F666">
        <v>26.306619274357061</v>
      </c>
      <c r="G666" t="str">
        <f>FLOOR(FinalData[[#This Row],[Temperature_C]],2)&amp;"–"&amp;(FLOOR(FinalData[[#This Row],[Temperature_C]],2)+2)&amp;"°C"</f>
        <v>26–28°C</v>
      </c>
      <c r="H666">
        <v>2.38</v>
      </c>
      <c r="I666">
        <v>2026</v>
      </c>
      <c r="J666">
        <v>1</v>
      </c>
      <c r="K666">
        <v>28</v>
      </c>
      <c r="L666">
        <v>3</v>
      </c>
      <c r="M666">
        <v>16</v>
      </c>
      <c r="N666">
        <v>0.15</v>
      </c>
      <c r="O666">
        <v>0.79333333333333333</v>
      </c>
      <c r="P666" t="s">
        <v>42</v>
      </c>
    </row>
    <row r="667" spans="1:16" hidden="1" x14ac:dyDescent="0.25">
      <c r="A667" s="12">
        <v>46050.708333333336</v>
      </c>
      <c r="B667" t="s">
        <v>13</v>
      </c>
      <c r="C667" t="s">
        <v>23</v>
      </c>
      <c r="D667">
        <v>4</v>
      </c>
      <c r="E667">
        <v>25</v>
      </c>
      <c r="F667">
        <v>23.18855858722856</v>
      </c>
      <c r="G667" t="str">
        <f>FLOOR(FinalData[[#This Row],[Temperature_C]],2)&amp;"–"&amp;(FLOOR(FinalData[[#This Row],[Temperature_C]],2)+2)&amp;"°C"</f>
        <v>22–24°C</v>
      </c>
      <c r="H667">
        <v>1.67</v>
      </c>
      <c r="I667">
        <v>2026</v>
      </c>
      <c r="J667">
        <v>1</v>
      </c>
      <c r="K667">
        <v>28</v>
      </c>
      <c r="L667">
        <v>3</v>
      </c>
      <c r="M667">
        <v>17</v>
      </c>
      <c r="N667">
        <v>0.16</v>
      </c>
      <c r="O667">
        <v>0.41749999999999998</v>
      </c>
      <c r="P667" t="s">
        <v>43</v>
      </c>
    </row>
    <row r="668" spans="1:16" hidden="1" x14ac:dyDescent="0.25">
      <c r="A668" s="12">
        <v>46050.75</v>
      </c>
      <c r="B668" t="s">
        <v>11</v>
      </c>
      <c r="C668" t="s">
        <v>16</v>
      </c>
      <c r="D668">
        <v>9</v>
      </c>
      <c r="E668">
        <v>30</v>
      </c>
      <c r="F668">
        <v>24.877447232476321</v>
      </c>
      <c r="G668" t="str">
        <f>FLOOR(FinalData[[#This Row],[Temperature_C]],2)&amp;"–"&amp;(FLOOR(FinalData[[#This Row],[Temperature_C]],2)+2)&amp;"°C"</f>
        <v>24–26°C</v>
      </c>
      <c r="H668">
        <v>3.11</v>
      </c>
      <c r="I668">
        <v>2026</v>
      </c>
      <c r="J668">
        <v>1</v>
      </c>
      <c r="K668">
        <v>28</v>
      </c>
      <c r="L668">
        <v>3</v>
      </c>
      <c r="M668">
        <v>18</v>
      </c>
      <c r="N668">
        <v>0.3</v>
      </c>
      <c r="O668">
        <v>0.34555555555555556</v>
      </c>
      <c r="P668" t="s">
        <v>43</v>
      </c>
    </row>
    <row r="669" spans="1:16" hidden="1" x14ac:dyDescent="0.25">
      <c r="A669" s="12">
        <v>46050.791666666664</v>
      </c>
      <c r="B669" t="s">
        <v>7</v>
      </c>
      <c r="C669" t="s">
        <v>26</v>
      </c>
      <c r="D669">
        <v>8</v>
      </c>
      <c r="E669">
        <v>25</v>
      </c>
      <c r="F669">
        <v>21.115879632851509</v>
      </c>
      <c r="G669" t="str">
        <f>FLOOR(FinalData[[#This Row],[Temperature_C]],2)&amp;"–"&amp;(FLOOR(FinalData[[#This Row],[Temperature_C]],2)+2)&amp;"°C"</f>
        <v>20–22°C</v>
      </c>
      <c r="H669">
        <v>2.77</v>
      </c>
      <c r="I669">
        <v>2026</v>
      </c>
      <c r="J669">
        <v>1</v>
      </c>
      <c r="K669">
        <v>28</v>
      </c>
      <c r="L669">
        <v>3</v>
      </c>
      <c r="M669">
        <v>19</v>
      </c>
      <c r="N669">
        <v>0.32</v>
      </c>
      <c r="O669">
        <v>0.34625</v>
      </c>
      <c r="P669" t="s">
        <v>43</v>
      </c>
    </row>
    <row r="670" spans="1:16" hidden="1" x14ac:dyDescent="0.25">
      <c r="A670" s="12">
        <v>46050.833333333336</v>
      </c>
      <c r="B670" t="s">
        <v>9</v>
      </c>
      <c r="C670" t="s">
        <v>23</v>
      </c>
      <c r="D670">
        <v>10</v>
      </c>
      <c r="E670">
        <v>30</v>
      </c>
      <c r="F670">
        <v>23.275791551749808</v>
      </c>
      <c r="G670" t="str">
        <f>FLOOR(FinalData[[#This Row],[Temperature_C]],2)&amp;"–"&amp;(FLOOR(FinalData[[#This Row],[Temperature_C]],2)+2)&amp;"°C"</f>
        <v>22–24°C</v>
      </c>
      <c r="H670">
        <v>4.08</v>
      </c>
      <c r="I670">
        <v>2026</v>
      </c>
      <c r="J670">
        <v>1</v>
      </c>
      <c r="K670">
        <v>28</v>
      </c>
      <c r="L670">
        <v>3</v>
      </c>
      <c r="M670">
        <v>20</v>
      </c>
      <c r="N670">
        <v>0.33333333333333331</v>
      </c>
      <c r="O670">
        <v>0.40800000000000003</v>
      </c>
      <c r="P670" t="s">
        <v>43</v>
      </c>
    </row>
    <row r="671" spans="1:16" hidden="1" x14ac:dyDescent="0.25">
      <c r="A671" s="12">
        <v>46050.875</v>
      </c>
      <c r="B671" t="s">
        <v>11</v>
      </c>
      <c r="C671" t="s">
        <v>22</v>
      </c>
      <c r="D671">
        <v>11</v>
      </c>
      <c r="E671">
        <v>30</v>
      </c>
      <c r="F671">
        <v>21.894208132612579</v>
      </c>
      <c r="G671" t="str">
        <f>FLOOR(FinalData[[#This Row],[Temperature_C]],2)&amp;"–"&amp;(FLOOR(FinalData[[#This Row],[Temperature_C]],2)+2)&amp;"°C"</f>
        <v>20–22°C</v>
      </c>
      <c r="H671">
        <v>3.61</v>
      </c>
      <c r="I671">
        <v>2026</v>
      </c>
      <c r="J671">
        <v>1</v>
      </c>
      <c r="K671">
        <v>28</v>
      </c>
      <c r="L671">
        <v>3</v>
      </c>
      <c r="M671">
        <v>21</v>
      </c>
      <c r="N671">
        <v>0.36666666666666664</v>
      </c>
      <c r="O671">
        <v>0.32818181818181819</v>
      </c>
      <c r="P671" t="s">
        <v>40</v>
      </c>
    </row>
    <row r="672" spans="1:16" hidden="1" x14ac:dyDescent="0.25">
      <c r="A672" s="12">
        <v>46050.916666666664</v>
      </c>
      <c r="B672" t="s">
        <v>9</v>
      </c>
      <c r="C672" t="s">
        <v>26</v>
      </c>
      <c r="D672">
        <v>5</v>
      </c>
      <c r="E672">
        <v>25</v>
      </c>
      <c r="F672">
        <v>23.302462144333681</v>
      </c>
      <c r="G672" t="str">
        <f>FLOOR(FinalData[[#This Row],[Temperature_C]],2)&amp;"–"&amp;(FLOOR(FinalData[[#This Row],[Temperature_C]],2)+2)&amp;"°C"</f>
        <v>22–24°C</v>
      </c>
      <c r="H672">
        <v>2.83</v>
      </c>
      <c r="I672">
        <v>2026</v>
      </c>
      <c r="J672">
        <v>1</v>
      </c>
      <c r="K672">
        <v>28</v>
      </c>
      <c r="L672">
        <v>3</v>
      </c>
      <c r="M672">
        <v>22</v>
      </c>
      <c r="N672">
        <v>0.2</v>
      </c>
      <c r="O672">
        <v>0.56600000000000006</v>
      </c>
      <c r="P672" t="s">
        <v>40</v>
      </c>
    </row>
    <row r="673" spans="1:16" hidden="1" x14ac:dyDescent="0.25">
      <c r="A673" s="12">
        <v>46050.958333333336</v>
      </c>
      <c r="B673" t="s">
        <v>13</v>
      </c>
      <c r="C673" t="s">
        <v>10</v>
      </c>
      <c r="D673">
        <v>5</v>
      </c>
      <c r="E673">
        <v>25</v>
      </c>
      <c r="F673">
        <v>24.177270919592541</v>
      </c>
      <c r="G673" t="str">
        <f>FLOOR(FinalData[[#This Row],[Temperature_C]],2)&amp;"–"&amp;(FLOOR(FinalData[[#This Row],[Temperature_C]],2)+2)&amp;"°C"</f>
        <v>24–26°C</v>
      </c>
      <c r="H673">
        <v>2.6</v>
      </c>
      <c r="I673">
        <v>2026</v>
      </c>
      <c r="J673">
        <v>1</v>
      </c>
      <c r="K673">
        <v>28</v>
      </c>
      <c r="L673">
        <v>3</v>
      </c>
      <c r="M673">
        <v>23</v>
      </c>
      <c r="N673">
        <v>0.2</v>
      </c>
      <c r="O673">
        <v>0.52</v>
      </c>
      <c r="P673" t="s">
        <v>40</v>
      </c>
    </row>
    <row r="674" spans="1:16" hidden="1" x14ac:dyDescent="0.25">
      <c r="A674" s="12">
        <v>46051</v>
      </c>
      <c r="B674" t="s">
        <v>18</v>
      </c>
      <c r="C674" t="s">
        <v>26</v>
      </c>
      <c r="D674">
        <v>10</v>
      </c>
      <c r="E674">
        <v>20</v>
      </c>
      <c r="F674">
        <v>25.75436187300912</v>
      </c>
      <c r="G674" t="str">
        <f>FLOOR(FinalData[[#This Row],[Temperature_C]],2)&amp;"–"&amp;(FLOOR(FinalData[[#This Row],[Temperature_C]],2)+2)&amp;"°C"</f>
        <v>24–26°C</v>
      </c>
      <c r="H674">
        <v>4.17</v>
      </c>
      <c r="I674">
        <v>2026</v>
      </c>
      <c r="J674">
        <v>1</v>
      </c>
      <c r="K674">
        <v>29</v>
      </c>
      <c r="L674">
        <v>4</v>
      </c>
      <c r="M674">
        <v>0</v>
      </c>
      <c r="N674">
        <v>0.5</v>
      </c>
      <c r="O674">
        <v>0.41699999999999998</v>
      </c>
      <c r="P674" t="s">
        <v>40</v>
      </c>
    </row>
    <row r="675" spans="1:16" hidden="1" x14ac:dyDescent="0.25">
      <c r="A675" s="12">
        <v>46051.041666666664</v>
      </c>
      <c r="B675" t="s">
        <v>9</v>
      </c>
      <c r="C675" t="s">
        <v>24</v>
      </c>
      <c r="D675">
        <v>11</v>
      </c>
      <c r="E675">
        <v>25</v>
      </c>
      <c r="F675">
        <v>23.098656331589691</v>
      </c>
      <c r="G675" t="str">
        <f>FLOOR(FinalData[[#This Row],[Temperature_C]],2)&amp;"–"&amp;(FLOOR(FinalData[[#This Row],[Temperature_C]],2)+2)&amp;"°C"</f>
        <v>22–24°C</v>
      </c>
      <c r="H675">
        <v>3.93</v>
      </c>
      <c r="I675">
        <v>2026</v>
      </c>
      <c r="J675">
        <v>1</v>
      </c>
      <c r="K675">
        <v>29</v>
      </c>
      <c r="L675">
        <v>4</v>
      </c>
      <c r="M675">
        <v>1</v>
      </c>
      <c r="N675">
        <v>0.44</v>
      </c>
      <c r="O675">
        <v>0.3572727272727273</v>
      </c>
      <c r="P675" t="s">
        <v>40</v>
      </c>
    </row>
    <row r="676" spans="1:16" hidden="1" x14ac:dyDescent="0.25">
      <c r="A676" s="12">
        <v>46051.083333333336</v>
      </c>
      <c r="B676" t="s">
        <v>7</v>
      </c>
      <c r="C676" t="s">
        <v>12</v>
      </c>
      <c r="D676">
        <v>8</v>
      </c>
      <c r="E676">
        <v>25</v>
      </c>
      <c r="F676">
        <v>22.317380307580301</v>
      </c>
      <c r="G676" t="str">
        <f>FLOOR(FinalData[[#This Row],[Temperature_C]],2)&amp;"–"&amp;(FLOOR(FinalData[[#This Row],[Temperature_C]],2)+2)&amp;"°C"</f>
        <v>22–24°C</v>
      </c>
      <c r="H676">
        <v>3.01</v>
      </c>
      <c r="I676">
        <v>2026</v>
      </c>
      <c r="J676">
        <v>1</v>
      </c>
      <c r="K676">
        <v>29</v>
      </c>
      <c r="L676">
        <v>4</v>
      </c>
      <c r="M676">
        <v>2</v>
      </c>
      <c r="N676">
        <v>0.32</v>
      </c>
      <c r="O676">
        <v>0.37624999999999997</v>
      </c>
      <c r="P676" t="s">
        <v>40</v>
      </c>
    </row>
    <row r="677" spans="1:16" hidden="1" x14ac:dyDescent="0.25">
      <c r="A677" s="12">
        <v>46051.125</v>
      </c>
      <c r="B677" t="s">
        <v>7</v>
      </c>
      <c r="C677" t="s">
        <v>27</v>
      </c>
      <c r="D677">
        <v>11</v>
      </c>
      <c r="E677">
        <v>25</v>
      </c>
      <c r="F677">
        <v>23.110085114562089</v>
      </c>
      <c r="G677" t="str">
        <f>FLOOR(FinalData[[#This Row],[Temperature_C]],2)&amp;"–"&amp;(FLOOR(FinalData[[#This Row],[Temperature_C]],2)+2)&amp;"°C"</f>
        <v>22–24°C</v>
      </c>
      <c r="H677">
        <v>3.57</v>
      </c>
      <c r="I677">
        <v>2026</v>
      </c>
      <c r="J677">
        <v>1</v>
      </c>
      <c r="K677">
        <v>29</v>
      </c>
      <c r="L677">
        <v>4</v>
      </c>
      <c r="M677">
        <v>3</v>
      </c>
      <c r="N677">
        <v>0.44</v>
      </c>
      <c r="O677">
        <v>0.32454545454545453</v>
      </c>
      <c r="P677" t="s">
        <v>40</v>
      </c>
    </row>
    <row r="678" spans="1:16" hidden="1" x14ac:dyDescent="0.25">
      <c r="A678" s="12">
        <v>46051.166666666664</v>
      </c>
      <c r="B678" t="s">
        <v>13</v>
      </c>
      <c r="C678" t="s">
        <v>29</v>
      </c>
      <c r="D678">
        <v>7</v>
      </c>
      <c r="E678">
        <v>30</v>
      </c>
      <c r="F678">
        <v>22.72894746204226</v>
      </c>
      <c r="G678" t="str">
        <f>FLOOR(FinalData[[#This Row],[Temperature_C]],2)&amp;"–"&amp;(FLOOR(FinalData[[#This Row],[Temperature_C]],2)+2)&amp;"°C"</f>
        <v>22–24°C</v>
      </c>
      <c r="H678">
        <v>2.89</v>
      </c>
      <c r="I678">
        <v>2026</v>
      </c>
      <c r="J678">
        <v>1</v>
      </c>
      <c r="K678">
        <v>29</v>
      </c>
      <c r="L678">
        <v>4</v>
      </c>
      <c r="M678">
        <v>4</v>
      </c>
      <c r="N678">
        <v>0.23333333333333334</v>
      </c>
      <c r="O678">
        <v>0.41285714285714287</v>
      </c>
      <c r="P678" t="s">
        <v>40</v>
      </c>
    </row>
    <row r="679" spans="1:16" hidden="1" x14ac:dyDescent="0.25">
      <c r="A679" s="12">
        <v>46051.208333333336</v>
      </c>
      <c r="B679" t="s">
        <v>13</v>
      </c>
      <c r="C679" t="s">
        <v>30</v>
      </c>
      <c r="D679">
        <v>6</v>
      </c>
      <c r="E679">
        <v>20</v>
      </c>
      <c r="F679">
        <v>22.674592596861821</v>
      </c>
      <c r="G679" t="str">
        <f>FLOOR(FinalData[[#This Row],[Temperature_C]],2)&amp;"–"&amp;(FLOOR(FinalData[[#This Row],[Temperature_C]],2)+2)&amp;"°C"</f>
        <v>22–24°C</v>
      </c>
      <c r="H679">
        <v>2.14</v>
      </c>
      <c r="I679">
        <v>2026</v>
      </c>
      <c r="J679">
        <v>1</v>
      </c>
      <c r="K679">
        <v>29</v>
      </c>
      <c r="L679">
        <v>4</v>
      </c>
      <c r="M679">
        <v>5</v>
      </c>
      <c r="N679">
        <v>0.3</v>
      </c>
      <c r="O679">
        <v>0.35666666666666669</v>
      </c>
      <c r="P679" t="s">
        <v>40</v>
      </c>
    </row>
    <row r="680" spans="1:16" hidden="1" x14ac:dyDescent="0.25">
      <c r="A680" s="12">
        <v>46051.25</v>
      </c>
      <c r="B680" t="s">
        <v>7</v>
      </c>
      <c r="C680" t="s">
        <v>23</v>
      </c>
      <c r="D680">
        <v>4</v>
      </c>
      <c r="E680">
        <v>40</v>
      </c>
      <c r="F680">
        <v>24.412461949534141</v>
      </c>
      <c r="G680" t="str">
        <f>FLOOR(FinalData[[#This Row],[Temperature_C]],2)&amp;"–"&amp;(FLOOR(FinalData[[#This Row],[Temperature_C]],2)+2)&amp;"°C"</f>
        <v>24–26°C</v>
      </c>
      <c r="H680">
        <v>2.23</v>
      </c>
      <c r="I680">
        <v>2026</v>
      </c>
      <c r="J680">
        <v>1</v>
      </c>
      <c r="K680">
        <v>29</v>
      </c>
      <c r="L680">
        <v>4</v>
      </c>
      <c r="M680">
        <v>6</v>
      </c>
      <c r="N680">
        <v>0.1</v>
      </c>
      <c r="O680">
        <v>0.5575</v>
      </c>
      <c r="P680" t="s">
        <v>40</v>
      </c>
    </row>
    <row r="681" spans="1:16" hidden="1" x14ac:dyDescent="0.25">
      <c r="A681" s="12">
        <v>46051.291666666664</v>
      </c>
      <c r="B681" t="s">
        <v>13</v>
      </c>
      <c r="C681" t="s">
        <v>24</v>
      </c>
      <c r="D681">
        <v>6</v>
      </c>
      <c r="E681">
        <v>20</v>
      </c>
      <c r="F681">
        <v>27.675655490776599</v>
      </c>
      <c r="G681" t="str">
        <f>FLOOR(FinalData[[#This Row],[Temperature_C]],2)&amp;"–"&amp;(FLOOR(FinalData[[#This Row],[Temperature_C]],2)+2)&amp;"°C"</f>
        <v>26–28°C</v>
      </c>
      <c r="H681">
        <v>2.89</v>
      </c>
      <c r="I681">
        <v>2026</v>
      </c>
      <c r="J681">
        <v>1</v>
      </c>
      <c r="K681">
        <v>29</v>
      </c>
      <c r="L681">
        <v>4</v>
      </c>
      <c r="M681">
        <v>7</v>
      </c>
      <c r="N681">
        <v>0.3</v>
      </c>
      <c r="O681">
        <v>0.48166666666666669</v>
      </c>
      <c r="P681" t="s">
        <v>41</v>
      </c>
    </row>
    <row r="682" spans="1:16" hidden="1" x14ac:dyDescent="0.25">
      <c r="A682" s="12">
        <v>46051.333333333336</v>
      </c>
      <c r="B682" t="s">
        <v>9</v>
      </c>
      <c r="C682" t="s">
        <v>26</v>
      </c>
      <c r="D682">
        <v>7</v>
      </c>
      <c r="E682">
        <v>30</v>
      </c>
      <c r="F682">
        <v>24.644700941791509</v>
      </c>
      <c r="G682" t="str">
        <f>FLOOR(FinalData[[#This Row],[Temperature_C]],2)&amp;"–"&amp;(FLOOR(FinalData[[#This Row],[Temperature_C]],2)+2)&amp;"°C"</f>
        <v>24–26°C</v>
      </c>
      <c r="H682">
        <v>2.7</v>
      </c>
      <c r="I682">
        <v>2026</v>
      </c>
      <c r="J682">
        <v>1</v>
      </c>
      <c r="K682">
        <v>29</v>
      </c>
      <c r="L682">
        <v>4</v>
      </c>
      <c r="M682">
        <v>8</v>
      </c>
      <c r="N682">
        <v>0.23333333333333334</v>
      </c>
      <c r="O682">
        <v>0.38571428571428573</v>
      </c>
      <c r="P682" t="s">
        <v>41</v>
      </c>
    </row>
    <row r="683" spans="1:16" x14ac:dyDescent="0.25">
      <c r="A683" s="12">
        <v>46051.375</v>
      </c>
      <c r="B683" t="s">
        <v>11</v>
      </c>
      <c r="C683" t="s">
        <v>25</v>
      </c>
      <c r="D683">
        <v>9</v>
      </c>
      <c r="E683">
        <v>40</v>
      </c>
      <c r="F683">
        <v>21.367690021943911</v>
      </c>
      <c r="G683" t="str">
        <f>FLOOR(FinalData[[#This Row],[Temperature_C]],2)&amp;"–"&amp;(FLOOR(FinalData[[#This Row],[Temperature_C]],2)+2)&amp;"°C"</f>
        <v>20–22°C</v>
      </c>
      <c r="H683">
        <v>2.71</v>
      </c>
      <c r="I683">
        <v>2026</v>
      </c>
      <c r="J683">
        <v>1</v>
      </c>
      <c r="K683">
        <v>29</v>
      </c>
      <c r="L683">
        <v>4</v>
      </c>
      <c r="M683">
        <v>9</v>
      </c>
      <c r="N683">
        <v>0.22500000000000001</v>
      </c>
      <c r="O683">
        <v>0.30111111111111111</v>
      </c>
      <c r="P683" t="s">
        <v>41</v>
      </c>
    </row>
    <row r="684" spans="1:16" hidden="1" x14ac:dyDescent="0.25">
      <c r="A684" s="12">
        <v>46051.416666666664</v>
      </c>
      <c r="B684" t="s">
        <v>18</v>
      </c>
      <c r="C684" t="s">
        <v>30</v>
      </c>
      <c r="D684">
        <v>7</v>
      </c>
      <c r="E684">
        <v>40</v>
      </c>
      <c r="F684">
        <v>25.179809918181661</v>
      </c>
      <c r="G684" t="str">
        <f>FLOOR(FinalData[[#This Row],[Temperature_C]],2)&amp;"–"&amp;(FLOOR(FinalData[[#This Row],[Temperature_C]],2)+2)&amp;"°C"</f>
        <v>24–26°C</v>
      </c>
      <c r="H684">
        <v>2.86</v>
      </c>
      <c r="I684">
        <v>2026</v>
      </c>
      <c r="J684">
        <v>1</v>
      </c>
      <c r="K684">
        <v>29</v>
      </c>
      <c r="L684">
        <v>4</v>
      </c>
      <c r="M684">
        <v>10</v>
      </c>
      <c r="N684">
        <v>0.17499999999999999</v>
      </c>
      <c r="O684">
        <v>0.40857142857142853</v>
      </c>
      <c r="P684" t="s">
        <v>41</v>
      </c>
    </row>
    <row r="685" spans="1:16" hidden="1" x14ac:dyDescent="0.25">
      <c r="A685" s="12">
        <v>46051.458333333336</v>
      </c>
      <c r="B685" t="s">
        <v>7</v>
      </c>
      <c r="C685" t="s">
        <v>16</v>
      </c>
      <c r="D685">
        <v>5</v>
      </c>
      <c r="E685">
        <v>20</v>
      </c>
      <c r="F685">
        <v>22.966863180354959</v>
      </c>
      <c r="G685" t="str">
        <f>FLOOR(FinalData[[#This Row],[Temperature_C]],2)&amp;"–"&amp;(FLOOR(FinalData[[#This Row],[Temperature_C]],2)+2)&amp;"°C"</f>
        <v>22–24°C</v>
      </c>
      <c r="H685">
        <v>2.4</v>
      </c>
      <c r="I685">
        <v>2026</v>
      </c>
      <c r="J685">
        <v>1</v>
      </c>
      <c r="K685">
        <v>29</v>
      </c>
      <c r="L685">
        <v>4</v>
      </c>
      <c r="M685">
        <v>11</v>
      </c>
      <c r="N685">
        <v>0.25</v>
      </c>
      <c r="O685">
        <v>0.48</v>
      </c>
      <c r="P685" t="s">
        <v>41</v>
      </c>
    </row>
    <row r="686" spans="1:16" hidden="1" x14ac:dyDescent="0.25">
      <c r="A686" s="12">
        <v>46051.5</v>
      </c>
      <c r="B686" t="s">
        <v>13</v>
      </c>
      <c r="C686" t="s">
        <v>12</v>
      </c>
      <c r="D686">
        <v>6</v>
      </c>
      <c r="E686">
        <v>30</v>
      </c>
      <c r="F686">
        <v>25.58109645153592</v>
      </c>
      <c r="G686" t="str">
        <f>FLOOR(FinalData[[#This Row],[Temperature_C]],2)&amp;"–"&amp;(FLOOR(FinalData[[#This Row],[Temperature_C]],2)+2)&amp;"°C"</f>
        <v>24–26°C</v>
      </c>
      <c r="H686">
        <v>3.1</v>
      </c>
      <c r="I686">
        <v>2026</v>
      </c>
      <c r="J686">
        <v>1</v>
      </c>
      <c r="K686">
        <v>29</v>
      </c>
      <c r="L686">
        <v>4</v>
      </c>
      <c r="M686">
        <v>12</v>
      </c>
      <c r="N686">
        <v>0.2</v>
      </c>
      <c r="O686">
        <v>0.51666666666666672</v>
      </c>
      <c r="P686" t="s">
        <v>42</v>
      </c>
    </row>
    <row r="687" spans="1:16" hidden="1" x14ac:dyDescent="0.25">
      <c r="A687" s="12">
        <v>46051.541666666664</v>
      </c>
      <c r="B687" t="s">
        <v>9</v>
      </c>
      <c r="C687" t="s">
        <v>12</v>
      </c>
      <c r="D687">
        <v>2</v>
      </c>
      <c r="E687">
        <v>20</v>
      </c>
      <c r="F687">
        <v>21.45394058079459</v>
      </c>
      <c r="G687" t="str">
        <f>FLOOR(FinalData[[#This Row],[Temperature_C]],2)&amp;"–"&amp;(FLOOR(FinalData[[#This Row],[Temperature_C]],2)+2)&amp;"°C"</f>
        <v>20–22°C</v>
      </c>
      <c r="H687">
        <v>1.1200000000000001</v>
      </c>
      <c r="I687">
        <v>2026</v>
      </c>
      <c r="J687">
        <v>1</v>
      </c>
      <c r="K687">
        <v>29</v>
      </c>
      <c r="L687">
        <v>4</v>
      </c>
      <c r="M687">
        <v>13</v>
      </c>
      <c r="N687">
        <v>0.1</v>
      </c>
      <c r="O687">
        <v>0.56000000000000005</v>
      </c>
      <c r="P687" t="s">
        <v>42</v>
      </c>
    </row>
    <row r="688" spans="1:16" hidden="1" x14ac:dyDescent="0.25">
      <c r="A688" s="12">
        <v>46051.583333333336</v>
      </c>
      <c r="B688" t="s">
        <v>11</v>
      </c>
      <c r="C688" t="s">
        <v>22</v>
      </c>
      <c r="D688">
        <v>4</v>
      </c>
      <c r="E688">
        <v>30</v>
      </c>
      <c r="F688">
        <v>23.632136284803259</v>
      </c>
      <c r="G688" t="str">
        <f>FLOOR(FinalData[[#This Row],[Temperature_C]],2)&amp;"–"&amp;(FLOOR(FinalData[[#This Row],[Temperature_C]],2)+2)&amp;"°C"</f>
        <v>22–24°C</v>
      </c>
      <c r="H688">
        <v>1.88</v>
      </c>
      <c r="I688">
        <v>2026</v>
      </c>
      <c r="J688">
        <v>1</v>
      </c>
      <c r="K688">
        <v>29</v>
      </c>
      <c r="L688">
        <v>4</v>
      </c>
      <c r="M688">
        <v>14</v>
      </c>
      <c r="N688">
        <v>0.13333333333333333</v>
      </c>
      <c r="O688">
        <v>0.47</v>
      </c>
      <c r="P688" t="s">
        <v>42</v>
      </c>
    </row>
    <row r="689" spans="1:16" hidden="1" x14ac:dyDescent="0.25">
      <c r="A689" s="12">
        <v>46051.625</v>
      </c>
      <c r="B689" t="s">
        <v>7</v>
      </c>
      <c r="C689" t="s">
        <v>30</v>
      </c>
      <c r="D689">
        <v>4</v>
      </c>
      <c r="E689">
        <v>25</v>
      </c>
      <c r="F689">
        <v>22.682924615167089</v>
      </c>
      <c r="G689" t="str">
        <f>FLOOR(FinalData[[#This Row],[Temperature_C]],2)&amp;"–"&amp;(FLOOR(FinalData[[#This Row],[Temperature_C]],2)+2)&amp;"°C"</f>
        <v>22–24°C</v>
      </c>
      <c r="H689">
        <v>1.63</v>
      </c>
      <c r="I689">
        <v>2026</v>
      </c>
      <c r="J689">
        <v>1</v>
      </c>
      <c r="K689">
        <v>29</v>
      </c>
      <c r="L689">
        <v>4</v>
      </c>
      <c r="M689">
        <v>15</v>
      </c>
      <c r="N689">
        <v>0.16</v>
      </c>
      <c r="O689">
        <v>0.40749999999999997</v>
      </c>
      <c r="P689" t="s">
        <v>42</v>
      </c>
    </row>
    <row r="690" spans="1:16" hidden="1" x14ac:dyDescent="0.25">
      <c r="A690" s="12">
        <v>46051.666666666664</v>
      </c>
      <c r="B690" t="s">
        <v>9</v>
      </c>
      <c r="C690" t="s">
        <v>16</v>
      </c>
      <c r="D690">
        <v>10</v>
      </c>
      <c r="E690">
        <v>30</v>
      </c>
      <c r="F690">
        <v>24.422384906843149</v>
      </c>
      <c r="G690" t="str">
        <f>FLOOR(FinalData[[#This Row],[Temperature_C]],2)&amp;"–"&amp;(FLOOR(FinalData[[#This Row],[Temperature_C]],2)+2)&amp;"°C"</f>
        <v>24–26°C</v>
      </c>
      <c r="H690">
        <v>3.09</v>
      </c>
      <c r="I690">
        <v>2026</v>
      </c>
      <c r="J690">
        <v>1</v>
      </c>
      <c r="K690">
        <v>29</v>
      </c>
      <c r="L690">
        <v>4</v>
      </c>
      <c r="M690">
        <v>16</v>
      </c>
      <c r="N690">
        <v>0.33333333333333331</v>
      </c>
      <c r="O690">
        <v>0.309</v>
      </c>
      <c r="P690" t="s">
        <v>42</v>
      </c>
    </row>
    <row r="691" spans="1:16" hidden="1" x14ac:dyDescent="0.25">
      <c r="A691" s="12">
        <v>46051.708333333336</v>
      </c>
      <c r="B691" t="s">
        <v>11</v>
      </c>
      <c r="C691" t="s">
        <v>21</v>
      </c>
      <c r="D691">
        <v>5</v>
      </c>
      <c r="E691">
        <v>30</v>
      </c>
      <c r="F691">
        <v>27.47670632354172</v>
      </c>
      <c r="G691" t="str">
        <f>FLOOR(FinalData[[#This Row],[Temperature_C]],2)&amp;"–"&amp;(FLOOR(FinalData[[#This Row],[Temperature_C]],2)+2)&amp;"°C"</f>
        <v>26–28°C</v>
      </c>
      <c r="H691">
        <v>2.59</v>
      </c>
      <c r="I691">
        <v>2026</v>
      </c>
      <c r="J691">
        <v>1</v>
      </c>
      <c r="K691">
        <v>29</v>
      </c>
      <c r="L691">
        <v>4</v>
      </c>
      <c r="M691">
        <v>17</v>
      </c>
      <c r="N691">
        <v>0.16666666666666666</v>
      </c>
      <c r="O691">
        <v>0.51800000000000002</v>
      </c>
      <c r="P691" t="s">
        <v>43</v>
      </c>
    </row>
    <row r="692" spans="1:16" hidden="1" x14ac:dyDescent="0.25">
      <c r="A692" s="12">
        <v>46051.75</v>
      </c>
      <c r="B692" t="s">
        <v>13</v>
      </c>
      <c r="C692" t="s">
        <v>28</v>
      </c>
      <c r="D692">
        <v>11</v>
      </c>
      <c r="E692">
        <v>25</v>
      </c>
      <c r="F692">
        <v>24.962767984550069</v>
      </c>
      <c r="G692" t="str">
        <f>FLOOR(FinalData[[#This Row],[Temperature_C]],2)&amp;"–"&amp;(FLOOR(FinalData[[#This Row],[Temperature_C]],2)+2)&amp;"°C"</f>
        <v>24–26°C</v>
      </c>
      <c r="H692">
        <v>4.2</v>
      </c>
      <c r="I692">
        <v>2026</v>
      </c>
      <c r="J692">
        <v>1</v>
      </c>
      <c r="K692">
        <v>29</v>
      </c>
      <c r="L692">
        <v>4</v>
      </c>
      <c r="M692">
        <v>18</v>
      </c>
      <c r="N692">
        <v>0.44</v>
      </c>
      <c r="O692">
        <v>0.38181818181818183</v>
      </c>
      <c r="P692" t="s">
        <v>43</v>
      </c>
    </row>
    <row r="693" spans="1:16" hidden="1" x14ac:dyDescent="0.25">
      <c r="A693" s="12">
        <v>46051.791666666664</v>
      </c>
      <c r="B693" t="s">
        <v>7</v>
      </c>
      <c r="C693" t="s">
        <v>21</v>
      </c>
      <c r="D693">
        <v>6</v>
      </c>
      <c r="E693">
        <v>20</v>
      </c>
      <c r="F693">
        <v>21.895477495774781</v>
      </c>
      <c r="G693" t="str">
        <f>FLOOR(FinalData[[#This Row],[Temperature_C]],2)&amp;"–"&amp;(FLOOR(FinalData[[#This Row],[Temperature_C]],2)+2)&amp;"°C"</f>
        <v>20–22°C</v>
      </c>
      <c r="H693">
        <v>1.99</v>
      </c>
      <c r="I693">
        <v>2026</v>
      </c>
      <c r="J693">
        <v>1</v>
      </c>
      <c r="K693">
        <v>29</v>
      </c>
      <c r="L693">
        <v>4</v>
      </c>
      <c r="M693">
        <v>19</v>
      </c>
      <c r="N693">
        <v>0.3</v>
      </c>
      <c r="O693">
        <v>0.33166666666666667</v>
      </c>
      <c r="P693" t="s">
        <v>43</v>
      </c>
    </row>
    <row r="694" spans="1:16" hidden="1" x14ac:dyDescent="0.25">
      <c r="A694" s="12">
        <v>46051.833333333336</v>
      </c>
      <c r="B694" t="s">
        <v>18</v>
      </c>
      <c r="C694" t="s">
        <v>31</v>
      </c>
      <c r="D694">
        <v>3</v>
      </c>
      <c r="E694">
        <v>30</v>
      </c>
      <c r="F694">
        <v>27.58382253363737</v>
      </c>
      <c r="G694" t="str">
        <f>FLOOR(FinalData[[#This Row],[Temperature_C]],2)&amp;"–"&amp;(FLOOR(FinalData[[#This Row],[Temperature_C]],2)+2)&amp;"°C"</f>
        <v>26–28°C</v>
      </c>
      <c r="H694">
        <v>2.95</v>
      </c>
      <c r="I694">
        <v>2026</v>
      </c>
      <c r="J694">
        <v>1</v>
      </c>
      <c r="K694">
        <v>29</v>
      </c>
      <c r="L694">
        <v>4</v>
      </c>
      <c r="M694">
        <v>20</v>
      </c>
      <c r="N694">
        <v>0.1</v>
      </c>
      <c r="O694">
        <v>0.98333333333333339</v>
      </c>
      <c r="P694" t="s">
        <v>43</v>
      </c>
    </row>
    <row r="695" spans="1:16" hidden="1" x14ac:dyDescent="0.25">
      <c r="A695" s="12">
        <v>46051.875</v>
      </c>
      <c r="B695" t="s">
        <v>9</v>
      </c>
      <c r="C695" t="s">
        <v>27</v>
      </c>
      <c r="D695">
        <v>5</v>
      </c>
      <c r="E695">
        <v>20</v>
      </c>
      <c r="F695">
        <v>24.96770468721229</v>
      </c>
      <c r="G695" t="str">
        <f>FLOOR(FinalData[[#This Row],[Temperature_C]],2)&amp;"–"&amp;(FLOOR(FinalData[[#This Row],[Temperature_C]],2)+2)&amp;"°C"</f>
        <v>24–26°C</v>
      </c>
      <c r="H695">
        <v>2.5299999999999998</v>
      </c>
      <c r="I695">
        <v>2026</v>
      </c>
      <c r="J695">
        <v>1</v>
      </c>
      <c r="K695">
        <v>29</v>
      </c>
      <c r="L695">
        <v>4</v>
      </c>
      <c r="M695">
        <v>21</v>
      </c>
      <c r="N695">
        <v>0.25</v>
      </c>
      <c r="O695">
        <v>0.50600000000000001</v>
      </c>
      <c r="P695" t="s">
        <v>40</v>
      </c>
    </row>
    <row r="696" spans="1:16" hidden="1" x14ac:dyDescent="0.25">
      <c r="A696" s="12">
        <v>46051.916666666664</v>
      </c>
      <c r="B696" t="s">
        <v>9</v>
      </c>
      <c r="C696" t="s">
        <v>24</v>
      </c>
      <c r="D696">
        <v>6</v>
      </c>
      <c r="E696">
        <v>25</v>
      </c>
      <c r="F696">
        <v>25.84316571334535</v>
      </c>
      <c r="G696" t="str">
        <f>FLOOR(FinalData[[#This Row],[Temperature_C]],2)&amp;"–"&amp;(FLOOR(FinalData[[#This Row],[Temperature_C]],2)+2)&amp;"°C"</f>
        <v>24–26°C</v>
      </c>
      <c r="H696">
        <v>2.88</v>
      </c>
      <c r="I696">
        <v>2026</v>
      </c>
      <c r="J696">
        <v>1</v>
      </c>
      <c r="K696">
        <v>29</v>
      </c>
      <c r="L696">
        <v>4</v>
      </c>
      <c r="M696">
        <v>22</v>
      </c>
      <c r="N696">
        <v>0.24</v>
      </c>
      <c r="O696">
        <v>0.48</v>
      </c>
      <c r="P696" t="s">
        <v>40</v>
      </c>
    </row>
    <row r="697" spans="1:16" hidden="1" x14ac:dyDescent="0.25">
      <c r="A697" s="12">
        <v>46051.958333333336</v>
      </c>
      <c r="B697" t="s">
        <v>11</v>
      </c>
      <c r="C697" t="s">
        <v>17</v>
      </c>
      <c r="D697">
        <v>11</v>
      </c>
      <c r="E697">
        <v>40</v>
      </c>
      <c r="F697">
        <v>22.08700540306328</v>
      </c>
      <c r="G697" t="str">
        <f>FLOOR(FinalData[[#This Row],[Temperature_C]],2)&amp;"–"&amp;(FLOOR(FinalData[[#This Row],[Temperature_C]],2)+2)&amp;"°C"</f>
        <v>22–24°C</v>
      </c>
      <c r="H697">
        <v>3.95</v>
      </c>
      <c r="I697">
        <v>2026</v>
      </c>
      <c r="J697">
        <v>1</v>
      </c>
      <c r="K697">
        <v>29</v>
      </c>
      <c r="L697">
        <v>4</v>
      </c>
      <c r="M697">
        <v>23</v>
      </c>
      <c r="N697">
        <v>0.27500000000000002</v>
      </c>
      <c r="O697">
        <v>0.35909090909090913</v>
      </c>
      <c r="P697" t="s">
        <v>40</v>
      </c>
    </row>
    <row r="698" spans="1:16" hidden="1" x14ac:dyDescent="0.25">
      <c r="A698" s="12">
        <v>46052</v>
      </c>
      <c r="B698" t="s">
        <v>13</v>
      </c>
      <c r="C698" t="s">
        <v>20</v>
      </c>
      <c r="D698">
        <v>5</v>
      </c>
      <c r="E698">
        <v>30</v>
      </c>
      <c r="F698">
        <v>24.583308412187051</v>
      </c>
      <c r="G698" t="str">
        <f>FLOOR(FinalData[[#This Row],[Temperature_C]],2)&amp;"–"&amp;(FLOOR(FinalData[[#This Row],[Temperature_C]],2)+2)&amp;"°C"</f>
        <v>24–26°C</v>
      </c>
      <c r="H698">
        <v>2.1</v>
      </c>
      <c r="I698">
        <v>2026</v>
      </c>
      <c r="J698">
        <v>1</v>
      </c>
      <c r="K698">
        <v>30</v>
      </c>
      <c r="L698">
        <v>5</v>
      </c>
      <c r="M698">
        <v>0</v>
      </c>
      <c r="N698">
        <v>0.16666666666666666</v>
      </c>
      <c r="O698">
        <v>0.42000000000000004</v>
      </c>
      <c r="P698" t="s">
        <v>40</v>
      </c>
    </row>
    <row r="699" spans="1:16" hidden="1" x14ac:dyDescent="0.25">
      <c r="A699" s="12">
        <v>46052.041666666664</v>
      </c>
      <c r="B699" t="s">
        <v>18</v>
      </c>
      <c r="C699" t="s">
        <v>8</v>
      </c>
      <c r="D699">
        <v>6</v>
      </c>
      <c r="E699">
        <v>30</v>
      </c>
      <c r="F699">
        <v>21.790186472143649</v>
      </c>
      <c r="G699" t="str">
        <f>FLOOR(FinalData[[#This Row],[Temperature_C]],2)&amp;"–"&amp;(FLOOR(FinalData[[#This Row],[Temperature_C]],2)+2)&amp;"°C"</f>
        <v>20–22°C</v>
      </c>
      <c r="H699">
        <v>2.48</v>
      </c>
      <c r="I699">
        <v>2026</v>
      </c>
      <c r="J699">
        <v>1</v>
      </c>
      <c r="K699">
        <v>30</v>
      </c>
      <c r="L699">
        <v>5</v>
      </c>
      <c r="M699">
        <v>1</v>
      </c>
      <c r="N699">
        <v>0.2</v>
      </c>
      <c r="O699">
        <v>0.41333333333333333</v>
      </c>
      <c r="P699" t="s">
        <v>40</v>
      </c>
    </row>
    <row r="700" spans="1:16" hidden="1" x14ac:dyDescent="0.25">
      <c r="A700" s="12">
        <v>46052.083333333336</v>
      </c>
      <c r="B700" t="s">
        <v>7</v>
      </c>
      <c r="C700" t="s">
        <v>20</v>
      </c>
      <c r="D700">
        <v>9</v>
      </c>
      <c r="E700">
        <v>25</v>
      </c>
      <c r="F700">
        <v>25.779528267892712</v>
      </c>
      <c r="G700" t="str">
        <f>FLOOR(FinalData[[#This Row],[Temperature_C]],2)&amp;"–"&amp;(FLOOR(FinalData[[#This Row],[Temperature_C]],2)+2)&amp;"°C"</f>
        <v>24–26°C</v>
      </c>
      <c r="H700">
        <v>3.21</v>
      </c>
      <c r="I700">
        <v>2026</v>
      </c>
      <c r="J700">
        <v>1</v>
      </c>
      <c r="K700">
        <v>30</v>
      </c>
      <c r="L700">
        <v>5</v>
      </c>
      <c r="M700">
        <v>2</v>
      </c>
      <c r="N700">
        <v>0.36</v>
      </c>
      <c r="O700">
        <v>0.35666666666666669</v>
      </c>
      <c r="P700" t="s">
        <v>40</v>
      </c>
    </row>
    <row r="701" spans="1:16" hidden="1" x14ac:dyDescent="0.25">
      <c r="A701" s="12">
        <v>46052.125</v>
      </c>
      <c r="B701" t="s">
        <v>13</v>
      </c>
      <c r="C701" t="s">
        <v>22</v>
      </c>
      <c r="D701">
        <v>9</v>
      </c>
      <c r="E701">
        <v>30</v>
      </c>
      <c r="F701">
        <v>21.799228614257789</v>
      </c>
      <c r="G701" t="str">
        <f>FLOOR(FinalData[[#This Row],[Temperature_C]],2)&amp;"–"&amp;(FLOOR(FinalData[[#This Row],[Temperature_C]],2)+2)&amp;"°C"</f>
        <v>20–22°C</v>
      </c>
      <c r="H701">
        <v>3.12</v>
      </c>
      <c r="I701">
        <v>2026</v>
      </c>
      <c r="J701">
        <v>1</v>
      </c>
      <c r="K701">
        <v>30</v>
      </c>
      <c r="L701">
        <v>5</v>
      </c>
      <c r="M701">
        <v>3</v>
      </c>
      <c r="N701">
        <v>0.3</v>
      </c>
      <c r="O701">
        <v>0.34666666666666668</v>
      </c>
      <c r="P701" t="s">
        <v>40</v>
      </c>
    </row>
    <row r="702" spans="1:16" hidden="1" x14ac:dyDescent="0.25">
      <c r="A702" s="12">
        <v>46052.166666666664</v>
      </c>
      <c r="B702" t="s">
        <v>11</v>
      </c>
      <c r="C702" t="s">
        <v>14</v>
      </c>
      <c r="D702">
        <v>8</v>
      </c>
      <c r="E702">
        <v>25</v>
      </c>
      <c r="F702">
        <v>27.783839864239031</v>
      </c>
      <c r="G702" t="str">
        <f>FLOOR(FinalData[[#This Row],[Temperature_C]],2)&amp;"–"&amp;(FLOOR(FinalData[[#This Row],[Temperature_C]],2)+2)&amp;"°C"</f>
        <v>26–28°C</v>
      </c>
      <c r="H702">
        <v>3.44</v>
      </c>
      <c r="I702">
        <v>2026</v>
      </c>
      <c r="J702">
        <v>1</v>
      </c>
      <c r="K702">
        <v>30</v>
      </c>
      <c r="L702">
        <v>5</v>
      </c>
      <c r="M702">
        <v>4</v>
      </c>
      <c r="N702">
        <v>0.32</v>
      </c>
      <c r="O702">
        <v>0.43</v>
      </c>
      <c r="P702" t="s">
        <v>40</v>
      </c>
    </row>
    <row r="703" spans="1:16" hidden="1" x14ac:dyDescent="0.25">
      <c r="A703" s="12">
        <v>46052.208333333336</v>
      </c>
      <c r="B703" t="s">
        <v>7</v>
      </c>
      <c r="C703" t="s">
        <v>17</v>
      </c>
      <c r="D703">
        <v>2</v>
      </c>
      <c r="E703">
        <v>20</v>
      </c>
      <c r="F703">
        <v>24.820431567329489</v>
      </c>
      <c r="G703" t="str">
        <f>FLOOR(FinalData[[#This Row],[Temperature_C]],2)&amp;"–"&amp;(FLOOR(FinalData[[#This Row],[Temperature_C]],2)+2)&amp;"°C"</f>
        <v>24–26°C</v>
      </c>
      <c r="H703">
        <v>1.67</v>
      </c>
      <c r="I703">
        <v>2026</v>
      </c>
      <c r="J703">
        <v>1</v>
      </c>
      <c r="K703">
        <v>30</v>
      </c>
      <c r="L703">
        <v>5</v>
      </c>
      <c r="M703">
        <v>5</v>
      </c>
      <c r="N703">
        <v>0.1</v>
      </c>
      <c r="O703">
        <v>0.83499999999999996</v>
      </c>
      <c r="P703" t="s">
        <v>40</v>
      </c>
    </row>
    <row r="704" spans="1:16" hidden="1" x14ac:dyDescent="0.25">
      <c r="A704" s="12">
        <v>46052.25</v>
      </c>
      <c r="B704" t="s">
        <v>11</v>
      </c>
      <c r="C704" t="s">
        <v>20</v>
      </c>
      <c r="D704">
        <v>11</v>
      </c>
      <c r="E704">
        <v>40</v>
      </c>
      <c r="F704">
        <v>20.919602578089059</v>
      </c>
      <c r="G704" t="str">
        <f>FLOOR(FinalData[[#This Row],[Temperature_C]],2)&amp;"–"&amp;(FLOOR(FinalData[[#This Row],[Temperature_C]],2)+2)&amp;"°C"</f>
        <v>20–22°C</v>
      </c>
      <c r="H704">
        <v>3.92</v>
      </c>
      <c r="I704">
        <v>2026</v>
      </c>
      <c r="J704">
        <v>1</v>
      </c>
      <c r="K704">
        <v>30</v>
      </c>
      <c r="L704">
        <v>5</v>
      </c>
      <c r="M704">
        <v>6</v>
      </c>
      <c r="N704">
        <v>0.27500000000000002</v>
      </c>
      <c r="O704">
        <v>0.35636363636363638</v>
      </c>
      <c r="P704" t="s">
        <v>40</v>
      </c>
    </row>
    <row r="705" spans="1:16" x14ac:dyDescent="0.25">
      <c r="A705" s="12">
        <v>46052.291666666664</v>
      </c>
      <c r="B705" t="s">
        <v>11</v>
      </c>
      <c r="C705" t="s">
        <v>30</v>
      </c>
      <c r="D705">
        <v>10</v>
      </c>
      <c r="E705">
        <v>20</v>
      </c>
      <c r="F705">
        <v>21.258891288707691</v>
      </c>
      <c r="G705" t="str">
        <f>FLOOR(FinalData[[#This Row],[Temperature_C]],2)&amp;"–"&amp;(FLOOR(FinalData[[#This Row],[Temperature_C]],2)+2)&amp;"°C"</f>
        <v>20–22°C</v>
      </c>
      <c r="H705">
        <v>3.21</v>
      </c>
      <c r="I705">
        <v>2026</v>
      </c>
      <c r="J705">
        <v>1</v>
      </c>
      <c r="K705">
        <v>30</v>
      </c>
      <c r="L705">
        <v>5</v>
      </c>
      <c r="M705">
        <v>7</v>
      </c>
      <c r="N705">
        <v>0.5</v>
      </c>
      <c r="O705">
        <v>0.32100000000000001</v>
      </c>
      <c r="P705" t="s">
        <v>41</v>
      </c>
    </row>
    <row r="706" spans="1:16" hidden="1" x14ac:dyDescent="0.25">
      <c r="A706" s="12">
        <v>46052.333333333336</v>
      </c>
      <c r="B706" t="s">
        <v>9</v>
      </c>
      <c r="C706" t="s">
        <v>8</v>
      </c>
      <c r="D706">
        <v>9</v>
      </c>
      <c r="E706">
        <v>30</v>
      </c>
      <c r="F706">
        <v>24.72236907552756</v>
      </c>
      <c r="G706" t="str">
        <f>FLOOR(FinalData[[#This Row],[Temperature_C]],2)&amp;"–"&amp;(FLOOR(FinalData[[#This Row],[Temperature_C]],2)+2)&amp;"°C"</f>
        <v>24–26°C</v>
      </c>
      <c r="H706">
        <v>3.13</v>
      </c>
      <c r="I706">
        <v>2026</v>
      </c>
      <c r="J706">
        <v>1</v>
      </c>
      <c r="K706">
        <v>30</v>
      </c>
      <c r="L706">
        <v>5</v>
      </c>
      <c r="M706">
        <v>8</v>
      </c>
      <c r="N706">
        <v>0.3</v>
      </c>
      <c r="O706">
        <v>0.34777777777777774</v>
      </c>
      <c r="P706" t="s">
        <v>41</v>
      </c>
    </row>
    <row r="707" spans="1:16" hidden="1" x14ac:dyDescent="0.25">
      <c r="A707" s="12">
        <v>46052.375</v>
      </c>
      <c r="B707" t="s">
        <v>18</v>
      </c>
      <c r="C707" t="s">
        <v>20</v>
      </c>
      <c r="D707">
        <v>8</v>
      </c>
      <c r="E707">
        <v>20</v>
      </c>
      <c r="F707">
        <v>24.91460964518706</v>
      </c>
      <c r="G707" t="str">
        <f>FLOOR(FinalData[[#This Row],[Temperature_C]],2)&amp;"–"&amp;(FLOOR(FinalData[[#This Row],[Temperature_C]],2)+2)&amp;"°C"</f>
        <v>24–26°C</v>
      </c>
      <c r="H707">
        <v>3.21</v>
      </c>
      <c r="I707">
        <v>2026</v>
      </c>
      <c r="J707">
        <v>1</v>
      </c>
      <c r="K707">
        <v>30</v>
      </c>
      <c r="L707">
        <v>5</v>
      </c>
      <c r="M707">
        <v>9</v>
      </c>
      <c r="N707">
        <v>0.4</v>
      </c>
      <c r="O707">
        <v>0.40125</v>
      </c>
      <c r="P707" t="s">
        <v>41</v>
      </c>
    </row>
    <row r="708" spans="1:16" hidden="1" x14ac:dyDescent="0.25">
      <c r="A708" s="12">
        <v>46052.416666666664</v>
      </c>
      <c r="B708" t="s">
        <v>7</v>
      </c>
      <c r="C708" t="s">
        <v>20</v>
      </c>
      <c r="D708">
        <v>11</v>
      </c>
      <c r="E708">
        <v>20</v>
      </c>
      <c r="F708">
        <v>22.11347307036419</v>
      </c>
      <c r="G708" t="str">
        <f>FLOOR(FinalData[[#This Row],[Temperature_C]],2)&amp;"–"&amp;(FLOOR(FinalData[[#This Row],[Temperature_C]],2)+2)&amp;"°C"</f>
        <v>22–24°C</v>
      </c>
      <c r="H708">
        <v>3.48</v>
      </c>
      <c r="I708">
        <v>2026</v>
      </c>
      <c r="J708">
        <v>1</v>
      </c>
      <c r="K708">
        <v>30</v>
      </c>
      <c r="L708">
        <v>5</v>
      </c>
      <c r="M708">
        <v>10</v>
      </c>
      <c r="N708">
        <v>0.55000000000000004</v>
      </c>
      <c r="O708">
        <v>0.31636363636363635</v>
      </c>
      <c r="P708" t="s">
        <v>41</v>
      </c>
    </row>
    <row r="709" spans="1:16" hidden="1" x14ac:dyDescent="0.25">
      <c r="A709" s="12">
        <v>46052.458333333336</v>
      </c>
      <c r="B709" t="s">
        <v>13</v>
      </c>
      <c r="C709" t="s">
        <v>16</v>
      </c>
      <c r="D709">
        <v>8</v>
      </c>
      <c r="E709">
        <v>30</v>
      </c>
      <c r="F709">
        <v>22.13591237151045</v>
      </c>
      <c r="G709" t="str">
        <f>FLOOR(FinalData[[#This Row],[Temperature_C]],2)&amp;"–"&amp;(FLOOR(FinalData[[#This Row],[Temperature_C]],2)+2)&amp;"°C"</f>
        <v>22–24°C</v>
      </c>
      <c r="H709">
        <v>3.36</v>
      </c>
      <c r="I709">
        <v>2026</v>
      </c>
      <c r="J709">
        <v>1</v>
      </c>
      <c r="K709">
        <v>30</v>
      </c>
      <c r="L709">
        <v>5</v>
      </c>
      <c r="M709">
        <v>11</v>
      </c>
      <c r="N709">
        <v>0.26666666666666666</v>
      </c>
      <c r="O709">
        <v>0.42</v>
      </c>
      <c r="P709" t="s">
        <v>41</v>
      </c>
    </row>
    <row r="710" spans="1:16" hidden="1" x14ac:dyDescent="0.25">
      <c r="A710" s="12">
        <v>46052.5</v>
      </c>
      <c r="B710" t="s">
        <v>13</v>
      </c>
      <c r="C710" t="s">
        <v>22</v>
      </c>
      <c r="D710">
        <v>4</v>
      </c>
      <c r="E710">
        <v>30</v>
      </c>
      <c r="F710">
        <v>22.712680940205761</v>
      </c>
      <c r="G710" t="str">
        <f>FLOOR(FinalData[[#This Row],[Temperature_C]],2)&amp;"–"&amp;(FLOOR(FinalData[[#This Row],[Temperature_C]],2)+2)&amp;"°C"</f>
        <v>22–24°C</v>
      </c>
      <c r="H710">
        <v>1.86</v>
      </c>
      <c r="I710">
        <v>2026</v>
      </c>
      <c r="J710">
        <v>1</v>
      </c>
      <c r="K710">
        <v>30</v>
      </c>
      <c r="L710">
        <v>5</v>
      </c>
      <c r="M710">
        <v>12</v>
      </c>
      <c r="N710">
        <v>0.13333333333333333</v>
      </c>
      <c r="O710">
        <v>0.46500000000000002</v>
      </c>
      <c r="P710" t="s">
        <v>42</v>
      </c>
    </row>
    <row r="711" spans="1:16" hidden="1" x14ac:dyDescent="0.25">
      <c r="A711" s="12">
        <v>46052.541666666664</v>
      </c>
      <c r="B711" t="s">
        <v>9</v>
      </c>
      <c r="C711" t="s">
        <v>22</v>
      </c>
      <c r="D711">
        <v>11</v>
      </c>
      <c r="E711">
        <v>20</v>
      </c>
      <c r="F711">
        <v>18.845760292452251</v>
      </c>
      <c r="G711" t="str">
        <f>FLOOR(FinalData[[#This Row],[Temperature_C]],2)&amp;"–"&amp;(FLOOR(FinalData[[#This Row],[Temperature_C]],2)+2)&amp;"°C"</f>
        <v>18–20°C</v>
      </c>
      <c r="H711">
        <v>3.95</v>
      </c>
      <c r="I711">
        <v>2026</v>
      </c>
      <c r="J711">
        <v>1</v>
      </c>
      <c r="K711">
        <v>30</v>
      </c>
      <c r="L711">
        <v>5</v>
      </c>
      <c r="M711">
        <v>13</v>
      </c>
      <c r="N711">
        <v>0.55000000000000004</v>
      </c>
      <c r="O711">
        <v>0.35909090909090913</v>
      </c>
      <c r="P711" t="s">
        <v>42</v>
      </c>
    </row>
    <row r="712" spans="1:16" hidden="1" x14ac:dyDescent="0.25">
      <c r="A712" s="12">
        <v>46052.583333333336</v>
      </c>
      <c r="B712" t="s">
        <v>11</v>
      </c>
      <c r="C712" t="s">
        <v>10</v>
      </c>
      <c r="D712">
        <v>11</v>
      </c>
      <c r="E712">
        <v>30</v>
      </c>
      <c r="F712">
        <v>21.35824215518063</v>
      </c>
      <c r="G712" t="str">
        <f>FLOOR(FinalData[[#This Row],[Temperature_C]],2)&amp;"–"&amp;(FLOOR(FinalData[[#This Row],[Temperature_C]],2)+2)&amp;"°C"</f>
        <v>20–22°C</v>
      </c>
      <c r="H712">
        <v>3.52</v>
      </c>
      <c r="I712">
        <v>2026</v>
      </c>
      <c r="J712">
        <v>1</v>
      </c>
      <c r="K712">
        <v>30</v>
      </c>
      <c r="L712">
        <v>5</v>
      </c>
      <c r="M712">
        <v>14</v>
      </c>
      <c r="N712">
        <v>0.36666666666666664</v>
      </c>
      <c r="O712">
        <v>0.32</v>
      </c>
      <c r="P712" t="s">
        <v>42</v>
      </c>
    </row>
    <row r="713" spans="1:16" hidden="1" x14ac:dyDescent="0.25">
      <c r="A713" s="12">
        <v>46052.625</v>
      </c>
      <c r="B713" t="s">
        <v>9</v>
      </c>
      <c r="C713" t="s">
        <v>14</v>
      </c>
      <c r="D713">
        <v>7</v>
      </c>
      <c r="E713">
        <v>20</v>
      </c>
      <c r="F713">
        <v>22.656652692150431</v>
      </c>
      <c r="G713" t="str">
        <f>FLOOR(FinalData[[#This Row],[Temperature_C]],2)&amp;"–"&amp;(FLOOR(FinalData[[#This Row],[Temperature_C]],2)+2)&amp;"°C"</f>
        <v>22–24°C</v>
      </c>
      <c r="H713">
        <v>2.98</v>
      </c>
      <c r="I713">
        <v>2026</v>
      </c>
      <c r="J713">
        <v>1</v>
      </c>
      <c r="K713">
        <v>30</v>
      </c>
      <c r="L713">
        <v>5</v>
      </c>
      <c r="M713">
        <v>15</v>
      </c>
      <c r="N713">
        <v>0.35</v>
      </c>
      <c r="O713">
        <v>0.42571428571428571</v>
      </c>
      <c r="P713" t="s">
        <v>42</v>
      </c>
    </row>
    <row r="714" spans="1:16" hidden="1" x14ac:dyDescent="0.25">
      <c r="A714" s="12">
        <v>46052.666666666664</v>
      </c>
      <c r="B714" t="s">
        <v>7</v>
      </c>
      <c r="C714" t="s">
        <v>28</v>
      </c>
      <c r="D714">
        <v>11</v>
      </c>
      <c r="E714">
        <v>25</v>
      </c>
      <c r="F714">
        <v>23.878905380915981</v>
      </c>
      <c r="G714" t="str">
        <f>FLOOR(FinalData[[#This Row],[Temperature_C]],2)&amp;"–"&amp;(FLOOR(FinalData[[#This Row],[Temperature_C]],2)+2)&amp;"°C"</f>
        <v>22–24°C</v>
      </c>
      <c r="H714">
        <v>4.21</v>
      </c>
      <c r="I714">
        <v>2026</v>
      </c>
      <c r="J714">
        <v>1</v>
      </c>
      <c r="K714">
        <v>30</v>
      </c>
      <c r="L714">
        <v>5</v>
      </c>
      <c r="M714">
        <v>16</v>
      </c>
      <c r="N714">
        <v>0.44</v>
      </c>
      <c r="O714">
        <v>0.38272727272727275</v>
      </c>
      <c r="P714" t="s">
        <v>42</v>
      </c>
    </row>
    <row r="715" spans="1:16" hidden="1" x14ac:dyDescent="0.25">
      <c r="A715" s="12">
        <v>46052.708333333336</v>
      </c>
      <c r="B715" t="s">
        <v>7</v>
      </c>
      <c r="C715" t="s">
        <v>16</v>
      </c>
      <c r="D715">
        <v>11</v>
      </c>
      <c r="E715">
        <v>30</v>
      </c>
      <c r="F715">
        <v>23.233660348344369</v>
      </c>
      <c r="G715" t="str">
        <f>FLOOR(FinalData[[#This Row],[Temperature_C]],2)&amp;"–"&amp;(FLOOR(FinalData[[#This Row],[Temperature_C]],2)+2)&amp;"°C"</f>
        <v>22–24°C</v>
      </c>
      <c r="H715">
        <v>3.35</v>
      </c>
      <c r="I715">
        <v>2026</v>
      </c>
      <c r="J715">
        <v>1</v>
      </c>
      <c r="K715">
        <v>30</v>
      </c>
      <c r="L715">
        <v>5</v>
      </c>
      <c r="M715">
        <v>17</v>
      </c>
      <c r="N715">
        <v>0.36666666666666664</v>
      </c>
      <c r="O715">
        <v>0.30454545454545456</v>
      </c>
      <c r="P715" t="s">
        <v>43</v>
      </c>
    </row>
    <row r="716" spans="1:16" hidden="1" x14ac:dyDescent="0.25">
      <c r="A716" s="12">
        <v>46052.75</v>
      </c>
      <c r="B716" t="s">
        <v>18</v>
      </c>
      <c r="C716" t="s">
        <v>29</v>
      </c>
      <c r="D716">
        <v>5</v>
      </c>
      <c r="E716">
        <v>30</v>
      </c>
      <c r="F716">
        <v>22.268645834938962</v>
      </c>
      <c r="G716" t="str">
        <f>FLOOR(FinalData[[#This Row],[Temperature_C]],2)&amp;"–"&amp;(FLOOR(FinalData[[#This Row],[Temperature_C]],2)+2)&amp;"°C"</f>
        <v>22–24°C</v>
      </c>
      <c r="H716">
        <v>2.2400000000000002</v>
      </c>
      <c r="I716">
        <v>2026</v>
      </c>
      <c r="J716">
        <v>1</v>
      </c>
      <c r="K716">
        <v>30</v>
      </c>
      <c r="L716">
        <v>5</v>
      </c>
      <c r="M716">
        <v>18</v>
      </c>
      <c r="N716">
        <v>0.16666666666666666</v>
      </c>
      <c r="O716">
        <v>0.44800000000000006</v>
      </c>
      <c r="P716" t="s">
        <v>43</v>
      </c>
    </row>
    <row r="717" spans="1:16" hidden="1" x14ac:dyDescent="0.25">
      <c r="A717" s="12">
        <v>46052.791666666664</v>
      </c>
      <c r="B717" t="s">
        <v>18</v>
      </c>
      <c r="C717" t="s">
        <v>31</v>
      </c>
      <c r="D717">
        <v>10</v>
      </c>
      <c r="E717">
        <v>25</v>
      </c>
      <c r="F717">
        <v>24.93208159611472</v>
      </c>
      <c r="G717" t="str">
        <f>FLOOR(FinalData[[#This Row],[Temperature_C]],2)&amp;"–"&amp;(FLOOR(FinalData[[#This Row],[Temperature_C]],2)+2)&amp;"°C"</f>
        <v>24–26°C</v>
      </c>
      <c r="H717">
        <v>4.1500000000000004</v>
      </c>
      <c r="I717">
        <v>2026</v>
      </c>
      <c r="J717">
        <v>1</v>
      </c>
      <c r="K717">
        <v>30</v>
      </c>
      <c r="L717">
        <v>5</v>
      </c>
      <c r="M717">
        <v>19</v>
      </c>
      <c r="N717">
        <v>0.4</v>
      </c>
      <c r="O717">
        <v>0.41500000000000004</v>
      </c>
      <c r="P717" t="s">
        <v>43</v>
      </c>
    </row>
    <row r="718" spans="1:16" hidden="1" x14ac:dyDescent="0.25">
      <c r="A718" s="12">
        <v>46052.833333333336</v>
      </c>
      <c r="B718" t="s">
        <v>7</v>
      </c>
      <c r="C718" t="s">
        <v>17</v>
      </c>
      <c r="D718">
        <v>6</v>
      </c>
      <c r="E718">
        <v>40</v>
      </c>
      <c r="F718">
        <v>25.605180793572458</v>
      </c>
      <c r="G718" t="str">
        <f>FLOOR(FinalData[[#This Row],[Temperature_C]],2)&amp;"–"&amp;(FLOOR(FinalData[[#This Row],[Temperature_C]],2)+2)&amp;"°C"</f>
        <v>24–26°C</v>
      </c>
      <c r="H718">
        <v>2.88</v>
      </c>
      <c r="I718">
        <v>2026</v>
      </c>
      <c r="J718">
        <v>1</v>
      </c>
      <c r="K718">
        <v>30</v>
      </c>
      <c r="L718">
        <v>5</v>
      </c>
      <c r="M718">
        <v>20</v>
      </c>
      <c r="N718">
        <v>0.15</v>
      </c>
      <c r="O718">
        <v>0.48</v>
      </c>
      <c r="P718" t="s">
        <v>43</v>
      </c>
    </row>
    <row r="719" spans="1:16" hidden="1" x14ac:dyDescent="0.25">
      <c r="A719" s="12">
        <v>46052.875</v>
      </c>
      <c r="B719" t="s">
        <v>9</v>
      </c>
      <c r="C719" t="s">
        <v>12</v>
      </c>
      <c r="D719">
        <v>9</v>
      </c>
      <c r="E719">
        <v>30</v>
      </c>
      <c r="F719">
        <v>21.742659505938281</v>
      </c>
      <c r="G719" t="str">
        <f>FLOOR(FinalData[[#This Row],[Temperature_C]],2)&amp;"–"&amp;(FLOOR(FinalData[[#This Row],[Temperature_C]],2)+2)&amp;"°C"</f>
        <v>20–22°C</v>
      </c>
      <c r="H719">
        <v>2.2999999999999998</v>
      </c>
      <c r="I719">
        <v>2026</v>
      </c>
      <c r="J719">
        <v>1</v>
      </c>
      <c r="K719">
        <v>30</v>
      </c>
      <c r="L719">
        <v>5</v>
      </c>
      <c r="M719">
        <v>21</v>
      </c>
      <c r="N719">
        <v>0.3</v>
      </c>
      <c r="O719">
        <v>0.25555555555555554</v>
      </c>
      <c r="P719" t="s">
        <v>40</v>
      </c>
    </row>
    <row r="720" spans="1:16" hidden="1" x14ac:dyDescent="0.25">
      <c r="A720" s="12">
        <v>46052.916666666664</v>
      </c>
      <c r="B720" t="s">
        <v>7</v>
      </c>
      <c r="C720" t="s">
        <v>14</v>
      </c>
      <c r="D720">
        <v>7</v>
      </c>
      <c r="E720">
        <v>40</v>
      </c>
      <c r="F720">
        <v>19.200659438282241</v>
      </c>
      <c r="G720" t="str">
        <f>FLOOR(FinalData[[#This Row],[Temperature_C]],2)&amp;"–"&amp;(FLOOR(FinalData[[#This Row],[Temperature_C]],2)+2)&amp;"°C"</f>
        <v>18–20°C</v>
      </c>
      <c r="H720">
        <v>2.93</v>
      </c>
      <c r="I720">
        <v>2026</v>
      </c>
      <c r="J720">
        <v>1</v>
      </c>
      <c r="K720">
        <v>30</v>
      </c>
      <c r="L720">
        <v>5</v>
      </c>
      <c r="M720">
        <v>22</v>
      </c>
      <c r="N720">
        <v>0.17499999999999999</v>
      </c>
      <c r="O720">
        <v>0.41857142857142859</v>
      </c>
      <c r="P720" t="s">
        <v>40</v>
      </c>
    </row>
    <row r="721" spans="1:16" hidden="1" x14ac:dyDescent="0.25">
      <c r="A721" s="12">
        <v>46052.958333333336</v>
      </c>
      <c r="B721" t="s">
        <v>18</v>
      </c>
      <c r="C721" t="s">
        <v>23</v>
      </c>
      <c r="D721">
        <v>5</v>
      </c>
      <c r="E721">
        <v>20</v>
      </c>
      <c r="F721">
        <v>21.467909595199199</v>
      </c>
      <c r="G721" t="str">
        <f>FLOOR(FinalData[[#This Row],[Temperature_C]],2)&amp;"–"&amp;(FLOOR(FinalData[[#This Row],[Temperature_C]],2)+2)&amp;"°C"</f>
        <v>20–22°C</v>
      </c>
      <c r="H721">
        <v>1.99</v>
      </c>
      <c r="I721">
        <v>2026</v>
      </c>
      <c r="J721">
        <v>1</v>
      </c>
      <c r="K721">
        <v>30</v>
      </c>
      <c r="L721">
        <v>5</v>
      </c>
      <c r="M721">
        <v>23</v>
      </c>
      <c r="N721">
        <v>0.25</v>
      </c>
      <c r="O721">
        <v>0.39800000000000002</v>
      </c>
      <c r="P721" t="s">
        <v>40</v>
      </c>
    </row>
    <row r="722" spans="1:16" hidden="1" x14ac:dyDescent="0.25">
      <c r="A722" s="12">
        <v>46053</v>
      </c>
      <c r="B722" t="s">
        <v>9</v>
      </c>
      <c r="C722" t="s">
        <v>26</v>
      </c>
      <c r="D722">
        <v>9</v>
      </c>
      <c r="E722">
        <v>25</v>
      </c>
      <c r="F722">
        <v>20.636036007863559</v>
      </c>
      <c r="G722" t="str">
        <f>FLOOR(FinalData[[#This Row],[Temperature_C]],2)&amp;"–"&amp;(FLOOR(FinalData[[#This Row],[Temperature_C]],2)+2)&amp;"°C"</f>
        <v>20–22°C</v>
      </c>
      <c r="H722">
        <v>3.55</v>
      </c>
      <c r="I722">
        <v>2026</v>
      </c>
      <c r="J722">
        <v>1</v>
      </c>
      <c r="K722">
        <v>31</v>
      </c>
      <c r="L722">
        <v>6</v>
      </c>
      <c r="M722">
        <v>0</v>
      </c>
      <c r="N722">
        <v>0.36</v>
      </c>
      <c r="O722">
        <v>0.39444444444444443</v>
      </c>
      <c r="P722" t="s">
        <v>40</v>
      </c>
    </row>
    <row r="723" spans="1:16" hidden="1" x14ac:dyDescent="0.25">
      <c r="A723" s="12">
        <v>46053.041666666664</v>
      </c>
      <c r="B723" t="s">
        <v>7</v>
      </c>
      <c r="C723" t="s">
        <v>16</v>
      </c>
      <c r="D723">
        <v>7</v>
      </c>
      <c r="E723">
        <v>30</v>
      </c>
      <c r="F723">
        <v>21.300558157044609</v>
      </c>
      <c r="G723" t="str">
        <f>FLOOR(FinalData[[#This Row],[Temperature_C]],2)&amp;"–"&amp;(FLOOR(FinalData[[#This Row],[Temperature_C]],2)+2)&amp;"°C"</f>
        <v>20–22°C</v>
      </c>
      <c r="H723">
        <v>2.5099999999999998</v>
      </c>
      <c r="I723">
        <v>2026</v>
      </c>
      <c r="J723">
        <v>1</v>
      </c>
      <c r="K723">
        <v>31</v>
      </c>
      <c r="L723">
        <v>6</v>
      </c>
      <c r="M723">
        <v>1</v>
      </c>
      <c r="N723">
        <v>0.23333333333333334</v>
      </c>
      <c r="O723">
        <v>0.35857142857142854</v>
      </c>
      <c r="P723" t="s">
        <v>40</v>
      </c>
    </row>
    <row r="724" spans="1:16" hidden="1" x14ac:dyDescent="0.25">
      <c r="A724" s="12">
        <v>46053.083333333336</v>
      </c>
      <c r="B724" t="s">
        <v>9</v>
      </c>
      <c r="C724" t="s">
        <v>27</v>
      </c>
      <c r="D724">
        <v>5</v>
      </c>
      <c r="E724">
        <v>30</v>
      </c>
      <c r="F724">
        <v>19.34063636958383</v>
      </c>
      <c r="G724" t="str">
        <f>FLOOR(FinalData[[#This Row],[Temperature_C]],2)&amp;"–"&amp;(FLOOR(FinalData[[#This Row],[Temperature_C]],2)+2)&amp;"°C"</f>
        <v>18–20°C</v>
      </c>
      <c r="H724">
        <v>2.63</v>
      </c>
      <c r="I724">
        <v>2026</v>
      </c>
      <c r="J724">
        <v>1</v>
      </c>
      <c r="K724">
        <v>31</v>
      </c>
      <c r="L724">
        <v>6</v>
      </c>
      <c r="M724">
        <v>2</v>
      </c>
      <c r="N724">
        <v>0.16666666666666666</v>
      </c>
      <c r="O724">
        <v>0.52600000000000002</v>
      </c>
      <c r="P724" t="s">
        <v>40</v>
      </c>
    </row>
    <row r="725" spans="1:16" hidden="1" x14ac:dyDescent="0.25">
      <c r="A725" s="12">
        <v>46053.125</v>
      </c>
      <c r="B725" t="s">
        <v>13</v>
      </c>
      <c r="C725" t="s">
        <v>15</v>
      </c>
      <c r="D725">
        <v>8</v>
      </c>
      <c r="E725">
        <v>20</v>
      </c>
      <c r="F725">
        <v>23.47552232918979</v>
      </c>
      <c r="G725" t="str">
        <f>FLOOR(FinalData[[#This Row],[Temperature_C]],2)&amp;"–"&amp;(FLOOR(FinalData[[#This Row],[Temperature_C]],2)+2)&amp;"°C"</f>
        <v>22–24°C</v>
      </c>
      <c r="H725">
        <v>2.72</v>
      </c>
      <c r="I725">
        <v>2026</v>
      </c>
      <c r="J725">
        <v>1</v>
      </c>
      <c r="K725">
        <v>31</v>
      </c>
      <c r="L725">
        <v>6</v>
      </c>
      <c r="M725">
        <v>3</v>
      </c>
      <c r="N725">
        <v>0.4</v>
      </c>
      <c r="O725">
        <v>0.34</v>
      </c>
      <c r="P725" t="s">
        <v>40</v>
      </c>
    </row>
    <row r="726" spans="1:16" hidden="1" x14ac:dyDescent="0.25">
      <c r="A726" s="12">
        <v>46053.166666666664</v>
      </c>
      <c r="B726" t="s">
        <v>7</v>
      </c>
      <c r="C726" t="s">
        <v>27</v>
      </c>
      <c r="D726">
        <v>10</v>
      </c>
      <c r="E726">
        <v>30</v>
      </c>
      <c r="F726">
        <v>24.99453113531775</v>
      </c>
      <c r="G726" t="str">
        <f>FLOOR(FinalData[[#This Row],[Temperature_C]],2)&amp;"–"&amp;(FLOOR(FinalData[[#This Row],[Temperature_C]],2)+2)&amp;"°C"</f>
        <v>24–26°C</v>
      </c>
      <c r="H726">
        <v>4.0999999999999996</v>
      </c>
      <c r="I726">
        <v>2026</v>
      </c>
      <c r="J726">
        <v>1</v>
      </c>
      <c r="K726">
        <v>31</v>
      </c>
      <c r="L726">
        <v>6</v>
      </c>
      <c r="M726">
        <v>4</v>
      </c>
      <c r="N726">
        <v>0.33333333333333331</v>
      </c>
      <c r="O726">
        <v>0.41</v>
      </c>
      <c r="P726" t="s">
        <v>40</v>
      </c>
    </row>
    <row r="727" spans="1:16" hidden="1" x14ac:dyDescent="0.25">
      <c r="A727" s="12">
        <v>46053.208333333336</v>
      </c>
      <c r="B727" t="s">
        <v>11</v>
      </c>
      <c r="C727" t="s">
        <v>8</v>
      </c>
      <c r="D727">
        <v>5</v>
      </c>
      <c r="E727">
        <v>40</v>
      </c>
      <c r="F727">
        <v>25.130752544519201</v>
      </c>
      <c r="G727" t="str">
        <f>FLOOR(FinalData[[#This Row],[Temperature_C]],2)&amp;"–"&amp;(FLOOR(FinalData[[#This Row],[Temperature_C]],2)+2)&amp;"°C"</f>
        <v>24–26°C</v>
      </c>
      <c r="H727">
        <v>2.44</v>
      </c>
      <c r="I727">
        <v>2026</v>
      </c>
      <c r="J727">
        <v>1</v>
      </c>
      <c r="K727">
        <v>31</v>
      </c>
      <c r="L727">
        <v>6</v>
      </c>
      <c r="M727">
        <v>5</v>
      </c>
      <c r="N727">
        <v>0.125</v>
      </c>
      <c r="O727">
        <v>0.48799999999999999</v>
      </c>
      <c r="P727" t="s">
        <v>40</v>
      </c>
    </row>
    <row r="728" spans="1:16" hidden="1" x14ac:dyDescent="0.25">
      <c r="A728" s="12">
        <v>46053.25</v>
      </c>
      <c r="B728" t="s">
        <v>11</v>
      </c>
      <c r="C728" t="s">
        <v>15</v>
      </c>
      <c r="D728">
        <v>7</v>
      </c>
      <c r="E728">
        <v>20</v>
      </c>
      <c r="F728">
        <v>20.55355953987614</v>
      </c>
      <c r="G728" t="str">
        <f>FLOOR(FinalData[[#This Row],[Temperature_C]],2)&amp;"–"&amp;(FLOOR(FinalData[[#This Row],[Temperature_C]],2)+2)&amp;"°C"</f>
        <v>20–22°C</v>
      </c>
      <c r="H728">
        <v>3.19</v>
      </c>
      <c r="I728">
        <v>2026</v>
      </c>
      <c r="J728">
        <v>1</v>
      </c>
      <c r="K728">
        <v>31</v>
      </c>
      <c r="L728">
        <v>6</v>
      </c>
      <c r="M728">
        <v>6</v>
      </c>
      <c r="N728">
        <v>0.35</v>
      </c>
      <c r="O728">
        <v>0.45571428571428568</v>
      </c>
      <c r="P728" t="s">
        <v>40</v>
      </c>
    </row>
    <row r="729" spans="1:16" hidden="1" x14ac:dyDescent="0.25">
      <c r="A729" s="12">
        <v>46053.291666666664</v>
      </c>
      <c r="B729" t="s">
        <v>9</v>
      </c>
      <c r="C729" t="s">
        <v>10</v>
      </c>
      <c r="D729">
        <v>7</v>
      </c>
      <c r="E729">
        <v>40</v>
      </c>
      <c r="F729">
        <v>17.59330390578528</v>
      </c>
      <c r="G729" t="str">
        <f>FLOOR(FinalData[[#This Row],[Temperature_C]],2)&amp;"–"&amp;(FLOOR(FinalData[[#This Row],[Temperature_C]],2)+2)&amp;"°C"</f>
        <v>16–18°C</v>
      </c>
      <c r="H729">
        <v>3.31</v>
      </c>
      <c r="I729">
        <v>2026</v>
      </c>
      <c r="J729">
        <v>1</v>
      </c>
      <c r="K729">
        <v>31</v>
      </c>
      <c r="L729">
        <v>6</v>
      </c>
      <c r="M729">
        <v>7</v>
      </c>
      <c r="N729">
        <v>0.17499999999999999</v>
      </c>
      <c r="O729">
        <v>0.47285714285714286</v>
      </c>
      <c r="P729" t="s">
        <v>41</v>
      </c>
    </row>
    <row r="730" spans="1:16" hidden="1" x14ac:dyDescent="0.25">
      <c r="A730" s="12">
        <v>46053.333333333336</v>
      </c>
      <c r="B730" t="s">
        <v>13</v>
      </c>
      <c r="C730" t="s">
        <v>25</v>
      </c>
      <c r="D730">
        <v>8</v>
      </c>
      <c r="E730">
        <v>25</v>
      </c>
      <c r="F730">
        <v>24.002342528977341</v>
      </c>
      <c r="G730" t="str">
        <f>FLOOR(FinalData[[#This Row],[Temperature_C]],2)&amp;"–"&amp;(FLOOR(FinalData[[#This Row],[Temperature_C]],2)+2)&amp;"°C"</f>
        <v>24–26°C</v>
      </c>
      <c r="H730">
        <v>3.1</v>
      </c>
      <c r="I730">
        <v>2026</v>
      </c>
      <c r="J730">
        <v>1</v>
      </c>
      <c r="K730">
        <v>31</v>
      </c>
      <c r="L730">
        <v>6</v>
      </c>
      <c r="M730">
        <v>8</v>
      </c>
      <c r="N730">
        <v>0.32</v>
      </c>
      <c r="O730">
        <v>0.38750000000000001</v>
      </c>
      <c r="P730" t="s">
        <v>41</v>
      </c>
    </row>
    <row r="731" spans="1:16" hidden="1" x14ac:dyDescent="0.25">
      <c r="A731" s="12">
        <v>46053.375</v>
      </c>
      <c r="B731" t="s">
        <v>18</v>
      </c>
      <c r="C731" t="s">
        <v>29</v>
      </c>
      <c r="D731">
        <v>7</v>
      </c>
      <c r="E731">
        <v>20</v>
      </c>
      <c r="F731">
        <v>23.967557668005551</v>
      </c>
      <c r="G731" t="str">
        <f>FLOOR(FinalData[[#This Row],[Temperature_C]],2)&amp;"–"&amp;(FLOOR(FinalData[[#This Row],[Temperature_C]],2)+2)&amp;"°C"</f>
        <v>22–24°C</v>
      </c>
      <c r="H731">
        <v>3.01</v>
      </c>
      <c r="I731">
        <v>2026</v>
      </c>
      <c r="J731">
        <v>1</v>
      </c>
      <c r="K731">
        <v>31</v>
      </c>
      <c r="L731">
        <v>6</v>
      </c>
      <c r="M731">
        <v>9</v>
      </c>
      <c r="N731">
        <v>0.35</v>
      </c>
      <c r="O731">
        <v>0.43</v>
      </c>
      <c r="P731" t="s">
        <v>41</v>
      </c>
    </row>
    <row r="732" spans="1:16" hidden="1" x14ac:dyDescent="0.25">
      <c r="A732" s="12">
        <v>46053.416666666664</v>
      </c>
      <c r="B732" t="s">
        <v>18</v>
      </c>
      <c r="C732" t="s">
        <v>12</v>
      </c>
      <c r="D732">
        <v>4</v>
      </c>
      <c r="E732">
        <v>20</v>
      </c>
      <c r="F732">
        <v>21.966771602479781</v>
      </c>
      <c r="G732" t="str">
        <f>FLOOR(FinalData[[#This Row],[Temperature_C]],2)&amp;"–"&amp;(FLOOR(FinalData[[#This Row],[Temperature_C]],2)+2)&amp;"°C"</f>
        <v>20–22°C</v>
      </c>
      <c r="H732">
        <v>1.5</v>
      </c>
      <c r="I732">
        <v>2026</v>
      </c>
      <c r="J732">
        <v>1</v>
      </c>
      <c r="K732">
        <v>31</v>
      </c>
      <c r="L732">
        <v>6</v>
      </c>
      <c r="M732">
        <v>10</v>
      </c>
      <c r="N732">
        <v>0.2</v>
      </c>
      <c r="O732">
        <v>0.375</v>
      </c>
      <c r="P732" t="s">
        <v>41</v>
      </c>
    </row>
    <row r="733" spans="1:16" hidden="1" x14ac:dyDescent="0.25">
      <c r="A733" s="12">
        <v>46053.458333333336</v>
      </c>
      <c r="B733" t="s">
        <v>18</v>
      </c>
      <c r="C733" t="s">
        <v>10</v>
      </c>
      <c r="D733">
        <v>6</v>
      </c>
      <c r="E733">
        <v>40</v>
      </c>
      <c r="F733">
        <v>24.47881897723293</v>
      </c>
      <c r="G733" t="str">
        <f>FLOOR(FinalData[[#This Row],[Temperature_C]],2)&amp;"–"&amp;(FLOOR(FinalData[[#This Row],[Temperature_C]],2)+2)&amp;"°C"</f>
        <v>24–26°C</v>
      </c>
      <c r="H733">
        <v>2.5499999999999998</v>
      </c>
      <c r="I733">
        <v>2026</v>
      </c>
      <c r="J733">
        <v>1</v>
      </c>
      <c r="K733">
        <v>31</v>
      </c>
      <c r="L733">
        <v>6</v>
      </c>
      <c r="M733">
        <v>11</v>
      </c>
      <c r="N733">
        <v>0.15</v>
      </c>
      <c r="O733">
        <v>0.42499999999999999</v>
      </c>
      <c r="P733" t="s">
        <v>41</v>
      </c>
    </row>
    <row r="734" spans="1:16" hidden="1" x14ac:dyDescent="0.25">
      <c r="A734" s="12">
        <v>46053.5</v>
      </c>
      <c r="B734" t="s">
        <v>9</v>
      </c>
      <c r="C734" t="s">
        <v>23</v>
      </c>
      <c r="D734">
        <v>7</v>
      </c>
      <c r="E734">
        <v>40</v>
      </c>
      <c r="F734">
        <v>22.720402161978502</v>
      </c>
      <c r="G734" t="str">
        <f>FLOOR(FinalData[[#This Row],[Temperature_C]],2)&amp;"–"&amp;(FLOOR(FinalData[[#This Row],[Temperature_C]],2)+2)&amp;"°C"</f>
        <v>22–24°C</v>
      </c>
      <c r="H734">
        <v>2.69</v>
      </c>
      <c r="I734">
        <v>2026</v>
      </c>
      <c r="J734">
        <v>1</v>
      </c>
      <c r="K734">
        <v>31</v>
      </c>
      <c r="L734">
        <v>6</v>
      </c>
      <c r="M734">
        <v>12</v>
      </c>
      <c r="N734">
        <v>0.17499999999999999</v>
      </c>
      <c r="O734">
        <v>0.38428571428571429</v>
      </c>
      <c r="P734" t="s">
        <v>42</v>
      </c>
    </row>
    <row r="735" spans="1:16" hidden="1" x14ac:dyDescent="0.25">
      <c r="A735" s="12">
        <v>46053.541666666664</v>
      </c>
      <c r="B735" t="s">
        <v>11</v>
      </c>
      <c r="C735" t="s">
        <v>31</v>
      </c>
      <c r="D735">
        <v>15</v>
      </c>
      <c r="E735">
        <v>40</v>
      </c>
      <c r="F735">
        <v>24.00652045305101</v>
      </c>
      <c r="G735" t="str">
        <f>FLOOR(FinalData[[#This Row],[Temperature_C]],2)&amp;"–"&amp;(FLOOR(FinalData[[#This Row],[Temperature_C]],2)+2)&amp;"°C"</f>
        <v>24–26°C</v>
      </c>
      <c r="H735">
        <v>4.84</v>
      </c>
      <c r="I735">
        <v>2026</v>
      </c>
      <c r="J735">
        <v>1</v>
      </c>
      <c r="K735">
        <v>31</v>
      </c>
      <c r="L735">
        <v>6</v>
      </c>
      <c r="M735">
        <v>13</v>
      </c>
      <c r="N735">
        <v>0.375</v>
      </c>
      <c r="O735">
        <v>0.32266666666666666</v>
      </c>
      <c r="P735" t="s">
        <v>42</v>
      </c>
    </row>
    <row r="736" spans="1:16" hidden="1" x14ac:dyDescent="0.25">
      <c r="A736" s="12">
        <v>46053.583333333336</v>
      </c>
      <c r="B736" t="s">
        <v>7</v>
      </c>
      <c r="C736" t="s">
        <v>15</v>
      </c>
      <c r="D736">
        <v>6</v>
      </c>
      <c r="E736">
        <v>25</v>
      </c>
      <c r="F736">
        <v>23.317512101875089</v>
      </c>
      <c r="G736" t="str">
        <f>FLOOR(FinalData[[#This Row],[Temperature_C]],2)&amp;"–"&amp;(FLOOR(FinalData[[#This Row],[Temperature_C]],2)+2)&amp;"°C"</f>
        <v>22–24°C</v>
      </c>
      <c r="H736">
        <v>2.84</v>
      </c>
      <c r="I736">
        <v>2026</v>
      </c>
      <c r="J736">
        <v>1</v>
      </c>
      <c r="K736">
        <v>31</v>
      </c>
      <c r="L736">
        <v>6</v>
      </c>
      <c r="M736">
        <v>14</v>
      </c>
      <c r="N736">
        <v>0.24</v>
      </c>
      <c r="O736">
        <v>0.47333333333333333</v>
      </c>
      <c r="P736" t="s">
        <v>42</v>
      </c>
    </row>
    <row r="737" spans="1:16" hidden="1" x14ac:dyDescent="0.25">
      <c r="A737" s="12">
        <v>46053.625</v>
      </c>
      <c r="B737" t="s">
        <v>18</v>
      </c>
      <c r="C737" t="s">
        <v>19</v>
      </c>
      <c r="D737">
        <v>5</v>
      </c>
      <c r="E737">
        <v>30</v>
      </c>
      <c r="F737">
        <v>22.424187846264161</v>
      </c>
      <c r="G737" t="str">
        <f>FLOOR(FinalData[[#This Row],[Temperature_C]],2)&amp;"–"&amp;(FLOOR(FinalData[[#This Row],[Temperature_C]],2)+2)&amp;"°C"</f>
        <v>22–24°C</v>
      </c>
      <c r="H737">
        <v>2.19</v>
      </c>
      <c r="I737">
        <v>2026</v>
      </c>
      <c r="J737">
        <v>1</v>
      </c>
      <c r="K737">
        <v>31</v>
      </c>
      <c r="L737">
        <v>6</v>
      </c>
      <c r="M737">
        <v>15</v>
      </c>
      <c r="N737">
        <v>0.16666666666666666</v>
      </c>
      <c r="O737">
        <v>0.438</v>
      </c>
      <c r="P737" t="s">
        <v>42</v>
      </c>
    </row>
    <row r="738" spans="1:16" hidden="1" x14ac:dyDescent="0.25">
      <c r="A738" s="12">
        <v>46053.666666666664</v>
      </c>
      <c r="B738" t="s">
        <v>9</v>
      </c>
      <c r="C738" t="s">
        <v>24</v>
      </c>
      <c r="D738">
        <v>8</v>
      </c>
      <c r="E738">
        <v>30</v>
      </c>
      <c r="F738">
        <v>18.931502280978151</v>
      </c>
      <c r="G738" t="str">
        <f>FLOOR(FinalData[[#This Row],[Temperature_C]],2)&amp;"–"&amp;(FLOOR(FinalData[[#This Row],[Temperature_C]],2)+2)&amp;"°C"</f>
        <v>18–20°C</v>
      </c>
      <c r="H738">
        <v>2.89</v>
      </c>
      <c r="I738">
        <v>2026</v>
      </c>
      <c r="J738">
        <v>1</v>
      </c>
      <c r="K738">
        <v>31</v>
      </c>
      <c r="L738">
        <v>6</v>
      </c>
      <c r="M738">
        <v>16</v>
      </c>
      <c r="N738">
        <v>0.26666666666666666</v>
      </c>
      <c r="O738">
        <v>0.36125000000000002</v>
      </c>
      <c r="P738" t="s">
        <v>42</v>
      </c>
    </row>
    <row r="739" spans="1:16" hidden="1" x14ac:dyDescent="0.25">
      <c r="A739" s="12">
        <v>46053.708333333336</v>
      </c>
      <c r="B739" t="s">
        <v>13</v>
      </c>
      <c r="C739" t="s">
        <v>19</v>
      </c>
      <c r="D739">
        <v>8</v>
      </c>
      <c r="E739">
        <v>25</v>
      </c>
      <c r="F739">
        <v>24.825240645080878</v>
      </c>
      <c r="G739" t="str">
        <f>FLOOR(FinalData[[#This Row],[Temperature_C]],2)&amp;"–"&amp;(FLOOR(FinalData[[#This Row],[Temperature_C]],2)+2)&amp;"°C"</f>
        <v>24–26°C</v>
      </c>
      <c r="H739">
        <v>3.35</v>
      </c>
      <c r="I739">
        <v>2026</v>
      </c>
      <c r="J739">
        <v>1</v>
      </c>
      <c r="K739">
        <v>31</v>
      </c>
      <c r="L739">
        <v>6</v>
      </c>
      <c r="M739">
        <v>17</v>
      </c>
      <c r="N739">
        <v>0.32</v>
      </c>
      <c r="O739">
        <v>0.41875000000000001</v>
      </c>
      <c r="P739" t="s">
        <v>43</v>
      </c>
    </row>
    <row r="740" spans="1:16" hidden="1" x14ac:dyDescent="0.25">
      <c r="A740" s="12">
        <v>46053.75</v>
      </c>
      <c r="B740" t="s">
        <v>11</v>
      </c>
      <c r="C740" t="s">
        <v>29</v>
      </c>
      <c r="D740">
        <v>7</v>
      </c>
      <c r="E740">
        <v>30</v>
      </c>
      <c r="F740">
        <v>24.363486817630282</v>
      </c>
      <c r="G740" t="str">
        <f>FLOOR(FinalData[[#This Row],[Temperature_C]],2)&amp;"–"&amp;(FLOOR(FinalData[[#This Row],[Temperature_C]],2)+2)&amp;"°C"</f>
        <v>24–26°C</v>
      </c>
      <c r="H740">
        <v>3.19</v>
      </c>
      <c r="I740">
        <v>2026</v>
      </c>
      <c r="J740">
        <v>1</v>
      </c>
      <c r="K740">
        <v>31</v>
      </c>
      <c r="L740">
        <v>6</v>
      </c>
      <c r="M740">
        <v>18</v>
      </c>
      <c r="N740">
        <v>0.23333333333333334</v>
      </c>
      <c r="O740">
        <v>0.45571428571428568</v>
      </c>
      <c r="P740" t="s">
        <v>43</v>
      </c>
    </row>
    <row r="741" spans="1:16" hidden="1" x14ac:dyDescent="0.25">
      <c r="A741" s="12">
        <v>46053.791666666664</v>
      </c>
      <c r="B741" t="s">
        <v>7</v>
      </c>
      <c r="C741" t="s">
        <v>26</v>
      </c>
      <c r="D741">
        <v>10</v>
      </c>
      <c r="E741">
        <v>40</v>
      </c>
      <c r="F741">
        <v>23.12205716711264</v>
      </c>
      <c r="G741" t="str">
        <f>FLOOR(FinalData[[#This Row],[Temperature_C]],2)&amp;"–"&amp;(FLOOR(FinalData[[#This Row],[Temperature_C]],2)+2)&amp;"°C"</f>
        <v>22–24°C</v>
      </c>
      <c r="H741">
        <v>2.98</v>
      </c>
      <c r="I741">
        <v>2026</v>
      </c>
      <c r="J741">
        <v>1</v>
      </c>
      <c r="K741">
        <v>31</v>
      </c>
      <c r="L741">
        <v>6</v>
      </c>
      <c r="M741">
        <v>19</v>
      </c>
      <c r="N741">
        <v>0.25</v>
      </c>
      <c r="O741">
        <v>0.29799999999999999</v>
      </c>
      <c r="P741" t="s">
        <v>43</v>
      </c>
    </row>
    <row r="742" spans="1:16" hidden="1" x14ac:dyDescent="0.25">
      <c r="A742" s="12">
        <v>46053.833333333336</v>
      </c>
      <c r="B742" t="s">
        <v>9</v>
      </c>
      <c r="C742" t="s">
        <v>8</v>
      </c>
      <c r="D742">
        <v>6</v>
      </c>
      <c r="E742">
        <v>40</v>
      </c>
      <c r="F742">
        <v>23.74706736682354</v>
      </c>
      <c r="G742" t="str">
        <f>FLOOR(FinalData[[#This Row],[Temperature_C]],2)&amp;"–"&amp;(FLOOR(FinalData[[#This Row],[Temperature_C]],2)+2)&amp;"°C"</f>
        <v>22–24°C</v>
      </c>
      <c r="H742">
        <v>3</v>
      </c>
      <c r="I742">
        <v>2026</v>
      </c>
      <c r="J742">
        <v>1</v>
      </c>
      <c r="K742">
        <v>31</v>
      </c>
      <c r="L742">
        <v>6</v>
      </c>
      <c r="M742">
        <v>20</v>
      </c>
      <c r="N742">
        <v>0.15</v>
      </c>
      <c r="O742">
        <v>0.5</v>
      </c>
      <c r="P742" t="s">
        <v>43</v>
      </c>
    </row>
    <row r="743" spans="1:16" hidden="1" x14ac:dyDescent="0.25">
      <c r="A743" s="12">
        <v>46053.875</v>
      </c>
      <c r="B743" t="s">
        <v>13</v>
      </c>
      <c r="C743" t="s">
        <v>31</v>
      </c>
      <c r="D743">
        <v>5</v>
      </c>
      <c r="E743">
        <v>40</v>
      </c>
      <c r="F743">
        <v>22.213235404510691</v>
      </c>
      <c r="G743" t="str">
        <f>FLOOR(FinalData[[#This Row],[Temperature_C]],2)&amp;"–"&amp;(FLOOR(FinalData[[#This Row],[Temperature_C]],2)+2)&amp;"°C"</f>
        <v>22–24°C</v>
      </c>
      <c r="H743">
        <v>1.85</v>
      </c>
      <c r="I743">
        <v>2026</v>
      </c>
      <c r="J743">
        <v>1</v>
      </c>
      <c r="K743">
        <v>31</v>
      </c>
      <c r="L743">
        <v>6</v>
      </c>
      <c r="M743">
        <v>21</v>
      </c>
      <c r="N743">
        <v>0.125</v>
      </c>
      <c r="O743">
        <v>0.37</v>
      </c>
      <c r="P743" t="s">
        <v>40</v>
      </c>
    </row>
    <row r="744" spans="1:16" hidden="1" x14ac:dyDescent="0.25">
      <c r="A744" s="12">
        <v>46053.916666666664</v>
      </c>
      <c r="B744" t="s">
        <v>13</v>
      </c>
      <c r="C744" t="s">
        <v>8</v>
      </c>
      <c r="D744">
        <v>6</v>
      </c>
      <c r="E744">
        <v>30</v>
      </c>
      <c r="F744">
        <v>22.37117043326645</v>
      </c>
      <c r="G744" t="str">
        <f>FLOOR(FinalData[[#This Row],[Temperature_C]],2)&amp;"–"&amp;(FLOOR(FinalData[[#This Row],[Temperature_C]],2)+2)&amp;"°C"</f>
        <v>22–24°C</v>
      </c>
      <c r="H744">
        <v>1.88</v>
      </c>
      <c r="I744">
        <v>2026</v>
      </c>
      <c r="J744">
        <v>1</v>
      </c>
      <c r="K744">
        <v>31</v>
      </c>
      <c r="L744">
        <v>6</v>
      </c>
      <c r="M744">
        <v>22</v>
      </c>
      <c r="N744">
        <v>0.2</v>
      </c>
      <c r="O744">
        <v>0.3133333333333333</v>
      </c>
      <c r="P744" t="s">
        <v>40</v>
      </c>
    </row>
    <row r="745" spans="1:16" hidden="1" x14ac:dyDescent="0.25">
      <c r="A745" s="12">
        <v>46053.958333333336</v>
      </c>
      <c r="B745" t="s">
        <v>11</v>
      </c>
      <c r="C745" t="s">
        <v>10</v>
      </c>
      <c r="D745">
        <v>4</v>
      </c>
      <c r="E745">
        <v>20</v>
      </c>
      <c r="F745">
        <v>21.043384100355009</v>
      </c>
      <c r="G745" t="str">
        <f>FLOOR(FinalData[[#This Row],[Temperature_C]],2)&amp;"–"&amp;(FLOOR(FinalData[[#This Row],[Temperature_C]],2)+2)&amp;"°C"</f>
        <v>20–22°C</v>
      </c>
      <c r="H745">
        <v>2.48</v>
      </c>
      <c r="I745">
        <v>2026</v>
      </c>
      <c r="J745">
        <v>1</v>
      </c>
      <c r="K745">
        <v>31</v>
      </c>
      <c r="L745">
        <v>6</v>
      </c>
      <c r="M745">
        <v>23</v>
      </c>
      <c r="N745">
        <v>0.2</v>
      </c>
      <c r="O745">
        <v>0.62</v>
      </c>
      <c r="P745" t="s">
        <v>40</v>
      </c>
    </row>
    <row r="746" spans="1:16" hidden="1" x14ac:dyDescent="0.25">
      <c r="A746" s="12">
        <v>46054</v>
      </c>
      <c r="B746" t="s">
        <v>7</v>
      </c>
      <c r="C746" t="s">
        <v>21</v>
      </c>
      <c r="D746">
        <v>8</v>
      </c>
      <c r="E746">
        <v>25</v>
      </c>
      <c r="F746">
        <v>24.303422153193829</v>
      </c>
      <c r="G746" t="str">
        <f>FLOOR(FinalData[[#This Row],[Temperature_C]],2)&amp;"–"&amp;(FLOOR(FinalData[[#This Row],[Temperature_C]],2)+2)&amp;"°C"</f>
        <v>24–26°C</v>
      </c>
      <c r="H746">
        <v>3.12</v>
      </c>
      <c r="I746">
        <v>2026</v>
      </c>
      <c r="J746">
        <v>2</v>
      </c>
      <c r="K746">
        <v>1</v>
      </c>
      <c r="L746">
        <v>0</v>
      </c>
      <c r="M746">
        <v>0</v>
      </c>
      <c r="N746">
        <v>0.32</v>
      </c>
      <c r="O746">
        <v>0.39</v>
      </c>
      <c r="P746" t="s">
        <v>40</v>
      </c>
    </row>
    <row r="747" spans="1:16" hidden="1" x14ac:dyDescent="0.25">
      <c r="A747" s="12">
        <v>46054.041666666664</v>
      </c>
      <c r="B747" t="s">
        <v>9</v>
      </c>
      <c r="C747" t="s">
        <v>24</v>
      </c>
      <c r="D747">
        <v>11</v>
      </c>
      <c r="E747">
        <v>40</v>
      </c>
      <c r="F747">
        <v>19.25205984863511</v>
      </c>
      <c r="G747" t="str">
        <f>FLOOR(FinalData[[#This Row],[Temperature_C]],2)&amp;"–"&amp;(FLOOR(FinalData[[#This Row],[Temperature_C]],2)+2)&amp;"°C"</f>
        <v>18–20°C</v>
      </c>
      <c r="H747">
        <v>4.0199999999999996</v>
      </c>
      <c r="I747">
        <v>2026</v>
      </c>
      <c r="J747">
        <v>2</v>
      </c>
      <c r="K747">
        <v>1</v>
      </c>
      <c r="L747">
        <v>0</v>
      </c>
      <c r="M747">
        <v>1</v>
      </c>
      <c r="N747">
        <v>0.27500000000000002</v>
      </c>
      <c r="O747">
        <v>0.36545454545454542</v>
      </c>
      <c r="P747" t="s">
        <v>40</v>
      </c>
    </row>
    <row r="748" spans="1:16" hidden="1" x14ac:dyDescent="0.25">
      <c r="A748" s="12">
        <v>46054.083333333336</v>
      </c>
      <c r="B748" t="s">
        <v>9</v>
      </c>
      <c r="C748" t="s">
        <v>21</v>
      </c>
      <c r="D748">
        <v>4</v>
      </c>
      <c r="E748">
        <v>40</v>
      </c>
      <c r="F748">
        <v>23.771499936363391</v>
      </c>
      <c r="G748" t="str">
        <f>FLOOR(FinalData[[#This Row],[Temperature_C]],2)&amp;"–"&amp;(FLOOR(FinalData[[#This Row],[Temperature_C]],2)+2)&amp;"°C"</f>
        <v>22–24°C</v>
      </c>
      <c r="H748">
        <v>2.2799999999999998</v>
      </c>
      <c r="I748">
        <v>2026</v>
      </c>
      <c r="J748">
        <v>2</v>
      </c>
      <c r="K748">
        <v>1</v>
      </c>
      <c r="L748">
        <v>0</v>
      </c>
      <c r="M748">
        <v>2</v>
      </c>
      <c r="N748">
        <v>0.1</v>
      </c>
      <c r="O748">
        <v>0.56999999999999995</v>
      </c>
      <c r="P748" t="s">
        <v>40</v>
      </c>
    </row>
    <row r="749" spans="1:16" hidden="1" x14ac:dyDescent="0.25">
      <c r="A749" s="12">
        <v>46054.125</v>
      </c>
      <c r="B749" t="s">
        <v>13</v>
      </c>
      <c r="C749" t="s">
        <v>10</v>
      </c>
      <c r="D749">
        <v>4</v>
      </c>
      <c r="E749">
        <v>30</v>
      </c>
      <c r="F749">
        <v>23.287529286217168</v>
      </c>
      <c r="G749" t="str">
        <f>FLOOR(FinalData[[#This Row],[Temperature_C]],2)&amp;"–"&amp;(FLOOR(FinalData[[#This Row],[Temperature_C]],2)+2)&amp;"°C"</f>
        <v>22–24°C</v>
      </c>
      <c r="H749">
        <v>1.97</v>
      </c>
      <c r="I749">
        <v>2026</v>
      </c>
      <c r="J749">
        <v>2</v>
      </c>
      <c r="K749">
        <v>1</v>
      </c>
      <c r="L749">
        <v>0</v>
      </c>
      <c r="M749">
        <v>3</v>
      </c>
      <c r="N749">
        <v>0.13333333333333333</v>
      </c>
      <c r="O749">
        <v>0.49249999999999999</v>
      </c>
      <c r="P749" t="s">
        <v>40</v>
      </c>
    </row>
    <row r="750" spans="1:16" hidden="1" x14ac:dyDescent="0.25">
      <c r="A750" s="12">
        <v>46054.166666666664</v>
      </c>
      <c r="B750" t="s">
        <v>9</v>
      </c>
      <c r="C750" t="s">
        <v>25</v>
      </c>
      <c r="D750">
        <v>8</v>
      </c>
      <c r="E750">
        <v>40</v>
      </c>
      <c r="F750">
        <v>24.430348780256121</v>
      </c>
      <c r="G750" t="str">
        <f>FLOOR(FinalData[[#This Row],[Temperature_C]],2)&amp;"–"&amp;(FLOOR(FinalData[[#This Row],[Temperature_C]],2)+2)&amp;"°C"</f>
        <v>24–26°C</v>
      </c>
      <c r="H750">
        <v>3.15</v>
      </c>
      <c r="I750">
        <v>2026</v>
      </c>
      <c r="J750">
        <v>2</v>
      </c>
      <c r="K750">
        <v>1</v>
      </c>
      <c r="L750">
        <v>0</v>
      </c>
      <c r="M750">
        <v>4</v>
      </c>
      <c r="N750">
        <v>0.2</v>
      </c>
      <c r="O750">
        <v>0.39374999999999999</v>
      </c>
      <c r="P750" t="s">
        <v>40</v>
      </c>
    </row>
    <row r="751" spans="1:16" hidden="1" x14ac:dyDescent="0.25">
      <c r="A751" s="12">
        <v>46054.208333333336</v>
      </c>
      <c r="B751" t="s">
        <v>9</v>
      </c>
      <c r="C751" t="s">
        <v>30</v>
      </c>
      <c r="D751">
        <v>8</v>
      </c>
      <c r="E751">
        <v>20</v>
      </c>
      <c r="F751">
        <v>24.549160995463481</v>
      </c>
      <c r="G751" t="str">
        <f>FLOOR(FinalData[[#This Row],[Temperature_C]],2)&amp;"–"&amp;(FLOOR(FinalData[[#This Row],[Temperature_C]],2)+2)&amp;"°C"</f>
        <v>24–26°C</v>
      </c>
      <c r="H751">
        <v>3.24</v>
      </c>
      <c r="I751">
        <v>2026</v>
      </c>
      <c r="J751">
        <v>2</v>
      </c>
      <c r="K751">
        <v>1</v>
      </c>
      <c r="L751">
        <v>0</v>
      </c>
      <c r="M751">
        <v>5</v>
      </c>
      <c r="N751">
        <v>0.4</v>
      </c>
      <c r="O751">
        <v>0.40500000000000003</v>
      </c>
      <c r="P751" t="s">
        <v>40</v>
      </c>
    </row>
    <row r="752" spans="1:16" hidden="1" x14ac:dyDescent="0.25">
      <c r="A752" s="12">
        <v>46054.25</v>
      </c>
      <c r="B752" t="s">
        <v>18</v>
      </c>
      <c r="C752" t="s">
        <v>10</v>
      </c>
      <c r="D752">
        <v>11</v>
      </c>
      <c r="E752">
        <v>30</v>
      </c>
      <c r="F752">
        <v>20.680758776920399</v>
      </c>
      <c r="G752" t="str">
        <f>FLOOR(FinalData[[#This Row],[Temperature_C]],2)&amp;"–"&amp;(FLOOR(FinalData[[#This Row],[Temperature_C]],2)+2)&amp;"°C"</f>
        <v>20–22°C</v>
      </c>
      <c r="H752">
        <v>3.67</v>
      </c>
      <c r="I752">
        <v>2026</v>
      </c>
      <c r="J752">
        <v>2</v>
      </c>
      <c r="K752">
        <v>1</v>
      </c>
      <c r="L752">
        <v>0</v>
      </c>
      <c r="M752">
        <v>6</v>
      </c>
      <c r="N752">
        <v>0.36666666666666664</v>
      </c>
      <c r="O752">
        <v>0.33363636363636362</v>
      </c>
      <c r="P752" t="s">
        <v>40</v>
      </c>
    </row>
    <row r="753" spans="1:16" hidden="1" x14ac:dyDescent="0.25">
      <c r="A753" s="12">
        <v>46054.291666666664</v>
      </c>
      <c r="B753" t="s">
        <v>7</v>
      </c>
      <c r="C753" t="s">
        <v>23</v>
      </c>
      <c r="D753">
        <v>8</v>
      </c>
      <c r="E753">
        <v>40</v>
      </c>
      <c r="F753">
        <v>25.86861933870415</v>
      </c>
      <c r="G753" t="str">
        <f>FLOOR(FinalData[[#This Row],[Temperature_C]],2)&amp;"–"&amp;(FLOOR(FinalData[[#This Row],[Temperature_C]],2)+2)&amp;"°C"</f>
        <v>24–26°C</v>
      </c>
      <c r="H753">
        <v>3.47</v>
      </c>
      <c r="I753">
        <v>2026</v>
      </c>
      <c r="J753">
        <v>2</v>
      </c>
      <c r="K753">
        <v>1</v>
      </c>
      <c r="L753">
        <v>0</v>
      </c>
      <c r="M753">
        <v>7</v>
      </c>
      <c r="N753">
        <v>0.2</v>
      </c>
      <c r="O753">
        <v>0.43375000000000002</v>
      </c>
      <c r="P753" t="s">
        <v>41</v>
      </c>
    </row>
    <row r="754" spans="1:16" hidden="1" x14ac:dyDescent="0.25">
      <c r="A754" s="12">
        <v>46054.333333333336</v>
      </c>
      <c r="B754" t="s">
        <v>18</v>
      </c>
      <c r="C754" t="s">
        <v>28</v>
      </c>
      <c r="D754">
        <v>12</v>
      </c>
      <c r="E754">
        <v>40</v>
      </c>
      <c r="F754">
        <v>20.236459515032891</v>
      </c>
      <c r="G754" t="str">
        <f>FLOOR(FinalData[[#This Row],[Temperature_C]],2)&amp;"–"&amp;(FLOOR(FinalData[[#This Row],[Temperature_C]],2)+2)&amp;"°C"</f>
        <v>20–22°C</v>
      </c>
      <c r="H754">
        <v>3.6</v>
      </c>
      <c r="I754">
        <v>2026</v>
      </c>
      <c r="J754">
        <v>2</v>
      </c>
      <c r="K754">
        <v>1</v>
      </c>
      <c r="L754">
        <v>0</v>
      </c>
      <c r="M754">
        <v>8</v>
      </c>
      <c r="N754">
        <v>0.3</v>
      </c>
      <c r="O754">
        <v>0.3</v>
      </c>
      <c r="P754" t="s">
        <v>41</v>
      </c>
    </row>
    <row r="755" spans="1:16" hidden="1" x14ac:dyDescent="0.25">
      <c r="A755" s="12">
        <v>46054.375</v>
      </c>
      <c r="B755" t="s">
        <v>13</v>
      </c>
      <c r="C755" t="s">
        <v>24</v>
      </c>
      <c r="D755">
        <v>7</v>
      </c>
      <c r="E755">
        <v>40</v>
      </c>
      <c r="F755">
        <v>25.81142610203165</v>
      </c>
      <c r="G755" t="str">
        <f>FLOOR(FinalData[[#This Row],[Temperature_C]],2)&amp;"–"&amp;(FLOOR(FinalData[[#This Row],[Temperature_C]],2)+2)&amp;"°C"</f>
        <v>24–26°C</v>
      </c>
      <c r="H755">
        <v>3.27</v>
      </c>
      <c r="I755">
        <v>2026</v>
      </c>
      <c r="J755">
        <v>2</v>
      </c>
      <c r="K755">
        <v>1</v>
      </c>
      <c r="L755">
        <v>0</v>
      </c>
      <c r="M755">
        <v>9</v>
      </c>
      <c r="N755">
        <v>0.17499999999999999</v>
      </c>
      <c r="O755">
        <v>0.46714285714285714</v>
      </c>
      <c r="P755" t="s">
        <v>41</v>
      </c>
    </row>
    <row r="756" spans="1:16" hidden="1" x14ac:dyDescent="0.25">
      <c r="A756" s="12">
        <v>46054.416666666664</v>
      </c>
      <c r="B756" t="s">
        <v>9</v>
      </c>
      <c r="C756" t="s">
        <v>15</v>
      </c>
      <c r="D756">
        <v>12</v>
      </c>
      <c r="E756">
        <v>25</v>
      </c>
      <c r="F756">
        <v>20.997370691604061</v>
      </c>
      <c r="G756" t="str">
        <f>FLOOR(FinalData[[#This Row],[Temperature_C]],2)&amp;"–"&amp;(FLOOR(FinalData[[#This Row],[Temperature_C]],2)+2)&amp;"°C"</f>
        <v>20–22°C</v>
      </c>
      <c r="H756">
        <v>3.67</v>
      </c>
      <c r="I756">
        <v>2026</v>
      </c>
      <c r="J756">
        <v>2</v>
      </c>
      <c r="K756">
        <v>1</v>
      </c>
      <c r="L756">
        <v>0</v>
      </c>
      <c r="M756">
        <v>10</v>
      </c>
      <c r="N756">
        <v>0.48</v>
      </c>
      <c r="O756">
        <v>0.30583333333333335</v>
      </c>
      <c r="P756" t="s">
        <v>41</v>
      </c>
    </row>
    <row r="757" spans="1:16" hidden="1" x14ac:dyDescent="0.25">
      <c r="A757" s="12">
        <v>46054.458333333336</v>
      </c>
      <c r="B757" t="s">
        <v>9</v>
      </c>
      <c r="C757" t="s">
        <v>22</v>
      </c>
      <c r="D757">
        <v>5</v>
      </c>
      <c r="E757">
        <v>30</v>
      </c>
      <c r="F757">
        <v>24.78846554900187</v>
      </c>
      <c r="G757" t="str">
        <f>FLOOR(FinalData[[#This Row],[Temperature_C]],2)&amp;"–"&amp;(FLOOR(FinalData[[#This Row],[Temperature_C]],2)+2)&amp;"°C"</f>
        <v>24–26°C</v>
      </c>
      <c r="H757">
        <v>2.2400000000000002</v>
      </c>
      <c r="I757">
        <v>2026</v>
      </c>
      <c r="J757">
        <v>2</v>
      </c>
      <c r="K757">
        <v>1</v>
      </c>
      <c r="L757">
        <v>0</v>
      </c>
      <c r="M757">
        <v>11</v>
      </c>
      <c r="N757">
        <v>0.16666666666666666</v>
      </c>
      <c r="O757">
        <v>0.44800000000000006</v>
      </c>
      <c r="P757" t="s">
        <v>41</v>
      </c>
    </row>
    <row r="758" spans="1:16" hidden="1" x14ac:dyDescent="0.25">
      <c r="A758" s="12">
        <v>46054.5</v>
      </c>
      <c r="B758" t="s">
        <v>18</v>
      </c>
      <c r="C758" t="s">
        <v>17</v>
      </c>
      <c r="D758">
        <v>9</v>
      </c>
      <c r="E758">
        <v>25</v>
      </c>
      <c r="F758">
        <v>24.63947943451619</v>
      </c>
      <c r="G758" t="str">
        <f>FLOOR(FinalData[[#This Row],[Temperature_C]],2)&amp;"–"&amp;(FLOOR(FinalData[[#This Row],[Temperature_C]],2)+2)&amp;"°C"</f>
        <v>24–26°C</v>
      </c>
      <c r="H758">
        <v>3.39</v>
      </c>
      <c r="I758">
        <v>2026</v>
      </c>
      <c r="J758">
        <v>2</v>
      </c>
      <c r="K758">
        <v>1</v>
      </c>
      <c r="L758">
        <v>0</v>
      </c>
      <c r="M758">
        <v>12</v>
      </c>
      <c r="N758">
        <v>0.36</v>
      </c>
      <c r="O758">
        <v>0.37666666666666671</v>
      </c>
      <c r="P758" t="s">
        <v>42</v>
      </c>
    </row>
    <row r="759" spans="1:16" hidden="1" x14ac:dyDescent="0.25">
      <c r="A759" s="12">
        <v>46054.541666666664</v>
      </c>
      <c r="B759" t="s">
        <v>13</v>
      </c>
      <c r="C759" t="s">
        <v>27</v>
      </c>
      <c r="D759">
        <v>11</v>
      </c>
      <c r="E759">
        <v>20</v>
      </c>
      <c r="F759">
        <v>20.806249841232031</v>
      </c>
      <c r="G759" t="str">
        <f>FLOOR(FinalData[[#This Row],[Temperature_C]],2)&amp;"–"&amp;(FLOOR(FinalData[[#This Row],[Temperature_C]],2)+2)&amp;"°C"</f>
        <v>20–22°C</v>
      </c>
      <c r="H759">
        <v>3.98</v>
      </c>
      <c r="I759">
        <v>2026</v>
      </c>
      <c r="J759">
        <v>2</v>
      </c>
      <c r="K759">
        <v>1</v>
      </c>
      <c r="L759">
        <v>0</v>
      </c>
      <c r="M759">
        <v>13</v>
      </c>
      <c r="N759">
        <v>0.55000000000000004</v>
      </c>
      <c r="O759">
        <v>0.36181818181818182</v>
      </c>
      <c r="P759" t="s">
        <v>42</v>
      </c>
    </row>
    <row r="760" spans="1:16" hidden="1" x14ac:dyDescent="0.25">
      <c r="A760" s="12">
        <v>46054.583333333336</v>
      </c>
      <c r="B760" t="s">
        <v>13</v>
      </c>
      <c r="C760" t="s">
        <v>19</v>
      </c>
      <c r="D760">
        <v>10</v>
      </c>
      <c r="E760">
        <v>40</v>
      </c>
      <c r="F760">
        <v>23.02127253669736</v>
      </c>
      <c r="G760" t="str">
        <f>FLOOR(FinalData[[#This Row],[Temperature_C]],2)&amp;"–"&amp;(FLOOR(FinalData[[#This Row],[Temperature_C]],2)+2)&amp;"°C"</f>
        <v>22–24°C</v>
      </c>
      <c r="H760">
        <v>3.05</v>
      </c>
      <c r="I760">
        <v>2026</v>
      </c>
      <c r="J760">
        <v>2</v>
      </c>
      <c r="K760">
        <v>1</v>
      </c>
      <c r="L760">
        <v>0</v>
      </c>
      <c r="M760">
        <v>14</v>
      </c>
      <c r="N760">
        <v>0.25</v>
      </c>
      <c r="O760">
        <v>0.30499999999999999</v>
      </c>
      <c r="P760" t="s">
        <v>42</v>
      </c>
    </row>
    <row r="761" spans="1:16" hidden="1" x14ac:dyDescent="0.25">
      <c r="A761" s="12">
        <v>46054.625</v>
      </c>
      <c r="B761" t="s">
        <v>9</v>
      </c>
      <c r="C761" t="s">
        <v>29</v>
      </c>
      <c r="D761">
        <v>7</v>
      </c>
      <c r="E761">
        <v>30</v>
      </c>
      <c r="F761">
        <v>19.757983430847322</v>
      </c>
      <c r="G761" t="str">
        <f>FLOOR(FinalData[[#This Row],[Temperature_C]],2)&amp;"–"&amp;(FLOOR(FinalData[[#This Row],[Temperature_C]],2)+2)&amp;"°C"</f>
        <v>18–20°C</v>
      </c>
      <c r="H761">
        <v>2.68</v>
      </c>
      <c r="I761">
        <v>2026</v>
      </c>
      <c r="J761">
        <v>2</v>
      </c>
      <c r="K761">
        <v>1</v>
      </c>
      <c r="L761">
        <v>0</v>
      </c>
      <c r="M761">
        <v>15</v>
      </c>
      <c r="N761">
        <v>0.23333333333333334</v>
      </c>
      <c r="O761">
        <v>0.3828571428571429</v>
      </c>
      <c r="P761" t="s">
        <v>42</v>
      </c>
    </row>
    <row r="762" spans="1:16" hidden="1" x14ac:dyDescent="0.25">
      <c r="A762" s="12">
        <v>46054.666666666664</v>
      </c>
      <c r="B762" t="s">
        <v>11</v>
      </c>
      <c r="C762" t="s">
        <v>21</v>
      </c>
      <c r="D762">
        <v>11</v>
      </c>
      <c r="E762">
        <v>25</v>
      </c>
      <c r="F762">
        <v>23.518267310168682</v>
      </c>
      <c r="G762" t="str">
        <f>FLOOR(FinalData[[#This Row],[Temperature_C]],2)&amp;"–"&amp;(FLOOR(FinalData[[#This Row],[Temperature_C]],2)+2)&amp;"°C"</f>
        <v>22–24°C</v>
      </c>
      <c r="H762">
        <v>3.63</v>
      </c>
      <c r="I762">
        <v>2026</v>
      </c>
      <c r="J762">
        <v>2</v>
      </c>
      <c r="K762">
        <v>1</v>
      </c>
      <c r="L762">
        <v>0</v>
      </c>
      <c r="M762">
        <v>16</v>
      </c>
      <c r="N762">
        <v>0.44</v>
      </c>
      <c r="O762">
        <v>0.33</v>
      </c>
      <c r="P762" t="s">
        <v>42</v>
      </c>
    </row>
    <row r="763" spans="1:16" hidden="1" x14ac:dyDescent="0.25">
      <c r="A763" s="12">
        <v>46054.708333333336</v>
      </c>
      <c r="B763" t="s">
        <v>18</v>
      </c>
      <c r="C763" t="s">
        <v>14</v>
      </c>
      <c r="D763">
        <v>7</v>
      </c>
      <c r="E763">
        <v>25</v>
      </c>
      <c r="F763">
        <v>22.061740681351829</v>
      </c>
      <c r="G763" t="str">
        <f>FLOOR(FinalData[[#This Row],[Temperature_C]],2)&amp;"–"&amp;(FLOOR(FinalData[[#This Row],[Temperature_C]],2)+2)&amp;"°C"</f>
        <v>22–24°C</v>
      </c>
      <c r="H763">
        <v>2.44</v>
      </c>
      <c r="I763">
        <v>2026</v>
      </c>
      <c r="J763">
        <v>2</v>
      </c>
      <c r="K763">
        <v>1</v>
      </c>
      <c r="L763">
        <v>0</v>
      </c>
      <c r="M763">
        <v>17</v>
      </c>
      <c r="N763">
        <v>0.28000000000000003</v>
      </c>
      <c r="O763">
        <v>0.34857142857142859</v>
      </c>
      <c r="P763" t="s">
        <v>43</v>
      </c>
    </row>
    <row r="764" spans="1:16" hidden="1" x14ac:dyDescent="0.25">
      <c r="A764" s="12">
        <v>46054.75</v>
      </c>
      <c r="B764" t="s">
        <v>9</v>
      </c>
      <c r="C764" t="s">
        <v>22</v>
      </c>
      <c r="D764">
        <v>8</v>
      </c>
      <c r="E764">
        <v>25</v>
      </c>
      <c r="F764">
        <v>24.4985651137589</v>
      </c>
      <c r="G764" t="str">
        <f>FLOOR(FinalData[[#This Row],[Temperature_C]],2)&amp;"–"&amp;(FLOOR(FinalData[[#This Row],[Temperature_C]],2)+2)&amp;"°C"</f>
        <v>24–26°C</v>
      </c>
      <c r="H764">
        <v>3</v>
      </c>
      <c r="I764">
        <v>2026</v>
      </c>
      <c r="J764">
        <v>2</v>
      </c>
      <c r="K764">
        <v>1</v>
      </c>
      <c r="L764">
        <v>0</v>
      </c>
      <c r="M764">
        <v>18</v>
      </c>
      <c r="N764">
        <v>0.32</v>
      </c>
      <c r="O764">
        <v>0.375</v>
      </c>
      <c r="P764" t="s">
        <v>43</v>
      </c>
    </row>
    <row r="765" spans="1:16" hidden="1" x14ac:dyDescent="0.25">
      <c r="A765" s="12">
        <v>46054.791666666664</v>
      </c>
      <c r="B765" t="s">
        <v>11</v>
      </c>
      <c r="C765" t="s">
        <v>31</v>
      </c>
      <c r="D765">
        <v>5</v>
      </c>
      <c r="E765">
        <v>25</v>
      </c>
      <c r="F765">
        <v>23.884633736328968</v>
      </c>
      <c r="G765" t="str">
        <f>FLOOR(FinalData[[#This Row],[Temperature_C]],2)&amp;"–"&amp;(FLOOR(FinalData[[#This Row],[Temperature_C]],2)+2)&amp;"°C"</f>
        <v>22–24°C</v>
      </c>
      <c r="H765">
        <v>2.11</v>
      </c>
      <c r="I765">
        <v>2026</v>
      </c>
      <c r="J765">
        <v>2</v>
      </c>
      <c r="K765">
        <v>1</v>
      </c>
      <c r="L765">
        <v>0</v>
      </c>
      <c r="M765">
        <v>19</v>
      </c>
      <c r="N765">
        <v>0.2</v>
      </c>
      <c r="O765">
        <v>0.42199999999999999</v>
      </c>
      <c r="P765" t="s">
        <v>43</v>
      </c>
    </row>
    <row r="766" spans="1:16" hidden="1" x14ac:dyDescent="0.25">
      <c r="A766" s="12">
        <v>46054.833333333336</v>
      </c>
      <c r="B766" t="s">
        <v>13</v>
      </c>
      <c r="C766" t="s">
        <v>30</v>
      </c>
      <c r="D766">
        <v>4</v>
      </c>
      <c r="E766">
        <v>30</v>
      </c>
      <c r="F766">
        <v>19.744204306835901</v>
      </c>
      <c r="G766" t="str">
        <f>FLOOR(FinalData[[#This Row],[Temperature_C]],2)&amp;"–"&amp;(FLOOR(FinalData[[#This Row],[Temperature_C]],2)+2)&amp;"°C"</f>
        <v>18–20°C</v>
      </c>
      <c r="H766">
        <v>2.46</v>
      </c>
      <c r="I766">
        <v>2026</v>
      </c>
      <c r="J766">
        <v>2</v>
      </c>
      <c r="K766">
        <v>1</v>
      </c>
      <c r="L766">
        <v>0</v>
      </c>
      <c r="M766">
        <v>20</v>
      </c>
      <c r="N766">
        <v>0.13333333333333333</v>
      </c>
      <c r="O766">
        <v>0.61499999999999999</v>
      </c>
      <c r="P766" t="s">
        <v>43</v>
      </c>
    </row>
    <row r="767" spans="1:16" hidden="1" x14ac:dyDescent="0.25">
      <c r="A767" s="12">
        <v>46054.875</v>
      </c>
      <c r="B767" t="s">
        <v>18</v>
      </c>
      <c r="C767" t="s">
        <v>22</v>
      </c>
      <c r="D767">
        <v>5</v>
      </c>
      <c r="E767">
        <v>30</v>
      </c>
      <c r="F767">
        <v>20.503458980262391</v>
      </c>
      <c r="G767" t="str">
        <f>FLOOR(FinalData[[#This Row],[Temperature_C]],2)&amp;"–"&amp;(FLOOR(FinalData[[#This Row],[Temperature_C]],2)+2)&amp;"°C"</f>
        <v>20–22°C</v>
      </c>
      <c r="H767">
        <v>2.5299999999999998</v>
      </c>
      <c r="I767">
        <v>2026</v>
      </c>
      <c r="J767">
        <v>2</v>
      </c>
      <c r="K767">
        <v>1</v>
      </c>
      <c r="L767">
        <v>0</v>
      </c>
      <c r="M767">
        <v>21</v>
      </c>
      <c r="N767">
        <v>0.16666666666666666</v>
      </c>
      <c r="O767">
        <v>0.50600000000000001</v>
      </c>
      <c r="P767" t="s">
        <v>40</v>
      </c>
    </row>
    <row r="768" spans="1:16" hidden="1" x14ac:dyDescent="0.25">
      <c r="A768" s="12">
        <v>46054.916666666664</v>
      </c>
      <c r="B768" t="s">
        <v>9</v>
      </c>
      <c r="C768" t="s">
        <v>15</v>
      </c>
      <c r="D768">
        <v>9</v>
      </c>
      <c r="E768">
        <v>40</v>
      </c>
      <c r="F768">
        <v>21.42486426054781</v>
      </c>
      <c r="G768" t="str">
        <f>FLOOR(FinalData[[#This Row],[Temperature_C]],2)&amp;"–"&amp;(FLOOR(FinalData[[#This Row],[Temperature_C]],2)+2)&amp;"°C"</f>
        <v>20–22°C</v>
      </c>
      <c r="H768">
        <v>2.87</v>
      </c>
      <c r="I768">
        <v>2026</v>
      </c>
      <c r="J768">
        <v>2</v>
      </c>
      <c r="K768">
        <v>1</v>
      </c>
      <c r="L768">
        <v>0</v>
      </c>
      <c r="M768">
        <v>22</v>
      </c>
      <c r="N768">
        <v>0.22500000000000001</v>
      </c>
      <c r="O768">
        <v>0.31888888888888889</v>
      </c>
      <c r="P768" t="s">
        <v>40</v>
      </c>
    </row>
    <row r="769" spans="1:16" hidden="1" x14ac:dyDescent="0.25">
      <c r="A769" s="12">
        <v>46054.958333333336</v>
      </c>
      <c r="B769" t="s">
        <v>7</v>
      </c>
      <c r="C769" t="s">
        <v>20</v>
      </c>
      <c r="D769">
        <v>11</v>
      </c>
      <c r="E769">
        <v>20</v>
      </c>
      <c r="F769">
        <v>24.405451346542581</v>
      </c>
      <c r="G769" t="str">
        <f>FLOOR(FinalData[[#This Row],[Temperature_C]],2)&amp;"–"&amp;(FLOOR(FinalData[[#This Row],[Temperature_C]],2)+2)&amp;"°C"</f>
        <v>24–26°C</v>
      </c>
      <c r="H769">
        <v>4.0199999999999996</v>
      </c>
      <c r="I769">
        <v>2026</v>
      </c>
      <c r="J769">
        <v>2</v>
      </c>
      <c r="K769">
        <v>1</v>
      </c>
      <c r="L769">
        <v>0</v>
      </c>
      <c r="M769">
        <v>23</v>
      </c>
      <c r="N769">
        <v>0.55000000000000004</v>
      </c>
      <c r="O769">
        <v>0.36545454545454542</v>
      </c>
      <c r="P769" t="s">
        <v>40</v>
      </c>
    </row>
    <row r="770" spans="1:16" hidden="1" x14ac:dyDescent="0.25">
      <c r="A770" s="12">
        <v>46055</v>
      </c>
      <c r="B770" t="s">
        <v>13</v>
      </c>
      <c r="C770" t="s">
        <v>14</v>
      </c>
      <c r="D770">
        <v>9</v>
      </c>
      <c r="E770">
        <v>20</v>
      </c>
      <c r="F770">
        <v>21.334657693962111</v>
      </c>
      <c r="G770" t="str">
        <f>FLOOR(FinalData[[#This Row],[Temperature_C]],2)&amp;"–"&amp;(FLOOR(FinalData[[#This Row],[Temperature_C]],2)+2)&amp;"°C"</f>
        <v>20–22°C</v>
      </c>
      <c r="H770">
        <v>2.98</v>
      </c>
      <c r="I770">
        <v>2026</v>
      </c>
      <c r="J770">
        <v>2</v>
      </c>
      <c r="K770">
        <v>2</v>
      </c>
      <c r="L770">
        <v>1</v>
      </c>
      <c r="M770">
        <v>0</v>
      </c>
      <c r="N770">
        <v>0.45</v>
      </c>
      <c r="O770">
        <v>0.33111111111111113</v>
      </c>
      <c r="P770" t="s">
        <v>40</v>
      </c>
    </row>
    <row r="771" spans="1:16" hidden="1" x14ac:dyDescent="0.25">
      <c r="A771" s="12">
        <v>46055.041666666664</v>
      </c>
      <c r="B771" t="s">
        <v>9</v>
      </c>
      <c r="C771" t="s">
        <v>22</v>
      </c>
      <c r="D771">
        <v>7</v>
      </c>
      <c r="E771">
        <v>20</v>
      </c>
      <c r="F771">
        <v>26.38366967504917</v>
      </c>
      <c r="G771" t="str">
        <f>FLOOR(FinalData[[#This Row],[Temperature_C]],2)&amp;"–"&amp;(FLOOR(FinalData[[#This Row],[Temperature_C]],2)+2)&amp;"°C"</f>
        <v>26–28°C</v>
      </c>
      <c r="H771">
        <v>3.67</v>
      </c>
      <c r="I771">
        <v>2026</v>
      </c>
      <c r="J771">
        <v>2</v>
      </c>
      <c r="K771">
        <v>2</v>
      </c>
      <c r="L771">
        <v>1</v>
      </c>
      <c r="M771">
        <v>1</v>
      </c>
      <c r="N771">
        <v>0.35</v>
      </c>
      <c r="O771">
        <v>0.52428571428571424</v>
      </c>
      <c r="P771" t="s">
        <v>40</v>
      </c>
    </row>
    <row r="772" spans="1:16" hidden="1" x14ac:dyDescent="0.25">
      <c r="A772" s="12">
        <v>46055.083333333336</v>
      </c>
      <c r="B772" t="s">
        <v>18</v>
      </c>
      <c r="C772" t="s">
        <v>31</v>
      </c>
      <c r="D772">
        <v>6</v>
      </c>
      <c r="E772">
        <v>25</v>
      </c>
      <c r="F772">
        <v>20.511027100222272</v>
      </c>
      <c r="G772" t="str">
        <f>FLOOR(FinalData[[#This Row],[Temperature_C]],2)&amp;"–"&amp;(FLOOR(FinalData[[#This Row],[Temperature_C]],2)+2)&amp;"°C"</f>
        <v>20–22°C</v>
      </c>
      <c r="H772">
        <v>2.66</v>
      </c>
      <c r="I772">
        <v>2026</v>
      </c>
      <c r="J772">
        <v>2</v>
      </c>
      <c r="K772">
        <v>2</v>
      </c>
      <c r="L772">
        <v>1</v>
      </c>
      <c r="M772">
        <v>2</v>
      </c>
      <c r="N772">
        <v>0.24</v>
      </c>
      <c r="O772">
        <v>0.44333333333333336</v>
      </c>
      <c r="P772" t="s">
        <v>40</v>
      </c>
    </row>
    <row r="773" spans="1:16" hidden="1" x14ac:dyDescent="0.25">
      <c r="A773" s="12">
        <v>46055.125</v>
      </c>
      <c r="B773" t="s">
        <v>13</v>
      </c>
      <c r="C773" t="s">
        <v>20</v>
      </c>
      <c r="D773">
        <v>7</v>
      </c>
      <c r="E773">
        <v>40</v>
      </c>
      <c r="F773">
        <v>24.89361513302374</v>
      </c>
      <c r="G773" t="str">
        <f>FLOOR(FinalData[[#This Row],[Temperature_C]],2)&amp;"–"&amp;(FLOOR(FinalData[[#This Row],[Temperature_C]],2)+2)&amp;"°C"</f>
        <v>24–26°C</v>
      </c>
      <c r="H773">
        <v>3</v>
      </c>
      <c r="I773">
        <v>2026</v>
      </c>
      <c r="J773">
        <v>2</v>
      </c>
      <c r="K773">
        <v>2</v>
      </c>
      <c r="L773">
        <v>1</v>
      </c>
      <c r="M773">
        <v>3</v>
      </c>
      <c r="N773">
        <v>0.17499999999999999</v>
      </c>
      <c r="O773">
        <v>0.42857142857142855</v>
      </c>
      <c r="P773" t="s">
        <v>40</v>
      </c>
    </row>
    <row r="774" spans="1:16" hidden="1" x14ac:dyDescent="0.25">
      <c r="A774" s="12">
        <v>46055.166666666664</v>
      </c>
      <c r="B774" t="s">
        <v>7</v>
      </c>
      <c r="C774" t="s">
        <v>8</v>
      </c>
      <c r="D774">
        <v>6</v>
      </c>
      <c r="E774">
        <v>40</v>
      </c>
      <c r="F774">
        <v>23.78446135110913</v>
      </c>
      <c r="G774" t="str">
        <f>FLOOR(FinalData[[#This Row],[Temperature_C]],2)&amp;"–"&amp;(FLOOR(FinalData[[#This Row],[Temperature_C]],2)+2)&amp;"°C"</f>
        <v>22–24°C</v>
      </c>
      <c r="H774">
        <v>2.0699999999999998</v>
      </c>
      <c r="I774">
        <v>2026</v>
      </c>
      <c r="J774">
        <v>2</v>
      </c>
      <c r="K774">
        <v>2</v>
      </c>
      <c r="L774">
        <v>1</v>
      </c>
      <c r="M774">
        <v>4</v>
      </c>
      <c r="N774">
        <v>0.15</v>
      </c>
      <c r="O774">
        <v>0.34499999999999997</v>
      </c>
      <c r="P774" t="s">
        <v>40</v>
      </c>
    </row>
    <row r="775" spans="1:16" hidden="1" x14ac:dyDescent="0.25">
      <c r="A775" s="12">
        <v>46055.208333333336</v>
      </c>
      <c r="B775" t="s">
        <v>18</v>
      </c>
      <c r="C775" t="s">
        <v>25</v>
      </c>
      <c r="D775">
        <v>9</v>
      </c>
      <c r="E775">
        <v>40</v>
      </c>
      <c r="F775">
        <v>24.59360966611413</v>
      </c>
      <c r="G775" t="str">
        <f>FLOOR(FinalData[[#This Row],[Temperature_C]],2)&amp;"–"&amp;(FLOOR(FinalData[[#This Row],[Temperature_C]],2)+2)&amp;"°C"</f>
        <v>24–26°C</v>
      </c>
      <c r="H775">
        <v>4.01</v>
      </c>
      <c r="I775">
        <v>2026</v>
      </c>
      <c r="J775">
        <v>2</v>
      </c>
      <c r="K775">
        <v>2</v>
      </c>
      <c r="L775">
        <v>1</v>
      </c>
      <c r="M775">
        <v>5</v>
      </c>
      <c r="N775">
        <v>0.22500000000000001</v>
      </c>
      <c r="O775">
        <v>0.44555555555555554</v>
      </c>
      <c r="P775" t="s">
        <v>40</v>
      </c>
    </row>
    <row r="776" spans="1:16" hidden="1" x14ac:dyDescent="0.25">
      <c r="A776" s="12">
        <v>46055.25</v>
      </c>
      <c r="B776" t="s">
        <v>13</v>
      </c>
      <c r="C776" t="s">
        <v>30</v>
      </c>
      <c r="D776">
        <v>7</v>
      </c>
      <c r="E776">
        <v>25</v>
      </c>
      <c r="F776">
        <v>22.007444933820601</v>
      </c>
      <c r="G776" t="str">
        <f>FLOOR(FinalData[[#This Row],[Temperature_C]],2)&amp;"–"&amp;(FLOOR(FinalData[[#This Row],[Temperature_C]],2)+2)&amp;"°C"</f>
        <v>22–24°C</v>
      </c>
      <c r="H776">
        <v>3.07</v>
      </c>
      <c r="I776">
        <v>2026</v>
      </c>
      <c r="J776">
        <v>2</v>
      </c>
      <c r="K776">
        <v>2</v>
      </c>
      <c r="L776">
        <v>1</v>
      </c>
      <c r="M776">
        <v>6</v>
      </c>
      <c r="N776">
        <v>0.28000000000000003</v>
      </c>
      <c r="O776">
        <v>0.43857142857142856</v>
      </c>
      <c r="P776" t="s">
        <v>40</v>
      </c>
    </row>
    <row r="777" spans="1:16" hidden="1" x14ac:dyDescent="0.25">
      <c r="A777" s="12">
        <v>46055.291666666664</v>
      </c>
      <c r="B777" t="s">
        <v>18</v>
      </c>
      <c r="C777" t="s">
        <v>24</v>
      </c>
      <c r="D777">
        <v>6</v>
      </c>
      <c r="E777">
        <v>30</v>
      </c>
      <c r="F777">
        <v>23.49496109528021</v>
      </c>
      <c r="G777" t="str">
        <f>FLOOR(FinalData[[#This Row],[Temperature_C]],2)&amp;"–"&amp;(FLOOR(FinalData[[#This Row],[Temperature_C]],2)+2)&amp;"°C"</f>
        <v>22–24°C</v>
      </c>
      <c r="H777">
        <v>2.52</v>
      </c>
      <c r="I777">
        <v>2026</v>
      </c>
      <c r="J777">
        <v>2</v>
      </c>
      <c r="K777">
        <v>2</v>
      </c>
      <c r="L777">
        <v>1</v>
      </c>
      <c r="M777">
        <v>7</v>
      </c>
      <c r="N777">
        <v>0.2</v>
      </c>
      <c r="O777">
        <v>0.42</v>
      </c>
      <c r="P777" t="s">
        <v>41</v>
      </c>
    </row>
    <row r="778" spans="1:16" x14ac:dyDescent="0.25">
      <c r="A778" s="12">
        <v>46055.333333333336</v>
      </c>
      <c r="B778" t="s">
        <v>11</v>
      </c>
      <c r="C778" t="s">
        <v>15</v>
      </c>
      <c r="D778">
        <v>6</v>
      </c>
      <c r="E778">
        <v>25</v>
      </c>
      <c r="F778">
        <v>25.211429151686591</v>
      </c>
      <c r="G778" t="str">
        <f>FLOOR(FinalData[[#This Row],[Temperature_C]],2)&amp;"–"&amp;(FLOOR(FinalData[[#This Row],[Temperature_C]],2)+2)&amp;"°C"</f>
        <v>24–26°C</v>
      </c>
      <c r="H778">
        <v>2.69</v>
      </c>
      <c r="I778">
        <v>2026</v>
      </c>
      <c r="J778">
        <v>2</v>
      </c>
      <c r="K778">
        <v>2</v>
      </c>
      <c r="L778">
        <v>1</v>
      </c>
      <c r="M778">
        <v>8</v>
      </c>
      <c r="N778">
        <v>0.24</v>
      </c>
      <c r="O778">
        <v>0.44833333333333331</v>
      </c>
      <c r="P778" t="s">
        <v>41</v>
      </c>
    </row>
    <row r="779" spans="1:16" x14ac:dyDescent="0.25">
      <c r="A779" s="12">
        <v>46055.375</v>
      </c>
      <c r="B779" t="s">
        <v>11</v>
      </c>
      <c r="C779" t="s">
        <v>8</v>
      </c>
      <c r="D779">
        <v>9</v>
      </c>
      <c r="E779">
        <v>30</v>
      </c>
      <c r="F779">
        <v>25.019910993414161</v>
      </c>
      <c r="G779" t="str">
        <f>FLOOR(FinalData[[#This Row],[Temperature_C]],2)&amp;"–"&amp;(FLOOR(FinalData[[#This Row],[Temperature_C]],2)+2)&amp;"°C"</f>
        <v>24–26°C</v>
      </c>
      <c r="H779">
        <v>3.1</v>
      </c>
      <c r="I779">
        <v>2026</v>
      </c>
      <c r="J779">
        <v>2</v>
      </c>
      <c r="K779">
        <v>2</v>
      </c>
      <c r="L779">
        <v>1</v>
      </c>
      <c r="M779">
        <v>9</v>
      </c>
      <c r="N779">
        <v>0.3</v>
      </c>
      <c r="O779">
        <v>0.34444444444444444</v>
      </c>
      <c r="P779" t="s">
        <v>41</v>
      </c>
    </row>
    <row r="780" spans="1:16" x14ac:dyDescent="0.25">
      <c r="A780" s="12">
        <v>46055.416666666664</v>
      </c>
      <c r="B780" t="s">
        <v>11</v>
      </c>
      <c r="C780" t="s">
        <v>16</v>
      </c>
      <c r="D780">
        <v>8</v>
      </c>
      <c r="E780">
        <v>40</v>
      </c>
      <c r="F780">
        <v>28.333810444640019</v>
      </c>
      <c r="G780" t="str">
        <f>FLOOR(FinalData[[#This Row],[Temperature_C]],2)&amp;"–"&amp;(FLOOR(FinalData[[#This Row],[Temperature_C]],2)+2)&amp;"°C"</f>
        <v>28–30°C</v>
      </c>
      <c r="H780">
        <v>3.78</v>
      </c>
      <c r="I780">
        <v>2026</v>
      </c>
      <c r="J780">
        <v>2</v>
      </c>
      <c r="K780">
        <v>2</v>
      </c>
      <c r="L780">
        <v>1</v>
      </c>
      <c r="M780">
        <v>10</v>
      </c>
      <c r="N780">
        <v>0.2</v>
      </c>
      <c r="O780">
        <v>0.47249999999999998</v>
      </c>
      <c r="P780" t="s">
        <v>41</v>
      </c>
    </row>
    <row r="781" spans="1:16" hidden="1" x14ac:dyDescent="0.25">
      <c r="A781" s="12">
        <v>46055.458333333336</v>
      </c>
      <c r="B781" t="s">
        <v>18</v>
      </c>
      <c r="C781" t="s">
        <v>10</v>
      </c>
      <c r="D781">
        <v>6</v>
      </c>
      <c r="E781">
        <v>40</v>
      </c>
      <c r="F781">
        <v>23.460111223091001</v>
      </c>
      <c r="G781" t="str">
        <f>FLOOR(FinalData[[#This Row],[Temperature_C]],2)&amp;"–"&amp;(FLOOR(FinalData[[#This Row],[Temperature_C]],2)+2)&amp;"°C"</f>
        <v>22–24°C</v>
      </c>
      <c r="H781">
        <v>2.56</v>
      </c>
      <c r="I781">
        <v>2026</v>
      </c>
      <c r="J781">
        <v>2</v>
      </c>
      <c r="K781">
        <v>2</v>
      </c>
      <c r="L781">
        <v>1</v>
      </c>
      <c r="M781">
        <v>11</v>
      </c>
      <c r="N781">
        <v>0.15</v>
      </c>
      <c r="O781">
        <v>0.42666666666666669</v>
      </c>
      <c r="P781" t="s">
        <v>41</v>
      </c>
    </row>
    <row r="782" spans="1:16" hidden="1" x14ac:dyDescent="0.25">
      <c r="A782" s="12">
        <v>46055.5</v>
      </c>
      <c r="B782" t="s">
        <v>13</v>
      </c>
      <c r="C782" t="s">
        <v>15</v>
      </c>
      <c r="D782">
        <v>5</v>
      </c>
      <c r="E782">
        <v>30</v>
      </c>
      <c r="F782">
        <v>22.625932742250559</v>
      </c>
      <c r="G782" t="str">
        <f>FLOOR(FinalData[[#This Row],[Temperature_C]],2)&amp;"–"&amp;(FLOOR(FinalData[[#This Row],[Temperature_C]],2)+2)&amp;"°C"</f>
        <v>22–24°C</v>
      </c>
      <c r="H782">
        <v>2.73</v>
      </c>
      <c r="I782">
        <v>2026</v>
      </c>
      <c r="J782">
        <v>2</v>
      </c>
      <c r="K782">
        <v>2</v>
      </c>
      <c r="L782">
        <v>1</v>
      </c>
      <c r="M782">
        <v>12</v>
      </c>
      <c r="N782">
        <v>0.16666666666666666</v>
      </c>
      <c r="O782">
        <v>0.54600000000000004</v>
      </c>
      <c r="P782" t="s">
        <v>42</v>
      </c>
    </row>
    <row r="783" spans="1:16" hidden="1" x14ac:dyDescent="0.25">
      <c r="A783" s="12">
        <v>46055.541666666664</v>
      </c>
      <c r="B783" t="s">
        <v>11</v>
      </c>
      <c r="C783" t="s">
        <v>15</v>
      </c>
      <c r="D783">
        <v>5</v>
      </c>
      <c r="E783">
        <v>40</v>
      </c>
      <c r="F783">
        <v>23.599391111102179</v>
      </c>
      <c r="G783" t="str">
        <f>FLOOR(FinalData[[#This Row],[Temperature_C]],2)&amp;"–"&amp;(FLOOR(FinalData[[#This Row],[Temperature_C]],2)+2)&amp;"°C"</f>
        <v>22–24°C</v>
      </c>
      <c r="H783">
        <v>2.37</v>
      </c>
      <c r="I783">
        <v>2026</v>
      </c>
      <c r="J783">
        <v>2</v>
      </c>
      <c r="K783">
        <v>2</v>
      </c>
      <c r="L783">
        <v>1</v>
      </c>
      <c r="M783">
        <v>13</v>
      </c>
      <c r="N783">
        <v>0.125</v>
      </c>
      <c r="O783">
        <v>0.47400000000000003</v>
      </c>
      <c r="P783" t="s">
        <v>42</v>
      </c>
    </row>
    <row r="784" spans="1:16" hidden="1" x14ac:dyDescent="0.25">
      <c r="A784" s="12">
        <v>46055.583333333336</v>
      </c>
      <c r="B784" t="s">
        <v>13</v>
      </c>
      <c r="C784" t="s">
        <v>17</v>
      </c>
      <c r="D784">
        <v>6</v>
      </c>
      <c r="E784">
        <v>25</v>
      </c>
      <c r="F784">
        <v>22.44622128846239</v>
      </c>
      <c r="G784" t="str">
        <f>FLOOR(FinalData[[#This Row],[Temperature_C]],2)&amp;"–"&amp;(FLOOR(FinalData[[#This Row],[Temperature_C]],2)+2)&amp;"°C"</f>
        <v>22–24°C</v>
      </c>
      <c r="H784">
        <v>2.17</v>
      </c>
      <c r="I784">
        <v>2026</v>
      </c>
      <c r="J784">
        <v>2</v>
      </c>
      <c r="K784">
        <v>2</v>
      </c>
      <c r="L784">
        <v>1</v>
      </c>
      <c r="M784">
        <v>14</v>
      </c>
      <c r="N784">
        <v>0.24</v>
      </c>
      <c r="O784">
        <v>0.36166666666666664</v>
      </c>
      <c r="P784" t="s">
        <v>42</v>
      </c>
    </row>
    <row r="785" spans="1:16" hidden="1" x14ac:dyDescent="0.25">
      <c r="A785" s="12">
        <v>46055.625</v>
      </c>
      <c r="B785" t="s">
        <v>7</v>
      </c>
      <c r="C785" t="s">
        <v>17</v>
      </c>
      <c r="D785">
        <v>5</v>
      </c>
      <c r="E785">
        <v>20</v>
      </c>
      <c r="F785">
        <v>24.17615335033566</v>
      </c>
      <c r="G785" t="str">
        <f>FLOOR(FinalData[[#This Row],[Temperature_C]],2)&amp;"–"&amp;(FLOOR(FinalData[[#This Row],[Temperature_C]],2)+2)&amp;"°C"</f>
        <v>24–26°C</v>
      </c>
      <c r="H785">
        <v>2.67</v>
      </c>
      <c r="I785">
        <v>2026</v>
      </c>
      <c r="J785">
        <v>2</v>
      </c>
      <c r="K785">
        <v>2</v>
      </c>
      <c r="L785">
        <v>1</v>
      </c>
      <c r="M785">
        <v>15</v>
      </c>
      <c r="N785">
        <v>0.25</v>
      </c>
      <c r="O785">
        <v>0.53400000000000003</v>
      </c>
      <c r="P785" t="s">
        <v>42</v>
      </c>
    </row>
    <row r="786" spans="1:16" hidden="1" x14ac:dyDescent="0.25">
      <c r="A786" s="12">
        <v>46055.666666666664</v>
      </c>
      <c r="B786" t="s">
        <v>9</v>
      </c>
      <c r="C786" t="s">
        <v>15</v>
      </c>
      <c r="D786">
        <v>8</v>
      </c>
      <c r="E786">
        <v>30</v>
      </c>
      <c r="F786">
        <v>22.169910799124729</v>
      </c>
      <c r="G786" t="str">
        <f>FLOOR(FinalData[[#This Row],[Temperature_C]],2)&amp;"–"&amp;(FLOOR(FinalData[[#This Row],[Temperature_C]],2)+2)&amp;"°C"</f>
        <v>22–24°C</v>
      </c>
      <c r="H786">
        <v>2.57</v>
      </c>
      <c r="I786">
        <v>2026</v>
      </c>
      <c r="J786">
        <v>2</v>
      </c>
      <c r="K786">
        <v>2</v>
      </c>
      <c r="L786">
        <v>1</v>
      </c>
      <c r="M786">
        <v>16</v>
      </c>
      <c r="N786">
        <v>0.26666666666666666</v>
      </c>
      <c r="O786">
        <v>0.32124999999999998</v>
      </c>
      <c r="P786" t="s">
        <v>42</v>
      </c>
    </row>
    <row r="787" spans="1:16" hidden="1" x14ac:dyDescent="0.25">
      <c r="A787" s="12">
        <v>46055.708333333336</v>
      </c>
      <c r="B787" t="s">
        <v>7</v>
      </c>
      <c r="C787" t="s">
        <v>15</v>
      </c>
      <c r="D787">
        <v>15</v>
      </c>
      <c r="E787">
        <v>40</v>
      </c>
      <c r="F787">
        <v>27.4878425510061</v>
      </c>
      <c r="G787" t="str">
        <f>FLOOR(FinalData[[#This Row],[Temperature_C]],2)&amp;"–"&amp;(FLOOR(FinalData[[#This Row],[Temperature_C]],2)+2)&amp;"°C"</f>
        <v>26–28°C</v>
      </c>
      <c r="H787">
        <v>4.5599999999999996</v>
      </c>
      <c r="I787">
        <v>2026</v>
      </c>
      <c r="J787">
        <v>2</v>
      </c>
      <c r="K787">
        <v>2</v>
      </c>
      <c r="L787">
        <v>1</v>
      </c>
      <c r="M787">
        <v>17</v>
      </c>
      <c r="N787">
        <v>0.375</v>
      </c>
      <c r="O787">
        <v>0.30399999999999999</v>
      </c>
      <c r="P787" t="s">
        <v>43</v>
      </c>
    </row>
    <row r="788" spans="1:16" hidden="1" x14ac:dyDescent="0.25">
      <c r="A788" s="12">
        <v>46055.75</v>
      </c>
      <c r="B788" t="s">
        <v>18</v>
      </c>
      <c r="C788" t="s">
        <v>26</v>
      </c>
      <c r="D788">
        <v>8</v>
      </c>
      <c r="E788">
        <v>20</v>
      </c>
      <c r="F788">
        <v>20.686117205541059</v>
      </c>
      <c r="G788" t="str">
        <f>FLOOR(FinalData[[#This Row],[Temperature_C]],2)&amp;"–"&amp;(FLOOR(FinalData[[#This Row],[Temperature_C]],2)+2)&amp;"°C"</f>
        <v>20–22°C</v>
      </c>
      <c r="H788">
        <v>3.09</v>
      </c>
      <c r="I788">
        <v>2026</v>
      </c>
      <c r="J788">
        <v>2</v>
      </c>
      <c r="K788">
        <v>2</v>
      </c>
      <c r="L788">
        <v>1</v>
      </c>
      <c r="M788">
        <v>18</v>
      </c>
      <c r="N788">
        <v>0.4</v>
      </c>
      <c r="O788">
        <v>0.38624999999999998</v>
      </c>
      <c r="P788" t="s">
        <v>43</v>
      </c>
    </row>
    <row r="789" spans="1:16" hidden="1" x14ac:dyDescent="0.25">
      <c r="A789" s="12">
        <v>46055.791666666664</v>
      </c>
      <c r="B789" t="s">
        <v>11</v>
      </c>
      <c r="C789" t="s">
        <v>8</v>
      </c>
      <c r="D789">
        <v>8</v>
      </c>
      <c r="E789">
        <v>20</v>
      </c>
      <c r="F789">
        <v>22.513843887841581</v>
      </c>
      <c r="G789" t="str">
        <f>FLOOR(FinalData[[#This Row],[Temperature_C]],2)&amp;"–"&amp;(FLOOR(FinalData[[#This Row],[Temperature_C]],2)+2)&amp;"°C"</f>
        <v>22–24°C</v>
      </c>
      <c r="H789">
        <v>3.14</v>
      </c>
      <c r="I789">
        <v>2026</v>
      </c>
      <c r="J789">
        <v>2</v>
      </c>
      <c r="K789">
        <v>2</v>
      </c>
      <c r="L789">
        <v>1</v>
      </c>
      <c r="M789">
        <v>19</v>
      </c>
      <c r="N789">
        <v>0.4</v>
      </c>
      <c r="O789">
        <v>0.39250000000000002</v>
      </c>
      <c r="P789" t="s">
        <v>43</v>
      </c>
    </row>
    <row r="790" spans="1:16" hidden="1" x14ac:dyDescent="0.25">
      <c r="A790" s="12">
        <v>46055.833333333336</v>
      </c>
      <c r="B790" t="s">
        <v>7</v>
      </c>
      <c r="C790" t="s">
        <v>23</v>
      </c>
      <c r="D790">
        <v>12</v>
      </c>
      <c r="E790">
        <v>40</v>
      </c>
      <c r="F790">
        <v>23.024339364565812</v>
      </c>
      <c r="G790" t="str">
        <f>FLOOR(FinalData[[#This Row],[Temperature_C]],2)&amp;"–"&amp;(FLOOR(FinalData[[#This Row],[Temperature_C]],2)+2)&amp;"°C"</f>
        <v>22–24°C</v>
      </c>
      <c r="H790">
        <v>3.93</v>
      </c>
      <c r="I790">
        <v>2026</v>
      </c>
      <c r="J790">
        <v>2</v>
      </c>
      <c r="K790">
        <v>2</v>
      </c>
      <c r="L790">
        <v>1</v>
      </c>
      <c r="M790">
        <v>20</v>
      </c>
      <c r="N790">
        <v>0.3</v>
      </c>
      <c r="O790">
        <v>0.32750000000000001</v>
      </c>
      <c r="P790" t="s">
        <v>43</v>
      </c>
    </row>
    <row r="791" spans="1:16" hidden="1" x14ac:dyDescent="0.25">
      <c r="A791" s="12">
        <v>46055.875</v>
      </c>
      <c r="B791" t="s">
        <v>11</v>
      </c>
      <c r="C791" t="s">
        <v>12</v>
      </c>
      <c r="D791">
        <v>9</v>
      </c>
      <c r="E791">
        <v>25</v>
      </c>
      <c r="F791">
        <v>26.906214396545149</v>
      </c>
      <c r="G791" t="str">
        <f>FLOOR(FinalData[[#This Row],[Temperature_C]],2)&amp;"–"&amp;(FLOOR(FinalData[[#This Row],[Temperature_C]],2)+2)&amp;"°C"</f>
        <v>26–28°C</v>
      </c>
      <c r="H791">
        <v>3.99</v>
      </c>
      <c r="I791">
        <v>2026</v>
      </c>
      <c r="J791">
        <v>2</v>
      </c>
      <c r="K791">
        <v>2</v>
      </c>
      <c r="L791">
        <v>1</v>
      </c>
      <c r="M791">
        <v>21</v>
      </c>
      <c r="N791">
        <v>0.36</v>
      </c>
      <c r="O791">
        <v>0.44333333333333336</v>
      </c>
      <c r="P791" t="s">
        <v>40</v>
      </c>
    </row>
    <row r="792" spans="1:16" hidden="1" x14ac:dyDescent="0.25">
      <c r="A792" s="12">
        <v>46055.916666666664</v>
      </c>
      <c r="B792" t="s">
        <v>11</v>
      </c>
      <c r="C792" t="s">
        <v>26</v>
      </c>
      <c r="D792">
        <v>6</v>
      </c>
      <c r="E792">
        <v>20</v>
      </c>
      <c r="F792">
        <v>22.73599229429146</v>
      </c>
      <c r="G792" t="str">
        <f>FLOOR(FinalData[[#This Row],[Temperature_C]],2)&amp;"–"&amp;(FLOOR(FinalData[[#This Row],[Temperature_C]],2)+2)&amp;"°C"</f>
        <v>22–24°C</v>
      </c>
      <c r="H792">
        <v>2.17</v>
      </c>
      <c r="I792">
        <v>2026</v>
      </c>
      <c r="J792">
        <v>2</v>
      </c>
      <c r="K792">
        <v>2</v>
      </c>
      <c r="L792">
        <v>1</v>
      </c>
      <c r="M792">
        <v>22</v>
      </c>
      <c r="N792">
        <v>0.3</v>
      </c>
      <c r="O792">
        <v>0.36166666666666664</v>
      </c>
      <c r="P792" t="s">
        <v>40</v>
      </c>
    </row>
    <row r="793" spans="1:16" hidden="1" x14ac:dyDescent="0.25">
      <c r="A793" s="12">
        <v>46055.958333333336</v>
      </c>
      <c r="B793" t="s">
        <v>11</v>
      </c>
      <c r="C793" t="s">
        <v>24</v>
      </c>
      <c r="D793">
        <v>9</v>
      </c>
      <c r="E793">
        <v>25</v>
      </c>
      <c r="F793">
        <v>21.131691585900921</v>
      </c>
      <c r="G793" t="str">
        <f>FLOOR(FinalData[[#This Row],[Temperature_C]],2)&amp;"–"&amp;(FLOOR(FinalData[[#This Row],[Temperature_C]],2)+2)&amp;"°C"</f>
        <v>20–22°C</v>
      </c>
      <c r="H793">
        <v>3.62</v>
      </c>
      <c r="I793">
        <v>2026</v>
      </c>
      <c r="J793">
        <v>2</v>
      </c>
      <c r="K793">
        <v>2</v>
      </c>
      <c r="L793">
        <v>1</v>
      </c>
      <c r="M793">
        <v>23</v>
      </c>
      <c r="N793">
        <v>0.36</v>
      </c>
      <c r="O793">
        <v>0.40222222222222226</v>
      </c>
      <c r="P793" t="s">
        <v>40</v>
      </c>
    </row>
    <row r="794" spans="1:16" hidden="1" x14ac:dyDescent="0.25">
      <c r="A794" s="12">
        <v>46056</v>
      </c>
      <c r="B794" t="s">
        <v>18</v>
      </c>
      <c r="C794" t="s">
        <v>12</v>
      </c>
      <c r="D794">
        <v>9</v>
      </c>
      <c r="E794">
        <v>30</v>
      </c>
      <c r="F794">
        <v>26.538674646801251</v>
      </c>
      <c r="G794" t="str">
        <f>FLOOR(FinalData[[#This Row],[Temperature_C]],2)&amp;"–"&amp;(FLOOR(FinalData[[#This Row],[Temperature_C]],2)+2)&amp;"°C"</f>
        <v>26–28°C</v>
      </c>
      <c r="H794">
        <v>3.79</v>
      </c>
      <c r="I794">
        <v>2026</v>
      </c>
      <c r="J794">
        <v>2</v>
      </c>
      <c r="K794">
        <v>3</v>
      </c>
      <c r="L794">
        <v>2</v>
      </c>
      <c r="M794">
        <v>0</v>
      </c>
      <c r="N794">
        <v>0.3</v>
      </c>
      <c r="O794">
        <v>0.4211111111111111</v>
      </c>
      <c r="P794" t="s">
        <v>40</v>
      </c>
    </row>
    <row r="795" spans="1:16" hidden="1" x14ac:dyDescent="0.25">
      <c r="A795" s="12">
        <v>46056.041666666664</v>
      </c>
      <c r="B795" t="s">
        <v>13</v>
      </c>
      <c r="C795" t="s">
        <v>21</v>
      </c>
      <c r="D795">
        <v>9</v>
      </c>
      <c r="E795">
        <v>20</v>
      </c>
      <c r="F795">
        <v>20.483960177467321</v>
      </c>
      <c r="G795" t="str">
        <f>FLOOR(FinalData[[#This Row],[Temperature_C]],2)&amp;"–"&amp;(FLOOR(FinalData[[#This Row],[Temperature_C]],2)+2)&amp;"°C"</f>
        <v>20–22°C</v>
      </c>
      <c r="H795">
        <v>3.54</v>
      </c>
      <c r="I795">
        <v>2026</v>
      </c>
      <c r="J795">
        <v>2</v>
      </c>
      <c r="K795">
        <v>3</v>
      </c>
      <c r="L795">
        <v>2</v>
      </c>
      <c r="M795">
        <v>1</v>
      </c>
      <c r="N795">
        <v>0.45</v>
      </c>
      <c r="O795">
        <v>0.39333333333333331</v>
      </c>
      <c r="P795" t="s">
        <v>40</v>
      </c>
    </row>
    <row r="796" spans="1:16" hidden="1" x14ac:dyDescent="0.25">
      <c r="A796" s="12">
        <v>46056.083333333336</v>
      </c>
      <c r="B796" t="s">
        <v>11</v>
      </c>
      <c r="C796" t="s">
        <v>30</v>
      </c>
      <c r="D796">
        <v>9</v>
      </c>
      <c r="E796">
        <v>20</v>
      </c>
      <c r="F796">
        <v>21.192288916095329</v>
      </c>
      <c r="G796" t="str">
        <f>FLOOR(FinalData[[#This Row],[Temperature_C]],2)&amp;"–"&amp;(FLOOR(FinalData[[#This Row],[Temperature_C]],2)+2)&amp;"°C"</f>
        <v>20–22°C</v>
      </c>
      <c r="H796">
        <v>3.59</v>
      </c>
      <c r="I796">
        <v>2026</v>
      </c>
      <c r="J796">
        <v>2</v>
      </c>
      <c r="K796">
        <v>3</v>
      </c>
      <c r="L796">
        <v>2</v>
      </c>
      <c r="M796">
        <v>2</v>
      </c>
      <c r="N796">
        <v>0.45</v>
      </c>
      <c r="O796">
        <v>0.39888888888888885</v>
      </c>
      <c r="P796" t="s">
        <v>40</v>
      </c>
    </row>
    <row r="797" spans="1:16" hidden="1" x14ac:dyDescent="0.25">
      <c r="A797" s="12">
        <v>46056.125</v>
      </c>
      <c r="B797" t="s">
        <v>11</v>
      </c>
      <c r="C797" t="s">
        <v>26</v>
      </c>
      <c r="D797">
        <v>8</v>
      </c>
      <c r="E797">
        <v>25</v>
      </c>
      <c r="F797">
        <v>22.044320298592421</v>
      </c>
      <c r="G797" t="str">
        <f>FLOOR(FinalData[[#This Row],[Temperature_C]],2)&amp;"–"&amp;(FLOOR(FinalData[[#This Row],[Temperature_C]],2)+2)&amp;"°C"</f>
        <v>22–24°C</v>
      </c>
      <c r="H797">
        <v>2.79</v>
      </c>
      <c r="I797">
        <v>2026</v>
      </c>
      <c r="J797">
        <v>2</v>
      </c>
      <c r="K797">
        <v>3</v>
      </c>
      <c r="L797">
        <v>2</v>
      </c>
      <c r="M797">
        <v>3</v>
      </c>
      <c r="N797">
        <v>0.32</v>
      </c>
      <c r="O797">
        <v>0.34875</v>
      </c>
      <c r="P797" t="s">
        <v>40</v>
      </c>
    </row>
    <row r="798" spans="1:16" hidden="1" x14ac:dyDescent="0.25">
      <c r="A798" s="12">
        <v>46056.166666666664</v>
      </c>
      <c r="B798" t="s">
        <v>11</v>
      </c>
      <c r="C798" t="s">
        <v>30</v>
      </c>
      <c r="D798">
        <v>10</v>
      </c>
      <c r="E798">
        <v>30</v>
      </c>
      <c r="F798">
        <v>21.569502962364819</v>
      </c>
      <c r="G798" t="str">
        <f>FLOOR(FinalData[[#This Row],[Temperature_C]],2)&amp;"–"&amp;(FLOOR(FinalData[[#This Row],[Temperature_C]],2)+2)&amp;"°C"</f>
        <v>20–22°C</v>
      </c>
      <c r="H798">
        <v>3.16</v>
      </c>
      <c r="I798">
        <v>2026</v>
      </c>
      <c r="J798">
        <v>2</v>
      </c>
      <c r="K798">
        <v>3</v>
      </c>
      <c r="L798">
        <v>2</v>
      </c>
      <c r="M798">
        <v>4</v>
      </c>
      <c r="N798">
        <v>0.33333333333333331</v>
      </c>
      <c r="O798">
        <v>0.316</v>
      </c>
      <c r="P798" t="s">
        <v>40</v>
      </c>
    </row>
    <row r="799" spans="1:16" hidden="1" x14ac:dyDescent="0.25">
      <c r="A799" s="12">
        <v>46056.208333333336</v>
      </c>
      <c r="B799" t="s">
        <v>18</v>
      </c>
      <c r="C799" t="s">
        <v>24</v>
      </c>
      <c r="D799">
        <v>9</v>
      </c>
      <c r="E799">
        <v>40</v>
      </c>
      <c r="F799">
        <v>22.06120367512905</v>
      </c>
      <c r="G799" t="str">
        <f>FLOOR(FinalData[[#This Row],[Temperature_C]],2)&amp;"–"&amp;(FLOOR(FinalData[[#This Row],[Temperature_C]],2)+2)&amp;"°C"</f>
        <v>22–24°C</v>
      </c>
      <c r="H799">
        <v>3.52</v>
      </c>
      <c r="I799">
        <v>2026</v>
      </c>
      <c r="J799">
        <v>2</v>
      </c>
      <c r="K799">
        <v>3</v>
      </c>
      <c r="L799">
        <v>2</v>
      </c>
      <c r="M799">
        <v>5</v>
      </c>
      <c r="N799">
        <v>0.22500000000000001</v>
      </c>
      <c r="O799">
        <v>0.39111111111111113</v>
      </c>
      <c r="P799" t="s">
        <v>40</v>
      </c>
    </row>
    <row r="800" spans="1:16" hidden="1" x14ac:dyDescent="0.25">
      <c r="A800" s="12">
        <v>46056.25</v>
      </c>
      <c r="B800" t="s">
        <v>11</v>
      </c>
      <c r="C800" t="s">
        <v>22</v>
      </c>
      <c r="D800">
        <v>11</v>
      </c>
      <c r="E800">
        <v>25</v>
      </c>
      <c r="F800">
        <v>22.42488377969773</v>
      </c>
      <c r="G800" t="str">
        <f>FLOOR(FinalData[[#This Row],[Temperature_C]],2)&amp;"–"&amp;(FLOOR(FinalData[[#This Row],[Temperature_C]],2)+2)&amp;"°C"</f>
        <v>22–24°C</v>
      </c>
      <c r="H800">
        <v>3.3</v>
      </c>
      <c r="I800">
        <v>2026</v>
      </c>
      <c r="J800">
        <v>2</v>
      </c>
      <c r="K800">
        <v>3</v>
      </c>
      <c r="L800">
        <v>2</v>
      </c>
      <c r="M800">
        <v>6</v>
      </c>
      <c r="N800">
        <v>0.44</v>
      </c>
      <c r="O800">
        <v>0.3</v>
      </c>
      <c r="P800" t="s">
        <v>40</v>
      </c>
    </row>
    <row r="801" spans="1:16" hidden="1" x14ac:dyDescent="0.25">
      <c r="A801" s="12">
        <v>46056.291666666664</v>
      </c>
      <c r="B801" t="s">
        <v>18</v>
      </c>
      <c r="C801" t="s">
        <v>10</v>
      </c>
      <c r="D801">
        <v>9</v>
      </c>
      <c r="E801">
        <v>20</v>
      </c>
      <c r="F801">
        <v>25.37292207466065</v>
      </c>
      <c r="G801" t="str">
        <f>FLOOR(FinalData[[#This Row],[Temperature_C]],2)&amp;"–"&amp;(FLOOR(FinalData[[#This Row],[Temperature_C]],2)+2)&amp;"°C"</f>
        <v>24–26°C</v>
      </c>
      <c r="H801">
        <v>2.99</v>
      </c>
      <c r="I801">
        <v>2026</v>
      </c>
      <c r="J801">
        <v>2</v>
      </c>
      <c r="K801">
        <v>3</v>
      </c>
      <c r="L801">
        <v>2</v>
      </c>
      <c r="M801">
        <v>7</v>
      </c>
      <c r="N801">
        <v>0.45</v>
      </c>
      <c r="O801">
        <v>0.33222222222222225</v>
      </c>
      <c r="P801" t="s">
        <v>41</v>
      </c>
    </row>
    <row r="802" spans="1:16" x14ac:dyDescent="0.25">
      <c r="A802" s="12">
        <v>46056.333333333336</v>
      </c>
      <c r="B802" t="s">
        <v>11</v>
      </c>
      <c r="C802" t="s">
        <v>17</v>
      </c>
      <c r="D802">
        <v>7</v>
      </c>
      <c r="E802">
        <v>30</v>
      </c>
      <c r="F802">
        <v>23.403160228399191</v>
      </c>
      <c r="G802" t="str">
        <f>FLOOR(FinalData[[#This Row],[Temperature_C]],2)&amp;"–"&amp;(FLOOR(FinalData[[#This Row],[Temperature_C]],2)+2)&amp;"°C"</f>
        <v>22–24°C</v>
      </c>
      <c r="H802">
        <v>2.79</v>
      </c>
      <c r="I802">
        <v>2026</v>
      </c>
      <c r="J802">
        <v>2</v>
      </c>
      <c r="K802">
        <v>3</v>
      </c>
      <c r="L802">
        <v>2</v>
      </c>
      <c r="M802">
        <v>8</v>
      </c>
      <c r="N802">
        <v>0.23333333333333334</v>
      </c>
      <c r="O802">
        <v>0.39857142857142858</v>
      </c>
      <c r="P802" t="s">
        <v>41</v>
      </c>
    </row>
    <row r="803" spans="1:16" hidden="1" x14ac:dyDescent="0.25">
      <c r="A803" s="12">
        <v>46056.375</v>
      </c>
      <c r="B803" t="s">
        <v>18</v>
      </c>
      <c r="C803" t="s">
        <v>15</v>
      </c>
      <c r="D803">
        <v>16</v>
      </c>
      <c r="E803">
        <v>40</v>
      </c>
      <c r="F803">
        <v>23.279303348431789</v>
      </c>
      <c r="G803" t="str">
        <f>FLOOR(FinalData[[#This Row],[Temperature_C]],2)&amp;"–"&amp;(FLOOR(FinalData[[#This Row],[Temperature_C]],2)+2)&amp;"°C"</f>
        <v>22–24°C</v>
      </c>
      <c r="H803">
        <v>5.01</v>
      </c>
      <c r="I803">
        <v>2026</v>
      </c>
      <c r="J803">
        <v>2</v>
      </c>
      <c r="K803">
        <v>3</v>
      </c>
      <c r="L803">
        <v>2</v>
      </c>
      <c r="M803">
        <v>9</v>
      </c>
      <c r="N803">
        <v>0.4</v>
      </c>
      <c r="O803">
        <v>0.31312499999999999</v>
      </c>
      <c r="P803" t="s">
        <v>41</v>
      </c>
    </row>
    <row r="804" spans="1:16" hidden="1" x14ac:dyDescent="0.25">
      <c r="A804" s="12">
        <v>46056.416666666664</v>
      </c>
      <c r="B804" t="s">
        <v>18</v>
      </c>
      <c r="C804" t="s">
        <v>8</v>
      </c>
      <c r="D804">
        <v>10</v>
      </c>
      <c r="E804">
        <v>25</v>
      </c>
      <c r="F804">
        <v>26.479330503940901</v>
      </c>
      <c r="G804" t="str">
        <f>FLOOR(FinalData[[#This Row],[Temperature_C]],2)&amp;"–"&amp;(FLOOR(FinalData[[#This Row],[Temperature_C]],2)+2)&amp;"°C"</f>
        <v>26–28°C</v>
      </c>
      <c r="H804">
        <v>4</v>
      </c>
      <c r="I804">
        <v>2026</v>
      </c>
      <c r="J804">
        <v>2</v>
      </c>
      <c r="K804">
        <v>3</v>
      </c>
      <c r="L804">
        <v>2</v>
      </c>
      <c r="M804">
        <v>10</v>
      </c>
      <c r="N804">
        <v>0.4</v>
      </c>
      <c r="O804">
        <v>0.4</v>
      </c>
      <c r="P804" t="s">
        <v>41</v>
      </c>
    </row>
    <row r="805" spans="1:16" x14ac:dyDescent="0.25">
      <c r="A805" s="12">
        <v>46056.458333333336</v>
      </c>
      <c r="B805" t="s">
        <v>11</v>
      </c>
      <c r="C805" t="s">
        <v>21</v>
      </c>
      <c r="D805">
        <v>8</v>
      </c>
      <c r="E805">
        <v>30</v>
      </c>
      <c r="F805">
        <v>22.885205072426409</v>
      </c>
      <c r="G805" t="str">
        <f>FLOOR(FinalData[[#This Row],[Temperature_C]],2)&amp;"–"&amp;(FLOOR(FinalData[[#This Row],[Temperature_C]],2)+2)&amp;"°C"</f>
        <v>22–24°C</v>
      </c>
      <c r="H805">
        <v>2.92</v>
      </c>
      <c r="I805">
        <v>2026</v>
      </c>
      <c r="J805">
        <v>2</v>
      </c>
      <c r="K805">
        <v>3</v>
      </c>
      <c r="L805">
        <v>2</v>
      </c>
      <c r="M805">
        <v>11</v>
      </c>
      <c r="N805">
        <v>0.26666666666666666</v>
      </c>
      <c r="O805">
        <v>0.36499999999999999</v>
      </c>
      <c r="P805" t="s">
        <v>41</v>
      </c>
    </row>
    <row r="806" spans="1:16" hidden="1" x14ac:dyDescent="0.25">
      <c r="A806" s="12">
        <v>46056.5</v>
      </c>
      <c r="B806" t="s">
        <v>7</v>
      </c>
      <c r="C806" t="s">
        <v>30</v>
      </c>
      <c r="D806">
        <v>13</v>
      </c>
      <c r="E806">
        <v>20</v>
      </c>
      <c r="F806">
        <v>24.376410612905769</v>
      </c>
      <c r="G806" t="str">
        <f>FLOOR(FinalData[[#This Row],[Temperature_C]],2)&amp;"–"&amp;(FLOOR(FinalData[[#This Row],[Temperature_C]],2)+2)&amp;"°C"</f>
        <v>24–26°C</v>
      </c>
      <c r="H806">
        <v>4.2699999999999996</v>
      </c>
      <c r="I806">
        <v>2026</v>
      </c>
      <c r="J806">
        <v>2</v>
      </c>
      <c r="K806">
        <v>3</v>
      </c>
      <c r="L806">
        <v>2</v>
      </c>
      <c r="M806">
        <v>12</v>
      </c>
      <c r="N806">
        <v>0.65</v>
      </c>
      <c r="O806">
        <v>0.32846153846153842</v>
      </c>
      <c r="P806" t="s">
        <v>42</v>
      </c>
    </row>
    <row r="807" spans="1:16" hidden="1" x14ac:dyDescent="0.25">
      <c r="A807" s="12">
        <v>46056.541666666664</v>
      </c>
      <c r="B807" t="s">
        <v>13</v>
      </c>
      <c r="C807" t="s">
        <v>26</v>
      </c>
      <c r="D807">
        <v>3</v>
      </c>
      <c r="E807">
        <v>30</v>
      </c>
      <c r="F807">
        <v>24.397906143434842</v>
      </c>
      <c r="G807" t="str">
        <f>FLOOR(FinalData[[#This Row],[Temperature_C]],2)&amp;"–"&amp;(FLOOR(FinalData[[#This Row],[Temperature_C]],2)+2)&amp;"°C"</f>
        <v>24–26°C</v>
      </c>
      <c r="H807">
        <v>1.72</v>
      </c>
      <c r="I807">
        <v>2026</v>
      </c>
      <c r="J807">
        <v>2</v>
      </c>
      <c r="K807">
        <v>3</v>
      </c>
      <c r="L807">
        <v>2</v>
      </c>
      <c r="M807">
        <v>13</v>
      </c>
      <c r="N807">
        <v>0.1</v>
      </c>
      <c r="O807">
        <v>0.57333333333333336</v>
      </c>
      <c r="P807" t="s">
        <v>42</v>
      </c>
    </row>
    <row r="808" spans="1:16" hidden="1" x14ac:dyDescent="0.25">
      <c r="A808" s="12">
        <v>46056.583333333336</v>
      </c>
      <c r="B808" t="s">
        <v>13</v>
      </c>
      <c r="C808" t="s">
        <v>26</v>
      </c>
      <c r="D808">
        <v>4</v>
      </c>
      <c r="E808">
        <v>40</v>
      </c>
      <c r="F808">
        <v>25.380672681218741</v>
      </c>
      <c r="G808" t="str">
        <f>FLOOR(FinalData[[#This Row],[Temperature_C]],2)&amp;"–"&amp;(FLOOR(FinalData[[#This Row],[Temperature_C]],2)+2)&amp;"°C"</f>
        <v>24–26°C</v>
      </c>
      <c r="H808">
        <v>2.62</v>
      </c>
      <c r="I808">
        <v>2026</v>
      </c>
      <c r="J808">
        <v>2</v>
      </c>
      <c r="K808">
        <v>3</v>
      </c>
      <c r="L808">
        <v>2</v>
      </c>
      <c r="M808">
        <v>14</v>
      </c>
      <c r="N808">
        <v>0.1</v>
      </c>
      <c r="O808">
        <v>0.65500000000000003</v>
      </c>
      <c r="P808" t="s">
        <v>42</v>
      </c>
    </row>
    <row r="809" spans="1:16" hidden="1" x14ac:dyDescent="0.25">
      <c r="A809" s="12">
        <v>46056.625</v>
      </c>
      <c r="B809" t="s">
        <v>13</v>
      </c>
      <c r="C809" t="s">
        <v>28</v>
      </c>
      <c r="D809">
        <v>2</v>
      </c>
      <c r="E809">
        <v>30</v>
      </c>
      <c r="F809">
        <v>24.438337332710869</v>
      </c>
      <c r="G809" t="str">
        <f>FLOOR(FinalData[[#This Row],[Temperature_C]],2)&amp;"–"&amp;(FLOOR(FinalData[[#This Row],[Temperature_C]],2)+2)&amp;"°C"</f>
        <v>24–26°C</v>
      </c>
      <c r="H809">
        <v>2.21</v>
      </c>
      <c r="I809">
        <v>2026</v>
      </c>
      <c r="J809">
        <v>2</v>
      </c>
      <c r="K809">
        <v>3</v>
      </c>
      <c r="L809">
        <v>2</v>
      </c>
      <c r="M809">
        <v>15</v>
      </c>
      <c r="N809">
        <v>6.6666666666666666E-2</v>
      </c>
      <c r="O809">
        <v>1.105</v>
      </c>
      <c r="P809" t="s">
        <v>42</v>
      </c>
    </row>
    <row r="810" spans="1:16" hidden="1" x14ac:dyDescent="0.25">
      <c r="A810" s="12">
        <v>46056.666666666664</v>
      </c>
      <c r="B810" t="s">
        <v>11</v>
      </c>
      <c r="C810" t="s">
        <v>10</v>
      </c>
      <c r="D810">
        <v>12</v>
      </c>
      <c r="E810">
        <v>30</v>
      </c>
      <c r="F810">
        <v>22.350210370719552</v>
      </c>
      <c r="G810" t="str">
        <f>FLOOR(FinalData[[#This Row],[Temperature_C]],2)&amp;"–"&amp;(FLOOR(FinalData[[#This Row],[Temperature_C]],2)+2)&amp;"°C"</f>
        <v>22–24°C</v>
      </c>
      <c r="H810">
        <v>3.83</v>
      </c>
      <c r="I810">
        <v>2026</v>
      </c>
      <c r="J810">
        <v>2</v>
      </c>
      <c r="K810">
        <v>3</v>
      </c>
      <c r="L810">
        <v>2</v>
      </c>
      <c r="M810">
        <v>16</v>
      </c>
      <c r="N810">
        <v>0.4</v>
      </c>
      <c r="O810">
        <v>0.31916666666666665</v>
      </c>
      <c r="P810" t="s">
        <v>42</v>
      </c>
    </row>
    <row r="811" spans="1:16" hidden="1" x14ac:dyDescent="0.25">
      <c r="A811" s="12">
        <v>46056.708333333336</v>
      </c>
      <c r="B811" t="s">
        <v>11</v>
      </c>
      <c r="C811" t="s">
        <v>8</v>
      </c>
      <c r="D811">
        <v>8</v>
      </c>
      <c r="E811">
        <v>20</v>
      </c>
      <c r="F811">
        <v>24.809924082988399</v>
      </c>
      <c r="G811" t="str">
        <f>FLOOR(FinalData[[#This Row],[Temperature_C]],2)&amp;"–"&amp;(FLOOR(FinalData[[#This Row],[Temperature_C]],2)+2)&amp;"°C"</f>
        <v>24–26°C</v>
      </c>
      <c r="H811">
        <v>3.15</v>
      </c>
      <c r="I811">
        <v>2026</v>
      </c>
      <c r="J811">
        <v>2</v>
      </c>
      <c r="K811">
        <v>3</v>
      </c>
      <c r="L811">
        <v>2</v>
      </c>
      <c r="M811">
        <v>17</v>
      </c>
      <c r="N811">
        <v>0.4</v>
      </c>
      <c r="O811">
        <v>0.39374999999999999</v>
      </c>
      <c r="P811" t="s">
        <v>43</v>
      </c>
    </row>
    <row r="812" spans="1:16" hidden="1" x14ac:dyDescent="0.25">
      <c r="A812" s="12">
        <v>46056.75</v>
      </c>
      <c r="B812" t="s">
        <v>9</v>
      </c>
      <c r="C812" t="s">
        <v>23</v>
      </c>
      <c r="D812">
        <v>8</v>
      </c>
      <c r="E812">
        <v>40</v>
      </c>
      <c r="F812">
        <v>22.982067348472519</v>
      </c>
      <c r="G812" t="str">
        <f>FLOOR(FinalData[[#This Row],[Temperature_C]],2)&amp;"–"&amp;(FLOOR(FinalData[[#This Row],[Temperature_C]],2)+2)&amp;"°C"</f>
        <v>22–24°C</v>
      </c>
      <c r="H812">
        <v>2.66</v>
      </c>
      <c r="I812">
        <v>2026</v>
      </c>
      <c r="J812">
        <v>2</v>
      </c>
      <c r="K812">
        <v>3</v>
      </c>
      <c r="L812">
        <v>2</v>
      </c>
      <c r="M812">
        <v>18</v>
      </c>
      <c r="N812">
        <v>0.2</v>
      </c>
      <c r="O812">
        <v>0.33250000000000002</v>
      </c>
      <c r="P812" t="s">
        <v>43</v>
      </c>
    </row>
    <row r="813" spans="1:16" hidden="1" x14ac:dyDescent="0.25">
      <c r="A813" s="12">
        <v>46056.791666666664</v>
      </c>
      <c r="B813" t="s">
        <v>11</v>
      </c>
      <c r="C813" t="s">
        <v>26</v>
      </c>
      <c r="D813">
        <v>11</v>
      </c>
      <c r="E813">
        <v>30</v>
      </c>
      <c r="F813">
        <v>20.34900206400863</v>
      </c>
      <c r="G813" t="str">
        <f>FLOOR(FinalData[[#This Row],[Temperature_C]],2)&amp;"–"&amp;(FLOOR(FinalData[[#This Row],[Temperature_C]],2)+2)&amp;"°C"</f>
        <v>20–22°C</v>
      </c>
      <c r="H813">
        <v>4.01</v>
      </c>
      <c r="I813">
        <v>2026</v>
      </c>
      <c r="J813">
        <v>2</v>
      </c>
      <c r="K813">
        <v>3</v>
      </c>
      <c r="L813">
        <v>2</v>
      </c>
      <c r="M813">
        <v>19</v>
      </c>
      <c r="N813">
        <v>0.36666666666666664</v>
      </c>
      <c r="O813">
        <v>0.36454545454545451</v>
      </c>
      <c r="P813" t="s">
        <v>43</v>
      </c>
    </row>
    <row r="814" spans="1:16" hidden="1" x14ac:dyDescent="0.25">
      <c r="A814" s="12">
        <v>46056.833333333336</v>
      </c>
      <c r="B814" t="s">
        <v>7</v>
      </c>
      <c r="C814" t="s">
        <v>26</v>
      </c>
      <c r="D814">
        <v>6</v>
      </c>
      <c r="E814">
        <v>20</v>
      </c>
      <c r="F814">
        <v>23.912498977057069</v>
      </c>
      <c r="G814" t="str">
        <f>FLOOR(FinalData[[#This Row],[Temperature_C]],2)&amp;"–"&amp;(FLOOR(FinalData[[#This Row],[Temperature_C]],2)+2)&amp;"°C"</f>
        <v>22–24°C</v>
      </c>
      <c r="H814">
        <v>1.67</v>
      </c>
      <c r="I814">
        <v>2026</v>
      </c>
      <c r="J814">
        <v>2</v>
      </c>
      <c r="K814">
        <v>3</v>
      </c>
      <c r="L814">
        <v>2</v>
      </c>
      <c r="M814">
        <v>20</v>
      </c>
      <c r="N814">
        <v>0.3</v>
      </c>
      <c r="O814">
        <v>0.27833333333333332</v>
      </c>
      <c r="P814" t="s">
        <v>43</v>
      </c>
    </row>
    <row r="815" spans="1:16" hidden="1" x14ac:dyDescent="0.25">
      <c r="A815" s="12">
        <v>46056.875</v>
      </c>
      <c r="B815" t="s">
        <v>7</v>
      </c>
      <c r="C815" t="s">
        <v>29</v>
      </c>
      <c r="D815">
        <v>6</v>
      </c>
      <c r="E815">
        <v>40</v>
      </c>
      <c r="F815">
        <v>20.98439533680299</v>
      </c>
      <c r="G815" t="str">
        <f>FLOOR(FinalData[[#This Row],[Temperature_C]],2)&amp;"–"&amp;(FLOOR(FinalData[[#This Row],[Temperature_C]],2)+2)&amp;"°C"</f>
        <v>20–22°C</v>
      </c>
      <c r="H815">
        <v>2.12</v>
      </c>
      <c r="I815">
        <v>2026</v>
      </c>
      <c r="J815">
        <v>2</v>
      </c>
      <c r="K815">
        <v>3</v>
      </c>
      <c r="L815">
        <v>2</v>
      </c>
      <c r="M815">
        <v>21</v>
      </c>
      <c r="N815">
        <v>0.15</v>
      </c>
      <c r="O815">
        <v>0.35333333333333333</v>
      </c>
      <c r="P815" t="s">
        <v>40</v>
      </c>
    </row>
    <row r="816" spans="1:16" hidden="1" x14ac:dyDescent="0.25">
      <c r="A816" s="12">
        <v>46056.916666666664</v>
      </c>
      <c r="B816" t="s">
        <v>18</v>
      </c>
      <c r="C816" t="s">
        <v>10</v>
      </c>
      <c r="D816">
        <v>7</v>
      </c>
      <c r="E816">
        <v>30</v>
      </c>
      <c r="F816">
        <v>22.698126766312011</v>
      </c>
      <c r="G816" t="str">
        <f>FLOOR(FinalData[[#This Row],[Temperature_C]],2)&amp;"–"&amp;(FLOOR(FinalData[[#This Row],[Temperature_C]],2)+2)&amp;"°C"</f>
        <v>22–24°C</v>
      </c>
      <c r="H816">
        <v>2.42</v>
      </c>
      <c r="I816">
        <v>2026</v>
      </c>
      <c r="J816">
        <v>2</v>
      </c>
      <c r="K816">
        <v>3</v>
      </c>
      <c r="L816">
        <v>2</v>
      </c>
      <c r="M816">
        <v>22</v>
      </c>
      <c r="N816">
        <v>0.23333333333333334</v>
      </c>
      <c r="O816">
        <v>0.3457142857142857</v>
      </c>
      <c r="P816" t="s">
        <v>40</v>
      </c>
    </row>
    <row r="817" spans="1:16" hidden="1" x14ac:dyDescent="0.25">
      <c r="A817" s="12">
        <v>46056.958333333336</v>
      </c>
      <c r="B817" t="s">
        <v>13</v>
      </c>
      <c r="C817" t="s">
        <v>22</v>
      </c>
      <c r="D817">
        <v>11</v>
      </c>
      <c r="E817">
        <v>25</v>
      </c>
      <c r="F817">
        <v>24.238192956103099</v>
      </c>
      <c r="G817" t="str">
        <f>FLOOR(FinalData[[#This Row],[Temperature_C]],2)&amp;"–"&amp;(FLOOR(FinalData[[#This Row],[Temperature_C]],2)+2)&amp;"°C"</f>
        <v>24–26°C</v>
      </c>
      <c r="H817">
        <v>3.91</v>
      </c>
      <c r="I817">
        <v>2026</v>
      </c>
      <c r="J817">
        <v>2</v>
      </c>
      <c r="K817">
        <v>3</v>
      </c>
      <c r="L817">
        <v>2</v>
      </c>
      <c r="M817">
        <v>23</v>
      </c>
      <c r="N817">
        <v>0.44</v>
      </c>
      <c r="O817">
        <v>0.35545454545454547</v>
      </c>
      <c r="P817" t="s">
        <v>40</v>
      </c>
    </row>
    <row r="818" spans="1:16" hidden="1" x14ac:dyDescent="0.25">
      <c r="A818" s="12">
        <v>46057</v>
      </c>
      <c r="B818" t="s">
        <v>7</v>
      </c>
      <c r="C818" t="s">
        <v>19</v>
      </c>
      <c r="D818">
        <v>11</v>
      </c>
      <c r="E818">
        <v>40</v>
      </c>
      <c r="F818">
        <v>21.512567829411001</v>
      </c>
      <c r="G818" t="str">
        <f>FLOOR(FinalData[[#This Row],[Temperature_C]],2)&amp;"–"&amp;(FLOOR(FinalData[[#This Row],[Temperature_C]],2)+2)&amp;"°C"</f>
        <v>20–22°C</v>
      </c>
      <c r="H818">
        <v>3.78</v>
      </c>
      <c r="I818">
        <v>2026</v>
      </c>
      <c r="J818">
        <v>2</v>
      </c>
      <c r="K818">
        <v>4</v>
      </c>
      <c r="L818">
        <v>3</v>
      </c>
      <c r="M818">
        <v>0</v>
      </c>
      <c r="N818">
        <v>0.27500000000000002</v>
      </c>
      <c r="O818">
        <v>0.34363636363636363</v>
      </c>
      <c r="P818" t="s">
        <v>40</v>
      </c>
    </row>
    <row r="819" spans="1:16" hidden="1" x14ac:dyDescent="0.25">
      <c r="A819" s="12">
        <v>46057.041666666664</v>
      </c>
      <c r="B819" t="s">
        <v>7</v>
      </c>
      <c r="C819" t="s">
        <v>28</v>
      </c>
      <c r="D819">
        <v>8</v>
      </c>
      <c r="E819">
        <v>25</v>
      </c>
      <c r="F819">
        <v>25.622324593207232</v>
      </c>
      <c r="G819" t="str">
        <f>FLOOR(FinalData[[#This Row],[Temperature_C]],2)&amp;"–"&amp;(FLOOR(FinalData[[#This Row],[Temperature_C]],2)+2)&amp;"°C"</f>
        <v>24–26°C</v>
      </c>
      <c r="H819">
        <v>3.6</v>
      </c>
      <c r="I819">
        <v>2026</v>
      </c>
      <c r="J819">
        <v>2</v>
      </c>
      <c r="K819">
        <v>4</v>
      </c>
      <c r="L819">
        <v>3</v>
      </c>
      <c r="M819">
        <v>1</v>
      </c>
      <c r="N819">
        <v>0.32</v>
      </c>
      <c r="O819">
        <v>0.45</v>
      </c>
      <c r="P819" t="s">
        <v>40</v>
      </c>
    </row>
    <row r="820" spans="1:16" hidden="1" x14ac:dyDescent="0.25">
      <c r="A820" s="12">
        <v>46057.083333333336</v>
      </c>
      <c r="B820" t="s">
        <v>9</v>
      </c>
      <c r="C820" t="s">
        <v>12</v>
      </c>
      <c r="D820">
        <v>10</v>
      </c>
      <c r="E820">
        <v>40</v>
      </c>
      <c r="F820">
        <v>22.326267589918931</v>
      </c>
      <c r="G820" t="str">
        <f>FLOOR(FinalData[[#This Row],[Temperature_C]],2)&amp;"–"&amp;(FLOOR(FinalData[[#This Row],[Temperature_C]],2)+2)&amp;"°C"</f>
        <v>22–24°C</v>
      </c>
      <c r="H820">
        <v>3.81</v>
      </c>
      <c r="I820">
        <v>2026</v>
      </c>
      <c r="J820">
        <v>2</v>
      </c>
      <c r="K820">
        <v>4</v>
      </c>
      <c r="L820">
        <v>3</v>
      </c>
      <c r="M820">
        <v>2</v>
      </c>
      <c r="N820">
        <v>0.25</v>
      </c>
      <c r="O820">
        <v>0.38100000000000001</v>
      </c>
      <c r="P820" t="s">
        <v>40</v>
      </c>
    </row>
    <row r="821" spans="1:16" hidden="1" x14ac:dyDescent="0.25">
      <c r="A821" s="12">
        <v>46057.125</v>
      </c>
      <c r="B821" t="s">
        <v>18</v>
      </c>
      <c r="C821" t="s">
        <v>27</v>
      </c>
      <c r="D821">
        <v>11</v>
      </c>
      <c r="E821">
        <v>20</v>
      </c>
      <c r="F821">
        <v>23.748882448903661</v>
      </c>
      <c r="G821" t="str">
        <f>FLOOR(FinalData[[#This Row],[Temperature_C]],2)&amp;"–"&amp;(FLOOR(FinalData[[#This Row],[Temperature_C]],2)+2)&amp;"°C"</f>
        <v>22–24°C</v>
      </c>
      <c r="H821">
        <v>4.08</v>
      </c>
      <c r="I821">
        <v>2026</v>
      </c>
      <c r="J821">
        <v>2</v>
      </c>
      <c r="K821">
        <v>4</v>
      </c>
      <c r="L821">
        <v>3</v>
      </c>
      <c r="M821">
        <v>3</v>
      </c>
      <c r="N821">
        <v>0.55000000000000004</v>
      </c>
      <c r="O821">
        <v>0.37090909090909091</v>
      </c>
      <c r="P821" t="s">
        <v>40</v>
      </c>
    </row>
    <row r="822" spans="1:16" hidden="1" x14ac:dyDescent="0.25">
      <c r="A822" s="12">
        <v>46057.166666666664</v>
      </c>
      <c r="B822" t="s">
        <v>9</v>
      </c>
      <c r="C822" t="s">
        <v>12</v>
      </c>
      <c r="D822">
        <v>7</v>
      </c>
      <c r="E822">
        <v>30</v>
      </c>
      <c r="F822">
        <v>23.42712239937849</v>
      </c>
      <c r="G822" t="str">
        <f>FLOOR(FinalData[[#This Row],[Temperature_C]],2)&amp;"–"&amp;(FLOOR(FinalData[[#This Row],[Temperature_C]],2)+2)&amp;"°C"</f>
        <v>22–24°C</v>
      </c>
      <c r="H822">
        <v>2.7</v>
      </c>
      <c r="I822">
        <v>2026</v>
      </c>
      <c r="J822">
        <v>2</v>
      </c>
      <c r="K822">
        <v>4</v>
      </c>
      <c r="L822">
        <v>3</v>
      </c>
      <c r="M822">
        <v>4</v>
      </c>
      <c r="N822">
        <v>0.23333333333333334</v>
      </c>
      <c r="O822">
        <v>0.38571428571428573</v>
      </c>
      <c r="P822" t="s">
        <v>40</v>
      </c>
    </row>
    <row r="823" spans="1:16" hidden="1" x14ac:dyDescent="0.25">
      <c r="A823" s="12">
        <v>46057.208333333336</v>
      </c>
      <c r="B823" t="s">
        <v>18</v>
      </c>
      <c r="C823" t="s">
        <v>19</v>
      </c>
      <c r="D823">
        <v>12</v>
      </c>
      <c r="E823">
        <v>20</v>
      </c>
      <c r="F823">
        <v>22.780271753796129</v>
      </c>
      <c r="G823" t="str">
        <f>FLOOR(FinalData[[#This Row],[Temperature_C]],2)&amp;"–"&amp;(FLOOR(FinalData[[#This Row],[Temperature_C]],2)+2)&amp;"°C"</f>
        <v>22–24°C</v>
      </c>
      <c r="H823">
        <v>3.86</v>
      </c>
      <c r="I823">
        <v>2026</v>
      </c>
      <c r="J823">
        <v>2</v>
      </c>
      <c r="K823">
        <v>4</v>
      </c>
      <c r="L823">
        <v>3</v>
      </c>
      <c r="M823">
        <v>5</v>
      </c>
      <c r="N823">
        <v>0.6</v>
      </c>
      <c r="O823">
        <v>0.32166666666666666</v>
      </c>
      <c r="P823" t="s">
        <v>40</v>
      </c>
    </row>
    <row r="824" spans="1:16" hidden="1" x14ac:dyDescent="0.25">
      <c r="A824" s="12">
        <v>46057.25</v>
      </c>
      <c r="B824" t="s">
        <v>7</v>
      </c>
      <c r="C824" t="s">
        <v>14</v>
      </c>
      <c r="D824">
        <v>5</v>
      </c>
      <c r="E824">
        <v>30</v>
      </c>
      <c r="F824">
        <v>19.249985225056129</v>
      </c>
      <c r="G824" t="str">
        <f>FLOOR(FinalData[[#This Row],[Temperature_C]],2)&amp;"–"&amp;(FLOOR(FinalData[[#This Row],[Temperature_C]],2)+2)&amp;"°C"</f>
        <v>18–20°C</v>
      </c>
      <c r="H824">
        <v>2.82</v>
      </c>
      <c r="I824">
        <v>2026</v>
      </c>
      <c r="J824">
        <v>2</v>
      </c>
      <c r="K824">
        <v>4</v>
      </c>
      <c r="L824">
        <v>3</v>
      </c>
      <c r="M824">
        <v>6</v>
      </c>
      <c r="N824">
        <v>0.16666666666666666</v>
      </c>
      <c r="O824">
        <v>0.56399999999999995</v>
      </c>
      <c r="P824" t="s">
        <v>40</v>
      </c>
    </row>
    <row r="825" spans="1:16" hidden="1" x14ac:dyDescent="0.25">
      <c r="A825" s="12">
        <v>46057.291666666664</v>
      </c>
      <c r="B825" t="s">
        <v>9</v>
      </c>
      <c r="C825" t="s">
        <v>12</v>
      </c>
      <c r="D825">
        <v>11</v>
      </c>
      <c r="E825">
        <v>20</v>
      </c>
      <c r="F825">
        <v>22.960163207400541</v>
      </c>
      <c r="G825" t="str">
        <f>FLOOR(FinalData[[#This Row],[Temperature_C]],2)&amp;"–"&amp;(FLOOR(FinalData[[#This Row],[Temperature_C]],2)+2)&amp;"°C"</f>
        <v>22–24°C</v>
      </c>
      <c r="H825">
        <v>3.62</v>
      </c>
      <c r="I825">
        <v>2026</v>
      </c>
      <c r="J825">
        <v>2</v>
      </c>
      <c r="K825">
        <v>4</v>
      </c>
      <c r="L825">
        <v>3</v>
      </c>
      <c r="M825">
        <v>7</v>
      </c>
      <c r="N825">
        <v>0.55000000000000004</v>
      </c>
      <c r="O825">
        <v>0.3290909090909091</v>
      </c>
      <c r="P825" t="s">
        <v>41</v>
      </c>
    </row>
    <row r="826" spans="1:16" hidden="1" x14ac:dyDescent="0.25">
      <c r="A826" s="12">
        <v>46057.333333333336</v>
      </c>
      <c r="B826" t="s">
        <v>9</v>
      </c>
      <c r="C826" t="s">
        <v>29</v>
      </c>
      <c r="D826">
        <v>6</v>
      </c>
      <c r="E826">
        <v>25</v>
      </c>
      <c r="F826">
        <v>20.152012300607971</v>
      </c>
      <c r="G826" t="str">
        <f>FLOOR(FinalData[[#This Row],[Temperature_C]],2)&amp;"–"&amp;(FLOOR(FinalData[[#This Row],[Temperature_C]],2)+2)&amp;"°C"</f>
        <v>20–22°C</v>
      </c>
      <c r="H826">
        <v>2.4300000000000002</v>
      </c>
      <c r="I826">
        <v>2026</v>
      </c>
      <c r="J826">
        <v>2</v>
      </c>
      <c r="K826">
        <v>4</v>
      </c>
      <c r="L826">
        <v>3</v>
      </c>
      <c r="M826">
        <v>8</v>
      </c>
      <c r="N826">
        <v>0.24</v>
      </c>
      <c r="O826">
        <v>0.40500000000000003</v>
      </c>
      <c r="P826" t="s">
        <v>41</v>
      </c>
    </row>
    <row r="827" spans="1:16" x14ac:dyDescent="0.25">
      <c r="A827" s="12">
        <v>46057.375</v>
      </c>
      <c r="B827" t="s">
        <v>11</v>
      </c>
      <c r="C827" t="s">
        <v>31</v>
      </c>
      <c r="D827">
        <v>7</v>
      </c>
      <c r="E827">
        <v>30</v>
      </c>
      <c r="F827">
        <v>23.318354231845159</v>
      </c>
      <c r="G827" t="str">
        <f>FLOOR(FinalData[[#This Row],[Temperature_C]],2)&amp;"–"&amp;(FLOOR(FinalData[[#This Row],[Temperature_C]],2)+2)&amp;"°C"</f>
        <v>22–24°C</v>
      </c>
      <c r="H827">
        <v>2.54</v>
      </c>
      <c r="I827">
        <v>2026</v>
      </c>
      <c r="J827">
        <v>2</v>
      </c>
      <c r="K827">
        <v>4</v>
      </c>
      <c r="L827">
        <v>3</v>
      </c>
      <c r="M827">
        <v>9</v>
      </c>
      <c r="N827">
        <v>0.23333333333333334</v>
      </c>
      <c r="O827">
        <v>0.36285714285714288</v>
      </c>
      <c r="P827" t="s">
        <v>41</v>
      </c>
    </row>
    <row r="828" spans="1:16" hidden="1" x14ac:dyDescent="0.25">
      <c r="A828" s="12">
        <v>46057.416666666664</v>
      </c>
      <c r="B828" t="s">
        <v>9</v>
      </c>
      <c r="C828" t="s">
        <v>29</v>
      </c>
      <c r="D828">
        <v>14</v>
      </c>
      <c r="E828">
        <v>40</v>
      </c>
      <c r="F828">
        <v>20.873291000339361</v>
      </c>
      <c r="G828" t="str">
        <f>FLOOR(FinalData[[#This Row],[Temperature_C]],2)&amp;"–"&amp;(FLOOR(FinalData[[#This Row],[Temperature_C]],2)+2)&amp;"°C"</f>
        <v>20–22°C</v>
      </c>
      <c r="H828">
        <v>4.78</v>
      </c>
      <c r="I828">
        <v>2026</v>
      </c>
      <c r="J828">
        <v>2</v>
      </c>
      <c r="K828">
        <v>4</v>
      </c>
      <c r="L828">
        <v>3</v>
      </c>
      <c r="M828">
        <v>10</v>
      </c>
      <c r="N828">
        <v>0.35</v>
      </c>
      <c r="O828">
        <v>0.34142857142857147</v>
      </c>
      <c r="P828" t="s">
        <v>41</v>
      </c>
    </row>
    <row r="829" spans="1:16" hidden="1" x14ac:dyDescent="0.25">
      <c r="A829" s="12">
        <v>46057.458333333336</v>
      </c>
      <c r="B829" t="s">
        <v>7</v>
      </c>
      <c r="C829" t="s">
        <v>16</v>
      </c>
      <c r="D829">
        <v>4</v>
      </c>
      <c r="E829">
        <v>25</v>
      </c>
      <c r="F829">
        <v>21.35768058360933</v>
      </c>
      <c r="G829" t="str">
        <f>FLOOR(FinalData[[#This Row],[Temperature_C]],2)&amp;"–"&amp;(FLOOR(FinalData[[#This Row],[Temperature_C]],2)+2)&amp;"°C"</f>
        <v>20–22°C</v>
      </c>
      <c r="H829">
        <v>2.06</v>
      </c>
      <c r="I829">
        <v>2026</v>
      </c>
      <c r="J829">
        <v>2</v>
      </c>
      <c r="K829">
        <v>4</v>
      </c>
      <c r="L829">
        <v>3</v>
      </c>
      <c r="M829">
        <v>11</v>
      </c>
      <c r="N829">
        <v>0.16</v>
      </c>
      <c r="O829">
        <v>0.51500000000000001</v>
      </c>
      <c r="P829" t="s">
        <v>41</v>
      </c>
    </row>
    <row r="830" spans="1:16" hidden="1" x14ac:dyDescent="0.25">
      <c r="A830" s="12">
        <v>46057.5</v>
      </c>
      <c r="B830" t="s">
        <v>13</v>
      </c>
      <c r="C830" t="s">
        <v>8</v>
      </c>
      <c r="D830">
        <v>4</v>
      </c>
      <c r="E830">
        <v>20</v>
      </c>
      <c r="F830">
        <v>20.638055032671229</v>
      </c>
      <c r="G830" t="str">
        <f>FLOOR(FinalData[[#This Row],[Temperature_C]],2)&amp;"–"&amp;(FLOOR(FinalData[[#This Row],[Temperature_C]],2)+2)&amp;"°C"</f>
        <v>20–22°C</v>
      </c>
      <c r="H830">
        <v>1.66</v>
      </c>
      <c r="I830">
        <v>2026</v>
      </c>
      <c r="J830">
        <v>2</v>
      </c>
      <c r="K830">
        <v>4</v>
      </c>
      <c r="L830">
        <v>3</v>
      </c>
      <c r="M830">
        <v>12</v>
      </c>
      <c r="N830">
        <v>0.2</v>
      </c>
      <c r="O830">
        <v>0.41499999999999998</v>
      </c>
      <c r="P830" t="s">
        <v>42</v>
      </c>
    </row>
    <row r="831" spans="1:16" hidden="1" x14ac:dyDescent="0.25">
      <c r="A831" s="12">
        <v>46057.541666666664</v>
      </c>
      <c r="B831" t="s">
        <v>13</v>
      </c>
      <c r="C831" t="s">
        <v>10</v>
      </c>
      <c r="D831">
        <v>9</v>
      </c>
      <c r="E831">
        <v>30</v>
      </c>
      <c r="F831">
        <v>22.80931781760663</v>
      </c>
      <c r="G831" t="str">
        <f>FLOOR(FinalData[[#This Row],[Temperature_C]],2)&amp;"–"&amp;(FLOOR(FinalData[[#This Row],[Temperature_C]],2)+2)&amp;"°C"</f>
        <v>22–24°C</v>
      </c>
      <c r="H831">
        <v>3.69</v>
      </c>
      <c r="I831">
        <v>2026</v>
      </c>
      <c r="J831">
        <v>2</v>
      </c>
      <c r="K831">
        <v>4</v>
      </c>
      <c r="L831">
        <v>3</v>
      </c>
      <c r="M831">
        <v>13</v>
      </c>
      <c r="N831">
        <v>0.3</v>
      </c>
      <c r="O831">
        <v>0.41</v>
      </c>
      <c r="P831" t="s">
        <v>42</v>
      </c>
    </row>
    <row r="832" spans="1:16" hidden="1" x14ac:dyDescent="0.25">
      <c r="A832" s="12">
        <v>46057.583333333336</v>
      </c>
      <c r="B832" t="s">
        <v>11</v>
      </c>
      <c r="C832" t="s">
        <v>20</v>
      </c>
      <c r="D832">
        <v>15</v>
      </c>
      <c r="E832">
        <v>40</v>
      </c>
      <c r="F832">
        <v>22.324369811617199</v>
      </c>
      <c r="G832" t="str">
        <f>FLOOR(FinalData[[#This Row],[Temperature_C]],2)&amp;"–"&amp;(FLOOR(FinalData[[#This Row],[Temperature_C]],2)+2)&amp;"°C"</f>
        <v>22–24°C</v>
      </c>
      <c r="H832">
        <v>4.41</v>
      </c>
      <c r="I832">
        <v>2026</v>
      </c>
      <c r="J832">
        <v>2</v>
      </c>
      <c r="K832">
        <v>4</v>
      </c>
      <c r="L832">
        <v>3</v>
      </c>
      <c r="M832">
        <v>14</v>
      </c>
      <c r="N832">
        <v>0.375</v>
      </c>
      <c r="O832">
        <v>0.29399999999999998</v>
      </c>
      <c r="P832" t="s">
        <v>42</v>
      </c>
    </row>
    <row r="833" spans="1:16" hidden="1" x14ac:dyDescent="0.25">
      <c r="A833" s="12">
        <v>46057.625</v>
      </c>
      <c r="B833" t="s">
        <v>11</v>
      </c>
      <c r="C833" t="s">
        <v>29</v>
      </c>
      <c r="D833">
        <v>5</v>
      </c>
      <c r="E833">
        <v>25</v>
      </c>
      <c r="F833">
        <v>22.471288333593069</v>
      </c>
      <c r="G833" t="str">
        <f>FLOOR(FinalData[[#This Row],[Temperature_C]],2)&amp;"–"&amp;(FLOOR(FinalData[[#This Row],[Temperature_C]],2)+2)&amp;"°C"</f>
        <v>22–24°C</v>
      </c>
      <c r="H833">
        <v>1.89</v>
      </c>
      <c r="I833">
        <v>2026</v>
      </c>
      <c r="J833">
        <v>2</v>
      </c>
      <c r="K833">
        <v>4</v>
      </c>
      <c r="L833">
        <v>3</v>
      </c>
      <c r="M833">
        <v>15</v>
      </c>
      <c r="N833">
        <v>0.2</v>
      </c>
      <c r="O833">
        <v>0.378</v>
      </c>
      <c r="P833" t="s">
        <v>42</v>
      </c>
    </row>
    <row r="834" spans="1:16" hidden="1" x14ac:dyDescent="0.25">
      <c r="A834" s="12">
        <v>46057.666666666664</v>
      </c>
      <c r="B834" t="s">
        <v>7</v>
      </c>
      <c r="C834" t="s">
        <v>17</v>
      </c>
      <c r="D834">
        <v>6</v>
      </c>
      <c r="E834">
        <v>40</v>
      </c>
      <c r="F834">
        <v>24.11500764206767</v>
      </c>
      <c r="G834" t="str">
        <f>FLOOR(FinalData[[#This Row],[Temperature_C]],2)&amp;"–"&amp;(FLOOR(FinalData[[#This Row],[Temperature_C]],2)+2)&amp;"°C"</f>
        <v>24–26°C</v>
      </c>
      <c r="H834">
        <v>2.59</v>
      </c>
      <c r="I834">
        <v>2026</v>
      </c>
      <c r="J834">
        <v>2</v>
      </c>
      <c r="K834">
        <v>4</v>
      </c>
      <c r="L834">
        <v>3</v>
      </c>
      <c r="M834">
        <v>16</v>
      </c>
      <c r="N834">
        <v>0.15</v>
      </c>
      <c r="O834">
        <v>0.43166666666666664</v>
      </c>
      <c r="P834" t="s">
        <v>42</v>
      </c>
    </row>
    <row r="835" spans="1:16" hidden="1" x14ac:dyDescent="0.25">
      <c r="A835" s="12">
        <v>46057.708333333336</v>
      </c>
      <c r="B835" t="s">
        <v>9</v>
      </c>
      <c r="C835" t="s">
        <v>17</v>
      </c>
      <c r="D835">
        <v>9</v>
      </c>
      <c r="E835">
        <v>40</v>
      </c>
      <c r="F835">
        <v>23.319681154330791</v>
      </c>
      <c r="G835" t="str">
        <f>FLOOR(FinalData[[#This Row],[Temperature_C]],2)&amp;"–"&amp;(FLOOR(FinalData[[#This Row],[Temperature_C]],2)+2)&amp;"°C"</f>
        <v>22–24°C</v>
      </c>
      <c r="H835">
        <v>2.88</v>
      </c>
      <c r="I835">
        <v>2026</v>
      </c>
      <c r="J835">
        <v>2</v>
      </c>
      <c r="K835">
        <v>4</v>
      </c>
      <c r="L835">
        <v>3</v>
      </c>
      <c r="M835">
        <v>17</v>
      </c>
      <c r="N835">
        <v>0.22500000000000001</v>
      </c>
      <c r="O835">
        <v>0.32</v>
      </c>
      <c r="P835" t="s">
        <v>43</v>
      </c>
    </row>
    <row r="836" spans="1:16" hidden="1" x14ac:dyDescent="0.25">
      <c r="A836" s="12">
        <v>46057.75</v>
      </c>
      <c r="B836" t="s">
        <v>9</v>
      </c>
      <c r="C836" t="s">
        <v>12</v>
      </c>
      <c r="D836">
        <v>8</v>
      </c>
      <c r="E836">
        <v>40</v>
      </c>
      <c r="F836">
        <v>24.9707994229001</v>
      </c>
      <c r="G836" t="str">
        <f>FLOOR(FinalData[[#This Row],[Temperature_C]],2)&amp;"–"&amp;(FLOOR(FinalData[[#This Row],[Temperature_C]],2)+2)&amp;"°C"</f>
        <v>24–26°C</v>
      </c>
      <c r="H836">
        <v>2.77</v>
      </c>
      <c r="I836">
        <v>2026</v>
      </c>
      <c r="J836">
        <v>2</v>
      </c>
      <c r="K836">
        <v>4</v>
      </c>
      <c r="L836">
        <v>3</v>
      </c>
      <c r="M836">
        <v>18</v>
      </c>
      <c r="N836">
        <v>0.2</v>
      </c>
      <c r="O836">
        <v>0.34625</v>
      </c>
      <c r="P836" t="s">
        <v>43</v>
      </c>
    </row>
    <row r="837" spans="1:16" hidden="1" x14ac:dyDescent="0.25">
      <c r="A837" s="12">
        <v>46057.791666666664</v>
      </c>
      <c r="B837" t="s">
        <v>18</v>
      </c>
      <c r="C837" t="s">
        <v>31</v>
      </c>
      <c r="D837">
        <v>8</v>
      </c>
      <c r="E837">
        <v>40</v>
      </c>
      <c r="F837">
        <v>22.627984611415808</v>
      </c>
      <c r="G837" t="str">
        <f>FLOOR(FinalData[[#This Row],[Temperature_C]],2)&amp;"–"&amp;(FLOOR(FinalData[[#This Row],[Temperature_C]],2)+2)&amp;"°C"</f>
        <v>22–24°C</v>
      </c>
      <c r="H837">
        <v>3.07</v>
      </c>
      <c r="I837">
        <v>2026</v>
      </c>
      <c r="J837">
        <v>2</v>
      </c>
      <c r="K837">
        <v>4</v>
      </c>
      <c r="L837">
        <v>3</v>
      </c>
      <c r="M837">
        <v>19</v>
      </c>
      <c r="N837">
        <v>0.2</v>
      </c>
      <c r="O837">
        <v>0.38374999999999998</v>
      </c>
      <c r="P837" t="s">
        <v>43</v>
      </c>
    </row>
    <row r="838" spans="1:16" hidden="1" x14ac:dyDescent="0.25">
      <c r="A838" s="12">
        <v>46057.833333333336</v>
      </c>
      <c r="B838" t="s">
        <v>13</v>
      </c>
      <c r="C838" t="s">
        <v>16</v>
      </c>
      <c r="D838">
        <v>7</v>
      </c>
      <c r="E838">
        <v>30</v>
      </c>
      <c r="F838">
        <v>20.42899095394419</v>
      </c>
      <c r="G838" t="str">
        <f>FLOOR(FinalData[[#This Row],[Temperature_C]],2)&amp;"–"&amp;(FLOOR(FinalData[[#This Row],[Temperature_C]],2)+2)&amp;"°C"</f>
        <v>20–22°C</v>
      </c>
      <c r="H838">
        <v>2.39</v>
      </c>
      <c r="I838">
        <v>2026</v>
      </c>
      <c r="J838">
        <v>2</v>
      </c>
      <c r="K838">
        <v>4</v>
      </c>
      <c r="L838">
        <v>3</v>
      </c>
      <c r="M838">
        <v>20</v>
      </c>
      <c r="N838">
        <v>0.23333333333333334</v>
      </c>
      <c r="O838">
        <v>0.34142857142857147</v>
      </c>
      <c r="P838" t="s">
        <v>43</v>
      </c>
    </row>
    <row r="839" spans="1:16" hidden="1" x14ac:dyDescent="0.25">
      <c r="A839" s="12">
        <v>46057.875</v>
      </c>
      <c r="B839" t="s">
        <v>13</v>
      </c>
      <c r="C839" t="s">
        <v>14</v>
      </c>
      <c r="D839">
        <v>4</v>
      </c>
      <c r="E839">
        <v>20</v>
      </c>
      <c r="F839">
        <v>24.219760094380842</v>
      </c>
      <c r="G839" t="str">
        <f>FLOOR(FinalData[[#This Row],[Temperature_C]],2)&amp;"–"&amp;(FLOOR(FinalData[[#This Row],[Temperature_C]],2)+2)&amp;"°C"</f>
        <v>24–26°C</v>
      </c>
      <c r="H839">
        <v>2.12</v>
      </c>
      <c r="I839">
        <v>2026</v>
      </c>
      <c r="J839">
        <v>2</v>
      </c>
      <c r="K839">
        <v>4</v>
      </c>
      <c r="L839">
        <v>3</v>
      </c>
      <c r="M839">
        <v>21</v>
      </c>
      <c r="N839">
        <v>0.2</v>
      </c>
      <c r="O839">
        <v>0.53</v>
      </c>
      <c r="P839" t="s">
        <v>40</v>
      </c>
    </row>
    <row r="840" spans="1:16" hidden="1" x14ac:dyDescent="0.25">
      <c r="A840" s="12">
        <v>46057.916666666664</v>
      </c>
      <c r="B840" t="s">
        <v>18</v>
      </c>
      <c r="C840" t="s">
        <v>21</v>
      </c>
      <c r="D840">
        <v>11</v>
      </c>
      <c r="E840">
        <v>30</v>
      </c>
      <c r="F840">
        <v>23.684212079300831</v>
      </c>
      <c r="G840" t="str">
        <f>FLOOR(FinalData[[#This Row],[Temperature_C]],2)&amp;"–"&amp;(FLOOR(FinalData[[#This Row],[Temperature_C]],2)+2)&amp;"°C"</f>
        <v>22–24°C</v>
      </c>
      <c r="H840">
        <v>4.38</v>
      </c>
      <c r="I840">
        <v>2026</v>
      </c>
      <c r="J840">
        <v>2</v>
      </c>
      <c r="K840">
        <v>4</v>
      </c>
      <c r="L840">
        <v>3</v>
      </c>
      <c r="M840">
        <v>22</v>
      </c>
      <c r="N840">
        <v>0.36666666666666664</v>
      </c>
      <c r="O840">
        <v>0.39818181818181819</v>
      </c>
      <c r="P840" t="s">
        <v>40</v>
      </c>
    </row>
    <row r="841" spans="1:16" hidden="1" x14ac:dyDescent="0.25">
      <c r="A841" s="12">
        <v>46057.958333333336</v>
      </c>
      <c r="B841" t="s">
        <v>9</v>
      </c>
      <c r="C841" t="s">
        <v>27</v>
      </c>
      <c r="D841">
        <v>8</v>
      </c>
      <c r="E841">
        <v>20</v>
      </c>
      <c r="F841">
        <v>22.719433933285259</v>
      </c>
      <c r="G841" t="str">
        <f>FLOOR(FinalData[[#This Row],[Temperature_C]],2)&amp;"–"&amp;(FLOOR(FinalData[[#This Row],[Temperature_C]],2)+2)&amp;"°C"</f>
        <v>22–24°C</v>
      </c>
      <c r="H841">
        <v>2.75</v>
      </c>
      <c r="I841">
        <v>2026</v>
      </c>
      <c r="J841">
        <v>2</v>
      </c>
      <c r="K841">
        <v>4</v>
      </c>
      <c r="L841">
        <v>3</v>
      </c>
      <c r="M841">
        <v>23</v>
      </c>
      <c r="N841">
        <v>0.4</v>
      </c>
      <c r="O841">
        <v>0.34375</v>
      </c>
      <c r="P841" t="s">
        <v>40</v>
      </c>
    </row>
    <row r="842" spans="1:16" hidden="1" x14ac:dyDescent="0.25">
      <c r="A842" s="12">
        <v>46058</v>
      </c>
      <c r="B842" t="s">
        <v>9</v>
      </c>
      <c r="C842" t="s">
        <v>22</v>
      </c>
      <c r="D842">
        <v>6</v>
      </c>
      <c r="E842">
        <v>40</v>
      </c>
      <c r="F842">
        <v>22.28319284897422</v>
      </c>
      <c r="G842" t="str">
        <f>FLOOR(FinalData[[#This Row],[Temperature_C]],2)&amp;"–"&amp;(FLOOR(FinalData[[#This Row],[Temperature_C]],2)+2)&amp;"°C"</f>
        <v>22–24°C</v>
      </c>
      <c r="H842">
        <v>1.97</v>
      </c>
      <c r="I842">
        <v>2026</v>
      </c>
      <c r="J842">
        <v>2</v>
      </c>
      <c r="K842">
        <v>5</v>
      </c>
      <c r="L842">
        <v>4</v>
      </c>
      <c r="M842">
        <v>0</v>
      </c>
      <c r="N842">
        <v>0.15</v>
      </c>
      <c r="O842">
        <v>0.32833333333333331</v>
      </c>
      <c r="P842" t="s">
        <v>40</v>
      </c>
    </row>
    <row r="843" spans="1:16" hidden="1" x14ac:dyDescent="0.25">
      <c r="A843" s="12">
        <v>46058.041666666664</v>
      </c>
      <c r="B843" t="s">
        <v>9</v>
      </c>
      <c r="C843" t="s">
        <v>24</v>
      </c>
      <c r="D843">
        <v>8</v>
      </c>
      <c r="E843">
        <v>20</v>
      </c>
      <c r="F843">
        <v>20.573259859504169</v>
      </c>
      <c r="G843" t="str">
        <f>FLOOR(FinalData[[#This Row],[Temperature_C]],2)&amp;"–"&amp;(FLOOR(FinalData[[#This Row],[Temperature_C]],2)+2)&amp;"°C"</f>
        <v>20–22°C</v>
      </c>
      <c r="H843">
        <v>2.79</v>
      </c>
      <c r="I843">
        <v>2026</v>
      </c>
      <c r="J843">
        <v>2</v>
      </c>
      <c r="K843">
        <v>5</v>
      </c>
      <c r="L843">
        <v>4</v>
      </c>
      <c r="M843">
        <v>1</v>
      </c>
      <c r="N843">
        <v>0.4</v>
      </c>
      <c r="O843">
        <v>0.34875</v>
      </c>
      <c r="P843" t="s">
        <v>40</v>
      </c>
    </row>
    <row r="844" spans="1:16" hidden="1" x14ac:dyDescent="0.25">
      <c r="A844" s="12">
        <v>46058.083333333336</v>
      </c>
      <c r="B844" t="s">
        <v>18</v>
      </c>
      <c r="C844" t="s">
        <v>28</v>
      </c>
      <c r="D844">
        <v>4</v>
      </c>
      <c r="E844">
        <v>40</v>
      </c>
      <c r="F844">
        <v>25.37845292251157</v>
      </c>
      <c r="G844" t="str">
        <f>FLOOR(FinalData[[#This Row],[Temperature_C]],2)&amp;"–"&amp;(FLOOR(FinalData[[#This Row],[Temperature_C]],2)+2)&amp;"°C"</f>
        <v>24–26°C</v>
      </c>
      <c r="H844">
        <v>2.5099999999999998</v>
      </c>
      <c r="I844">
        <v>2026</v>
      </c>
      <c r="J844">
        <v>2</v>
      </c>
      <c r="K844">
        <v>5</v>
      </c>
      <c r="L844">
        <v>4</v>
      </c>
      <c r="M844">
        <v>2</v>
      </c>
      <c r="N844">
        <v>0.1</v>
      </c>
      <c r="O844">
        <v>0.62749999999999995</v>
      </c>
      <c r="P844" t="s">
        <v>40</v>
      </c>
    </row>
    <row r="845" spans="1:16" hidden="1" x14ac:dyDescent="0.25">
      <c r="A845" s="12">
        <v>46058.125</v>
      </c>
      <c r="B845" t="s">
        <v>7</v>
      </c>
      <c r="C845" t="s">
        <v>12</v>
      </c>
      <c r="D845">
        <v>13</v>
      </c>
      <c r="E845">
        <v>30</v>
      </c>
      <c r="F845">
        <v>21.489002233732101</v>
      </c>
      <c r="G845" t="str">
        <f>FLOOR(FinalData[[#This Row],[Temperature_C]],2)&amp;"–"&amp;(FLOOR(FinalData[[#This Row],[Temperature_C]],2)+2)&amp;"°C"</f>
        <v>20–22°C</v>
      </c>
      <c r="H845">
        <v>4.0999999999999996</v>
      </c>
      <c r="I845">
        <v>2026</v>
      </c>
      <c r="J845">
        <v>2</v>
      </c>
      <c r="K845">
        <v>5</v>
      </c>
      <c r="L845">
        <v>4</v>
      </c>
      <c r="M845">
        <v>3</v>
      </c>
      <c r="N845">
        <v>0.43333333333333335</v>
      </c>
      <c r="O845">
        <v>0.31538461538461537</v>
      </c>
      <c r="P845" t="s">
        <v>40</v>
      </c>
    </row>
    <row r="846" spans="1:16" hidden="1" x14ac:dyDescent="0.25">
      <c r="A846" s="12">
        <v>46058.166666666664</v>
      </c>
      <c r="B846" t="s">
        <v>18</v>
      </c>
      <c r="C846" t="s">
        <v>28</v>
      </c>
      <c r="D846">
        <v>8</v>
      </c>
      <c r="E846">
        <v>30</v>
      </c>
      <c r="F846">
        <v>21.71873553972808</v>
      </c>
      <c r="G846" t="str">
        <f>FLOOR(FinalData[[#This Row],[Temperature_C]],2)&amp;"–"&amp;(FLOOR(FinalData[[#This Row],[Temperature_C]],2)+2)&amp;"°C"</f>
        <v>20–22°C</v>
      </c>
      <c r="H846">
        <v>2.94</v>
      </c>
      <c r="I846">
        <v>2026</v>
      </c>
      <c r="J846">
        <v>2</v>
      </c>
      <c r="K846">
        <v>5</v>
      </c>
      <c r="L846">
        <v>4</v>
      </c>
      <c r="M846">
        <v>4</v>
      </c>
      <c r="N846">
        <v>0.26666666666666666</v>
      </c>
      <c r="O846">
        <v>0.36749999999999999</v>
      </c>
      <c r="P846" t="s">
        <v>40</v>
      </c>
    </row>
    <row r="847" spans="1:16" hidden="1" x14ac:dyDescent="0.25">
      <c r="A847" s="12">
        <v>46058.208333333336</v>
      </c>
      <c r="B847" t="s">
        <v>9</v>
      </c>
      <c r="C847" t="s">
        <v>14</v>
      </c>
      <c r="D847">
        <v>5</v>
      </c>
      <c r="E847">
        <v>30</v>
      </c>
      <c r="F847">
        <v>22.971361114568449</v>
      </c>
      <c r="G847" t="str">
        <f>FLOOR(FinalData[[#This Row],[Temperature_C]],2)&amp;"–"&amp;(FLOOR(FinalData[[#This Row],[Temperature_C]],2)+2)&amp;"°C"</f>
        <v>22–24°C</v>
      </c>
      <c r="H847">
        <v>2.0699999999999998</v>
      </c>
      <c r="I847">
        <v>2026</v>
      </c>
      <c r="J847">
        <v>2</v>
      </c>
      <c r="K847">
        <v>5</v>
      </c>
      <c r="L847">
        <v>4</v>
      </c>
      <c r="M847">
        <v>5</v>
      </c>
      <c r="N847">
        <v>0.16666666666666666</v>
      </c>
      <c r="O847">
        <v>0.41399999999999998</v>
      </c>
      <c r="P847" t="s">
        <v>40</v>
      </c>
    </row>
    <row r="848" spans="1:16" hidden="1" x14ac:dyDescent="0.25">
      <c r="A848" s="12">
        <v>46058.25</v>
      </c>
      <c r="B848" t="s">
        <v>7</v>
      </c>
      <c r="C848" t="s">
        <v>10</v>
      </c>
      <c r="D848">
        <v>8</v>
      </c>
      <c r="E848">
        <v>25</v>
      </c>
      <c r="F848">
        <v>21.395456332130959</v>
      </c>
      <c r="G848" t="str">
        <f>FLOOR(FinalData[[#This Row],[Temperature_C]],2)&amp;"–"&amp;(FLOOR(FinalData[[#This Row],[Temperature_C]],2)+2)&amp;"°C"</f>
        <v>20–22°C</v>
      </c>
      <c r="H848">
        <v>2.74</v>
      </c>
      <c r="I848">
        <v>2026</v>
      </c>
      <c r="J848">
        <v>2</v>
      </c>
      <c r="K848">
        <v>5</v>
      </c>
      <c r="L848">
        <v>4</v>
      </c>
      <c r="M848">
        <v>6</v>
      </c>
      <c r="N848">
        <v>0.32</v>
      </c>
      <c r="O848">
        <v>0.34250000000000003</v>
      </c>
      <c r="P848" t="s">
        <v>40</v>
      </c>
    </row>
    <row r="849" spans="1:16" hidden="1" x14ac:dyDescent="0.25">
      <c r="A849" s="12">
        <v>46058.291666666664</v>
      </c>
      <c r="B849" t="s">
        <v>9</v>
      </c>
      <c r="C849" t="s">
        <v>12</v>
      </c>
      <c r="D849">
        <v>9</v>
      </c>
      <c r="E849">
        <v>30</v>
      </c>
      <c r="F849">
        <v>25.14585922901469</v>
      </c>
      <c r="G849" t="str">
        <f>FLOOR(FinalData[[#This Row],[Temperature_C]],2)&amp;"–"&amp;(FLOOR(FinalData[[#This Row],[Temperature_C]],2)+2)&amp;"°C"</f>
        <v>24–26°C</v>
      </c>
      <c r="H849">
        <v>3.27</v>
      </c>
      <c r="I849">
        <v>2026</v>
      </c>
      <c r="J849">
        <v>2</v>
      </c>
      <c r="K849">
        <v>5</v>
      </c>
      <c r="L849">
        <v>4</v>
      </c>
      <c r="M849">
        <v>7</v>
      </c>
      <c r="N849">
        <v>0.3</v>
      </c>
      <c r="O849">
        <v>0.36333333333333334</v>
      </c>
      <c r="P849" t="s">
        <v>41</v>
      </c>
    </row>
    <row r="850" spans="1:16" hidden="1" x14ac:dyDescent="0.25">
      <c r="A850" s="12">
        <v>46058.333333333336</v>
      </c>
      <c r="B850" t="s">
        <v>9</v>
      </c>
      <c r="C850" t="s">
        <v>31</v>
      </c>
      <c r="D850">
        <v>7</v>
      </c>
      <c r="E850">
        <v>40</v>
      </c>
      <c r="F850">
        <v>25.871141986327249</v>
      </c>
      <c r="G850" t="str">
        <f>FLOOR(FinalData[[#This Row],[Temperature_C]],2)&amp;"–"&amp;(FLOOR(FinalData[[#This Row],[Temperature_C]],2)+2)&amp;"°C"</f>
        <v>24–26°C</v>
      </c>
      <c r="H850">
        <v>2.58</v>
      </c>
      <c r="I850">
        <v>2026</v>
      </c>
      <c r="J850">
        <v>2</v>
      </c>
      <c r="K850">
        <v>5</v>
      </c>
      <c r="L850">
        <v>4</v>
      </c>
      <c r="M850">
        <v>8</v>
      </c>
      <c r="N850">
        <v>0.17499999999999999</v>
      </c>
      <c r="O850">
        <v>0.36857142857142861</v>
      </c>
      <c r="P850" t="s">
        <v>41</v>
      </c>
    </row>
    <row r="851" spans="1:16" x14ac:dyDescent="0.25">
      <c r="A851" s="12">
        <v>46058.375</v>
      </c>
      <c r="B851" t="s">
        <v>11</v>
      </c>
      <c r="C851" t="s">
        <v>31</v>
      </c>
      <c r="D851">
        <v>5</v>
      </c>
      <c r="E851">
        <v>25</v>
      </c>
      <c r="F851">
        <v>24.890623542471729</v>
      </c>
      <c r="G851" t="str">
        <f>FLOOR(FinalData[[#This Row],[Temperature_C]],2)&amp;"–"&amp;(FLOOR(FinalData[[#This Row],[Temperature_C]],2)+2)&amp;"°C"</f>
        <v>24–26°C</v>
      </c>
      <c r="H851">
        <v>2.3199999999999998</v>
      </c>
      <c r="I851">
        <v>2026</v>
      </c>
      <c r="J851">
        <v>2</v>
      </c>
      <c r="K851">
        <v>5</v>
      </c>
      <c r="L851">
        <v>4</v>
      </c>
      <c r="M851">
        <v>9</v>
      </c>
      <c r="N851">
        <v>0.2</v>
      </c>
      <c r="O851">
        <v>0.46399999999999997</v>
      </c>
      <c r="P851" t="s">
        <v>41</v>
      </c>
    </row>
    <row r="852" spans="1:16" hidden="1" x14ac:dyDescent="0.25">
      <c r="A852" s="12">
        <v>46058.416666666664</v>
      </c>
      <c r="B852" t="s">
        <v>13</v>
      </c>
      <c r="C852" t="s">
        <v>21</v>
      </c>
      <c r="D852">
        <v>11</v>
      </c>
      <c r="E852">
        <v>30</v>
      </c>
      <c r="F852">
        <v>24.51957447390615</v>
      </c>
      <c r="G852" t="str">
        <f>FLOOR(FinalData[[#This Row],[Temperature_C]],2)&amp;"–"&amp;(FLOOR(FinalData[[#This Row],[Temperature_C]],2)+2)&amp;"°C"</f>
        <v>24–26°C</v>
      </c>
      <c r="H852">
        <v>3.68</v>
      </c>
      <c r="I852">
        <v>2026</v>
      </c>
      <c r="J852">
        <v>2</v>
      </c>
      <c r="K852">
        <v>5</v>
      </c>
      <c r="L852">
        <v>4</v>
      </c>
      <c r="M852">
        <v>10</v>
      </c>
      <c r="N852">
        <v>0.36666666666666664</v>
      </c>
      <c r="O852">
        <v>0.33454545454545453</v>
      </c>
      <c r="P852" t="s">
        <v>41</v>
      </c>
    </row>
    <row r="853" spans="1:16" hidden="1" x14ac:dyDescent="0.25">
      <c r="A853" s="12">
        <v>46058.458333333336</v>
      </c>
      <c r="B853" t="s">
        <v>7</v>
      </c>
      <c r="C853" t="s">
        <v>20</v>
      </c>
      <c r="D853">
        <v>8</v>
      </c>
      <c r="E853">
        <v>25</v>
      </c>
      <c r="F853">
        <v>18.8984002880117</v>
      </c>
      <c r="G853" t="str">
        <f>FLOOR(FinalData[[#This Row],[Temperature_C]],2)&amp;"–"&amp;(FLOOR(FinalData[[#This Row],[Temperature_C]],2)+2)&amp;"°C"</f>
        <v>18–20°C</v>
      </c>
      <c r="H853">
        <v>3.06</v>
      </c>
      <c r="I853">
        <v>2026</v>
      </c>
      <c r="J853">
        <v>2</v>
      </c>
      <c r="K853">
        <v>5</v>
      </c>
      <c r="L853">
        <v>4</v>
      </c>
      <c r="M853">
        <v>11</v>
      </c>
      <c r="N853">
        <v>0.32</v>
      </c>
      <c r="O853">
        <v>0.38250000000000001</v>
      </c>
      <c r="P853" t="s">
        <v>41</v>
      </c>
    </row>
    <row r="854" spans="1:16" hidden="1" x14ac:dyDescent="0.25">
      <c r="A854" s="12">
        <v>46058.5</v>
      </c>
      <c r="B854" t="s">
        <v>11</v>
      </c>
      <c r="C854" t="s">
        <v>8</v>
      </c>
      <c r="D854">
        <v>7</v>
      </c>
      <c r="E854">
        <v>40</v>
      </c>
      <c r="F854">
        <v>21.45773006553274</v>
      </c>
      <c r="G854" t="str">
        <f>FLOOR(FinalData[[#This Row],[Temperature_C]],2)&amp;"–"&amp;(FLOOR(FinalData[[#This Row],[Temperature_C]],2)+2)&amp;"°C"</f>
        <v>20–22°C</v>
      </c>
      <c r="H854">
        <v>2.4700000000000002</v>
      </c>
      <c r="I854">
        <v>2026</v>
      </c>
      <c r="J854">
        <v>2</v>
      </c>
      <c r="K854">
        <v>5</v>
      </c>
      <c r="L854">
        <v>4</v>
      </c>
      <c r="M854">
        <v>12</v>
      </c>
      <c r="N854">
        <v>0.17499999999999999</v>
      </c>
      <c r="O854">
        <v>0.35285714285714287</v>
      </c>
      <c r="P854" t="s">
        <v>42</v>
      </c>
    </row>
    <row r="855" spans="1:16" hidden="1" x14ac:dyDescent="0.25">
      <c r="A855" s="12">
        <v>46058.541666666664</v>
      </c>
      <c r="B855" t="s">
        <v>11</v>
      </c>
      <c r="C855" t="s">
        <v>27</v>
      </c>
      <c r="D855">
        <v>10</v>
      </c>
      <c r="E855">
        <v>20</v>
      </c>
      <c r="F855">
        <v>23.819370687493102</v>
      </c>
      <c r="G855" t="str">
        <f>FLOOR(FinalData[[#This Row],[Temperature_C]],2)&amp;"–"&amp;(FLOOR(FinalData[[#This Row],[Temperature_C]],2)+2)&amp;"°C"</f>
        <v>22–24°C</v>
      </c>
      <c r="H855">
        <v>3.39</v>
      </c>
      <c r="I855">
        <v>2026</v>
      </c>
      <c r="J855">
        <v>2</v>
      </c>
      <c r="K855">
        <v>5</v>
      </c>
      <c r="L855">
        <v>4</v>
      </c>
      <c r="M855">
        <v>13</v>
      </c>
      <c r="N855">
        <v>0.5</v>
      </c>
      <c r="O855">
        <v>0.33900000000000002</v>
      </c>
      <c r="P855" t="s">
        <v>42</v>
      </c>
    </row>
    <row r="856" spans="1:16" hidden="1" x14ac:dyDescent="0.25">
      <c r="A856" s="12">
        <v>46058.583333333336</v>
      </c>
      <c r="B856" t="s">
        <v>9</v>
      </c>
      <c r="C856" t="s">
        <v>14</v>
      </c>
      <c r="D856">
        <v>8</v>
      </c>
      <c r="E856">
        <v>20</v>
      </c>
      <c r="F856">
        <v>20.73718877972993</v>
      </c>
      <c r="G856" t="str">
        <f>FLOOR(FinalData[[#This Row],[Temperature_C]],2)&amp;"–"&amp;(FLOOR(FinalData[[#This Row],[Temperature_C]],2)+2)&amp;"°C"</f>
        <v>20–22°C</v>
      </c>
      <c r="H856">
        <v>3.26</v>
      </c>
      <c r="I856">
        <v>2026</v>
      </c>
      <c r="J856">
        <v>2</v>
      </c>
      <c r="K856">
        <v>5</v>
      </c>
      <c r="L856">
        <v>4</v>
      </c>
      <c r="M856">
        <v>14</v>
      </c>
      <c r="N856">
        <v>0.4</v>
      </c>
      <c r="O856">
        <v>0.40749999999999997</v>
      </c>
      <c r="P856" t="s">
        <v>42</v>
      </c>
    </row>
    <row r="857" spans="1:16" hidden="1" x14ac:dyDescent="0.25">
      <c r="A857" s="12">
        <v>46058.625</v>
      </c>
      <c r="B857" t="s">
        <v>13</v>
      </c>
      <c r="C857" t="s">
        <v>30</v>
      </c>
      <c r="D857">
        <v>6</v>
      </c>
      <c r="E857">
        <v>25</v>
      </c>
      <c r="F857">
        <v>26.151751619003939</v>
      </c>
      <c r="G857" t="str">
        <f>FLOOR(FinalData[[#This Row],[Temperature_C]],2)&amp;"–"&amp;(FLOOR(FinalData[[#This Row],[Temperature_C]],2)+2)&amp;"°C"</f>
        <v>26–28°C</v>
      </c>
      <c r="H857">
        <v>2.91</v>
      </c>
      <c r="I857">
        <v>2026</v>
      </c>
      <c r="J857">
        <v>2</v>
      </c>
      <c r="K857">
        <v>5</v>
      </c>
      <c r="L857">
        <v>4</v>
      </c>
      <c r="M857">
        <v>15</v>
      </c>
      <c r="N857">
        <v>0.24</v>
      </c>
      <c r="O857">
        <v>0.48500000000000004</v>
      </c>
      <c r="P857" t="s">
        <v>42</v>
      </c>
    </row>
    <row r="858" spans="1:16" hidden="1" x14ac:dyDescent="0.25">
      <c r="A858" s="12">
        <v>46058.666666666664</v>
      </c>
      <c r="B858" t="s">
        <v>18</v>
      </c>
      <c r="C858" t="s">
        <v>23</v>
      </c>
      <c r="D858">
        <v>7</v>
      </c>
      <c r="E858">
        <v>30</v>
      </c>
      <c r="F858">
        <v>22.50532807220716</v>
      </c>
      <c r="G858" t="str">
        <f>FLOOR(FinalData[[#This Row],[Temperature_C]],2)&amp;"–"&amp;(FLOOR(FinalData[[#This Row],[Temperature_C]],2)+2)&amp;"°C"</f>
        <v>22–24°C</v>
      </c>
      <c r="H858">
        <v>2.73</v>
      </c>
      <c r="I858">
        <v>2026</v>
      </c>
      <c r="J858">
        <v>2</v>
      </c>
      <c r="K858">
        <v>5</v>
      </c>
      <c r="L858">
        <v>4</v>
      </c>
      <c r="M858">
        <v>16</v>
      </c>
      <c r="N858">
        <v>0.23333333333333334</v>
      </c>
      <c r="O858">
        <v>0.39</v>
      </c>
      <c r="P858" t="s">
        <v>42</v>
      </c>
    </row>
    <row r="859" spans="1:16" hidden="1" x14ac:dyDescent="0.25">
      <c r="A859" s="12">
        <v>46058.708333333336</v>
      </c>
      <c r="B859" t="s">
        <v>18</v>
      </c>
      <c r="C859" t="s">
        <v>15</v>
      </c>
      <c r="D859">
        <v>10</v>
      </c>
      <c r="E859">
        <v>20</v>
      </c>
      <c r="F859">
        <v>19.90744416203718</v>
      </c>
      <c r="G859" t="str">
        <f>FLOOR(FinalData[[#This Row],[Temperature_C]],2)&amp;"–"&amp;(FLOOR(FinalData[[#This Row],[Temperature_C]],2)+2)&amp;"°C"</f>
        <v>18–20°C</v>
      </c>
      <c r="H859">
        <v>4.01</v>
      </c>
      <c r="I859">
        <v>2026</v>
      </c>
      <c r="J859">
        <v>2</v>
      </c>
      <c r="K859">
        <v>5</v>
      </c>
      <c r="L859">
        <v>4</v>
      </c>
      <c r="M859">
        <v>17</v>
      </c>
      <c r="N859">
        <v>0.5</v>
      </c>
      <c r="O859">
        <v>0.40099999999999997</v>
      </c>
      <c r="P859" t="s">
        <v>43</v>
      </c>
    </row>
    <row r="860" spans="1:16" hidden="1" x14ac:dyDescent="0.25">
      <c r="A860" s="12">
        <v>46058.75</v>
      </c>
      <c r="B860" t="s">
        <v>9</v>
      </c>
      <c r="C860" t="s">
        <v>25</v>
      </c>
      <c r="D860">
        <v>8</v>
      </c>
      <c r="E860">
        <v>30</v>
      </c>
      <c r="F860">
        <v>23.235414836921919</v>
      </c>
      <c r="G860" t="str">
        <f>FLOOR(FinalData[[#This Row],[Temperature_C]],2)&amp;"–"&amp;(FLOOR(FinalData[[#This Row],[Temperature_C]],2)+2)&amp;"°C"</f>
        <v>22–24°C</v>
      </c>
      <c r="H860">
        <v>2.48</v>
      </c>
      <c r="I860">
        <v>2026</v>
      </c>
      <c r="J860">
        <v>2</v>
      </c>
      <c r="K860">
        <v>5</v>
      </c>
      <c r="L860">
        <v>4</v>
      </c>
      <c r="M860">
        <v>18</v>
      </c>
      <c r="N860">
        <v>0.26666666666666666</v>
      </c>
      <c r="O860">
        <v>0.31</v>
      </c>
      <c r="P860" t="s">
        <v>43</v>
      </c>
    </row>
    <row r="861" spans="1:16" hidden="1" x14ac:dyDescent="0.25">
      <c r="A861" s="12">
        <v>46058.791666666664</v>
      </c>
      <c r="B861" t="s">
        <v>11</v>
      </c>
      <c r="C861" t="s">
        <v>14</v>
      </c>
      <c r="D861">
        <v>6</v>
      </c>
      <c r="E861">
        <v>30</v>
      </c>
      <c r="F861">
        <v>22.306830836762359</v>
      </c>
      <c r="G861" t="str">
        <f>FLOOR(FinalData[[#This Row],[Temperature_C]],2)&amp;"–"&amp;(FLOOR(FinalData[[#This Row],[Temperature_C]],2)+2)&amp;"°C"</f>
        <v>22–24°C</v>
      </c>
      <c r="H861">
        <v>2.2599999999999998</v>
      </c>
      <c r="I861">
        <v>2026</v>
      </c>
      <c r="J861">
        <v>2</v>
      </c>
      <c r="K861">
        <v>5</v>
      </c>
      <c r="L861">
        <v>4</v>
      </c>
      <c r="M861">
        <v>19</v>
      </c>
      <c r="N861">
        <v>0.2</v>
      </c>
      <c r="O861">
        <v>0.37666666666666665</v>
      </c>
      <c r="P861" t="s">
        <v>43</v>
      </c>
    </row>
    <row r="862" spans="1:16" hidden="1" x14ac:dyDescent="0.25">
      <c r="A862" s="12">
        <v>46058.833333333336</v>
      </c>
      <c r="B862" t="s">
        <v>18</v>
      </c>
      <c r="C862" t="s">
        <v>31</v>
      </c>
      <c r="D862">
        <v>14</v>
      </c>
      <c r="E862">
        <v>25</v>
      </c>
      <c r="F862">
        <v>20.185413113015191</v>
      </c>
      <c r="G862" t="str">
        <f>FLOOR(FinalData[[#This Row],[Temperature_C]],2)&amp;"–"&amp;(FLOOR(FinalData[[#This Row],[Temperature_C]],2)+2)&amp;"°C"</f>
        <v>20–22°C</v>
      </c>
      <c r="H862">
        <v>4.18</v>
      </c>
      <c r="I862">
        <v>2026</v>
      </c>
      <c r="J862">
        <v>2</v>
      </c>
      <c r="K862">
        <v>5</v>
      </c>
      <c r="L862">
        <v>4</v>
      </c>
      <c r="M862">
        <v>20</v>
      </c>
      <c r="N862">
        <v>0.56000000000000005</v>
      </c>
      <c r="O862">
        <v>0.29857142857142854</v>
      </c>
      <c r="P862" t="s">
        <v>43</v>
      </c>
    </row>
    <row r="863" spans="1:16" hidden="1" x14ac:dyDescent="0.25">
      <c r="A863" s="12">
        <v>46058.875</v>
      </c>
      <c r="B863" t="s">
        <v>13</v>
      </c>
      <c r="C863" t="s">
        <v>24</v>
      </c>
      <c r="D863">
        <v>12</v>
      </c>
      <c r="E863">
        <v>25</v>
      </c>
      <c r="F863">
        <v>24.641845758219421</v>
      </c>
      <c r="G863" t="str">
        <f>FLOOR(FinalData[[#This Row],[Temperature_C]],2)&amp;"–"&amp;(FLOOR(FinalData[[#This Row],[Temperature_C]],2)+2)&amp;"°C"</f>
        <v>24–26°C</v>
      </c>
      <c r="H863">
        <v>3.92</v>
      </c>
      <c r="I863">
        <v>2026</v>
      </c>
      <c r="J863">
        <v>2</v>
      </c>
      <c r="K863">
        <v>5</v>
      </c>
      <c r="L863">
        <v>4</v>
      </c>
      <c r="M863">
        <v>21</v>
      </c>
      <c r="N863">
        <v>0.48</v>
      </c>
      <c r="O863">
        <v>0.32666666666666666</v>
      </c>
      <c r="P863" t="s">
        <v>40</v>
      </c>
    </row>
    <row r="864" spans="1:16" hidden="1" x14ac:dyDescent="0.25">
      <c r="A864" s="12">
        <v>46058.916666666664</v>
      </c>
      <c r="B864" t="s">
        <v>9</v>
      </c>
      <c r="C864" t="s">
        <v>14</v>
      </c>
      <c r="D864">
        <v>13</v>
      </c>
      <c r="E864">
        <v>25</v>
      </c>
      <c r="F864">
        <v>25.146041989607241</v>
      </c>
      <c r="G864" t="str">
        <f>FLOOR(FinalData[[#This Row],[Temperature_C]],2)&amp;"–"&amp;(FLOOR(FinalData[[#This Row],[Temperature_C]],2)+2)&amp;"°C"</f>
        <v>24–26°C</v>
      </c>
      <c r="H864">
        <v>4.59</v>
      </c>
      <c r="I864">
        <v>2026</v>
      </c>
      <c r="J864">
        <v>2</v>
      </c>
      <c r="K864">
        <v>5</v>
      </c>
      <c r="L864">
        <v>4</v>
      </c>
      <c r="M864">
        <v>22</v>
      </c>
      <c r="N864">
        <v>0.52</v>
      </c>
      <c r="O864">
        <v>0.35307692307692307</v>
      </c>
      <c r="P864" t="s">
        <v>40</v>
      </c>
    </row>
    <row r="865" spans="1:16" hidden="1" x14ac:dyDescent="0.25">
      <c r="A865" s="12">
        <v>46058.958333333336</v>
      </c>
      <c r="B865" t="s">
        <v>7</v>
      </c>
      <c r="C865" t="s">
        <v>23</v>
      </c>
      <c r="D865">
        <v>9</v>
      </c>
      <c r="E865">
        <v>20</v>
      </c>
      <c r="F865">
        <v>21.901543721009201</v>
      </c>
      <c r="G865" t="str">
        <f>FLOOR(FinalData[[#This Row],[Temperature_C]],2)&amp;"–"&amp;(FLOOR(FinalData[[#This Row],[Temperature_C]],2)+2)&amp;"°C"</f>
        <v>20–22°C</v>
      </c>
      <c r="H865">
        <v>2.81</v>
      </c>
      <c r="I865">
        <v>2026</v>
      </c>
      <c r="J865">
        <v>2</v>
      </c>
      <c r="K865">
        <v>5</v>
      </c>
      <c r="L865">
        <v>4</v>
      </c>
      <c r="M865">
        <v>23</v>
      </c>
      <c r="N865">
        <v>0.45</v>
      </c>
      <c r="O865">
        <v>0.31222222222222223</v>
      </c>
      <c r="P865" t="s">
        <v>40</v>
      </c>
    </row>
    <row r="866" spans="1:16" hidden="1" x14ac:dyDescent="0.25">
      <c r="A866" s="12">
        <v>46059</v>
      </c>
      <c r="B866" t="s">
        <v>18</v>
      </c>
      <c r="C866" t="s">
        <v>24</v>
      </c>
      <c r="D866">
        <v>5</v>
      </c>
      <c r="E866">
        <v>25</v>
      </c>
      <c r="F866">
        <v>25.840759696056701</v>
      </c>
      <c r="G866" t="str">
        <f>FLOOR(FinalData[[#This Row],[Temperature_C]],2)&amp;"–"&amp;(FLOOR(FinalData[[#This Row],[Temperature_C]],2)+2)&amp;"°C"</f>
        <v>24–26°C</v>
      </c>
      <c r="H866">
        <v>2.38</v>
      </c>
      <c r="I866">
        <v>2026</v>
      </c>
      <c r="J866">
        <v>2</v>
      </c>
      <c r="K866">
        <v>6</v>
      </c>
      <c r="L866">
        <v>5</v>
      </c>
      <c r="M866">
        <v>0</v>
      </c>
      <c r="N866">
        <v>0.2</v>
      </c>
      <c r="O866">
        <v>0.47599999999999998</v>
      </c>
      <c r="P866" t="s">
        <v>40</v>
      </c>
    </row>
    <row r="867" spans="1:16" hidden="1" x14ac:dyDescent="0.25">
      <c r="A867" s="12">
        <v>46059.041666666664</v>
      </c>
      <c r="B867" t="s">
        <v>7</v>
      </c>
      <c r="C867" t="s">
        <v>29</v>
      </c>
      <c r="D867">
        <v>9</v>
      </c>
      <c r="E867">
        <v>40</v>
      </c>
      <c r="F867">
        <v>25.096969747409101</v>
      </c>
      <c r="G867" t="str">
        <f>FLOOR(FinalData[[#This Row],[Temperature_C]],2)&amp;"–"&amp;(FLOOR(FinalData[[#This Row],[Temperature_C]],2)+2)&amp;"°C"</f>
        <v>24–26°C</v>
      </c>
      <c r="H867">
        <v>3.22</v>
      </c>
      <c r="I867">
        <v>2026</v>
      </c>
      <c r="J867">
        <v>2</v>
      </c>
      <c r="K867">
        <v>6</v>
      </c>
      <c r="L867">
        <v>5</v>
      </c>
      <c r="M867">
        <v>1</v>
      </c>
      <c r="N867">
        <v>0.22500000000000001</v>
      </c>
      <c r="O867">
        <v>0.35777777777777781</v>
      </c>
      <c r="P867" t="s">
        <v>40</v>
      </c>
    </row>
    <row r="868" spans="1:16" hidden="1" x14ac:dyDescent="0.25">
      <c r="A868" s="12">
        <v>46059.083333333336</v>
      </c>
      <c r="B868" t="s">
        <v>13</v>
      </c>
      <c r="C868" t="s">
        <v>21</v>
      </c>
      <c r="D868">
        <v>8</v>
      </c>
      <c r="E868">
        <v>40</v>
      </c>
      <c r="F868">
        <v>22.88233429173696</v>
      </c>
      <c r="G868" t="str">
        <f>FLOOR(FinalData[[#This Row],[Temperature_C]],2)&amp;"–"&amp;(FLOOR(FinalData[[#This Row],[Temperature_C]],2)+2)&amp;"°C"</f>
        <v>22–24°C</v>
      </c>
      <c r="H868">
        <v>2.87</v>
      </c>
      <c r="I868">
        <v>2026</v>
      </c>
      <c r="J868">
        <v>2</v>
      </c>
      <c r="K868">
        <v>6</v>
      </c>
      <c r="L868">
        <v>5</v>
      </c>
      <c r="M868">
        <v>2</v>
      </c>
      <c r="N868">
        <v>0.2</v>
      </c>
      <c r="O868">
        <v>0.35875000000000001</v>
      </c>
      <c r="P868" t="s">
        <v>40</v>
      </c>
    </row>
    <row r="869" spans="1:16" hidden="1" x14ac:dyDescent="0.25">
      <c r="A869" s="12">
        <v>46059.125</v>
      </c>
      <c r="B869" t="s">
        <v>13</v>
      </c>
      <c r="C869" t="s">
        <v>8</v>
      </c>
      <c r="D869">
        <v>5</v>
      </c>
      <c r="E869">
        <v>30</v>
      </c>
      <c r="F869">
        <v>24.2838942588874</v>
      </c>
      <c r="G869" t="str">
        <f>FLOOR(FinalData[[#This Row],[Temperature_C]],2)&amp;"–"&amp;(FLOOR(FinalData[[#This Row],[Temperature_C]],2)+2)&amp;"°C"</f>
        <v>24–26°C</v>
      </c>
      <c r="H869">
        <v>2.31</v>
      </c>
      <c r="I869">
        <v>2026</v>
      </c>
      <c r="J869">
        <v>2</v>
      </c>
      <c r="K869">
        <v>6</v>
      </c>
      <c r="L869">
        <v>5</v>
      </c>
      <c r="M869">
        <v>3</v>
      </c>
      <c r="N869">
        <v>0.16666666666666666</v>
      </c>
      <c r="O869">
        <v>0.46200000000000002</v>
      </c>
      <c r="P869" t="s">
        <v>40</v>
      </c>
    </row>
    <row r="870" spans="1:16" hidden="1" x14ac:dyDescent="0.25">
      <c r="A870" s="12">
        <v>46059.166666666664</v>
      </c>
      <c r="B870" t="s">
        <v>13</v>
      </c>
      <c r="C870" t="s">
        <v>22</v>
      </c>
      <c r="D870">
        <v>6</v>
      </c>
      <c r="E870">
        <v>40</v>
      </c>
      <c r="F870">
        <v>19.63820983450702</v>
      </c>
      <c r="G870" t="str">
        <f>FLOOR(FinalData[[#This Row],[Temperature_C]],2)&amp;"–"&amp;(FLOOR(FinalData[[#This Row],[Temperature_C]],2)+2)&amp;"°C"</f>
        <v>18–20°C</v>
      </c>
      <c r="H870">
        <v>2.5</v>
      </c>
      <c r="I870">
        <v>2026</v>
      </c>
      <c r="J870">
        <v>2</v>
      </c>
      <c r="K870">
        <v>6</v>
      </c>
      <c r="L870">
        <v>5</v>
      </c>
      <c r="M870">
        <v>4</v>
      </c>
      <c r="N870">
        <v>0.15</v>
      </c>
      <c r="O870">
        <v>0.41666666666666669</v>
      </c>
      <c r="P870" t="s">
        <v>40</v>
      </c>
    </row>
    <row r="871" spans="1:16" hidden="1" x14ac:dyDescent="0.25">
      <c r="A871" s="12">
        <v>46059.208333333336</v>
      </c>
      <c r="B871" t="s">
        <v>18</v>
      </c>
      <c r="C871" t="s">
        <v>28</v>
      </c>
      <c r="D871">
        <v>11</v>
      </c>
      <c r="E871">
        <v>20</v>
      </c>
      <c r="F871">
        <v>22.86340970541972</v>
      </c>
      <c r="G871" t="str">
        <f>FLOOR(FinalData[[#This Row],[Temperature_C]],2)&amp;"–"&amp;(FLOOR(FinalData[[#This Row],[Temperature_C]],2)+2)&amp;"°C"</f>
        <v>22–24°C</v>
      </c>
      <c r="H871">
        <v>3.38</v>
      </c>
      <c r="I871">
        <v>2026</v>
      </c>
      <c r="J871">
        <v>2</v>
      </c>
      <c r="K871">
        <v>6</v>
      </c>
      <c r="L871">
        <v>5</v>
      </c>
      <c r="M871">
        <v>5</v>
      </c>
      <c r="N871">
        <v>0.55000000000000004</v>
      </c>
      <c r="O871">
        <v>0.30727272727272725</v>
      </c>
      <c r="P871" t="s">
        <v>40</v>
      </c>
    </row>
    <row r="872" spans="1:16" hidden="1" x14ac:dyDescent="0.25">
      <c r="A872" s="12">
        <v>46059.25</v>
      </c>
      <c r="B872" t="s">
        <v>18</v>
      </c>
      <c r="C872" t="s">
        <v>30</v>
      </c>
      <c r="D872">
        <v>5</v>
      </c>
      <c r="E872">
        <v>30</v>
      </c>
      <c r="F872">
        <v>20.472238341851781</v>
      </c>
      <c r="G872" t="str">
        <f>FLOOR(FinalData[[#This Row],[Temperature_C]],2)&amp;"–"&amp;(FLOOR(FinalData[[#This Row],[Temperature_C]],2)+2)&amp;"°C"</f>
        <v>20–22°C</v>
      </c>
      <c r="H872">
        <v>2.57</v>
      </c>
      <c r="I872">
        <v>2026</v>
      </c>
      <c r="J872">
        <v>2</v>
      </c>
      <c r="K872">
        <v>6</v>
      </c>
      <c r="L872">
        <v>5</v>
      </c>
      <c r="M872">
        <v>6</v>
      </c>
      <c r="N872">
        <v>0.16666666666666666</v>
      </c>
      <c r="O872">
        <v>0.51400000000000001</v>
      </c>
      <c r="P872" t="s">
        <v>40</v>
      </c>
    </row>
    <row r="873" spans="1:16" hidden="1" x14ac:dyDescent="0.25">
      <c r="A873" s="12">
        <v>46059.291666666664</v>
      </c>
      <c r="B873" t="s">
        <v>9</v>
      </c>
      <c r="C873" t="s">
        <v>24</v>
      </c>
      <c r="D873">
        <v>8</v>
      </c>
      <c r="E873">
        <v>40</v>
      </c>
      <c r="F873">
        <v>22.082246309950001</v>
      </c>
      <c r="G873" t="str">
        <f>FLOOR(FinalData[[#This Row],[Temperature_C]],2)&amp;"–"&amp;(FLOOR(FinalData[[#This Row],[Temperature_C]],2)+2)&amp;"°C"</f>
        <v>22–24°C</v>
      </c>
      <c r="H873">
        <v>2.5099999999999998</v>
      </c>
      <c r="I873">
        <v>2026</v>
      </c>
      <c r="J873">
        <v>2</v>
      </c>
      <c r="K873">
        <v>6</v>
      </c>
      <c r="L873">
        <v>5</v>
      </c>
      <c r="M873">
        <v>7</v>
      </c>
      <c r="N873">
        <v>0.2</v>
      </c>
      <c r="O873">
        <v>0.31374999999999997</v>
      </c>
      <c r="P873" t="s">
        <v>41</v>
      </c>
    </row>
    <row r="874" spans="1:16" hidden="1" x14ac:dyDescent="0.25">
      <c r="A874" s="12">
        <v>46059.333333333336</v>
      </c>
      <c r="B874" t="s">
        <v>13</v>
      </c>
      <c r="C874" t="s">
        <v>30</v>
      </c>
      <c r="D874">
        <v>11</v>
      </c>
      <c r="E874">
        <v>40</v>
      </c>
      <c r="F874">
        <v>21.835877331813979</v>
      </c>
      <c r="G874" t="str">
        <f>FLOOR(FinalData[[#This Row],[Temperature_C]],2)&amp;"–"&amp;(FLOOR(FinalData[[#This Row],[Temperature_C]],2)+2)&amp;"°C"</f>
        <v>20–22°C</v>
      </c>
      <c r="H874">
        <v>3.69</v>
      </c>
      <c r="I874">
        <v>2026</v>
      </c>
      <c r="J874">
        <v>2</v>
      </c>
      <c r="K874">
        <v>6</v>
      </c>
      <c r="L874">
        <v>5</v>
      </c>
      <c r="M874">
        <v>8</v>
      </c>
      <c r="N874">
        <v>0.27500000000000002</v>
      </c>
      <c r="O874">
        <v>0.33545454545454545</v>
      </c>
      <c r="P874" t="s">
        <v>41</v>
      </c>
    </row>
    <row r="875" spans="1:16" hidden="1" x14ac:dyDescent="0.25">
      <c r="A875" s="12">
        <v>46059.375</v>
      </c>
      <c r="B875" t="s">
        <v>9</v>
      </c>
      <c r="C875" t="s">
        <v>8</v>
      </c>
      <c r="D875">
        <v>5</v>
      </c>
      <c r="E875">
        <v>20</v>
      </c>
      <c r="F875">
        <v>25.57116446872336</v>
      </c>
      <c r="G875" t="str">
        <f>FLOOR(FinalData[[#This Row],[Temperature_C]],2)&amp;"–"&amp;(FLOOR(FinalData[[#This Row],[Temperature_C]],2)+2)&amp;"°C"</f>
        <v>24–26°C</v>
      </c>
      <c r="H875">
        <v>2.57</v>
      </c>
      <c r="I875">
        <v>2026</v>
      </c>
      <c r="J875">
        <v>2</v>
      </c>
      <c r="K875">
        <v>6</v>
      </c>
      <c r="L875">
        <v>5</v>
      </c>
      <c r="M875">
        <v>9</v>
      </c>
      <c r="N875">
        <v>0.25</v>
      </c>
      <c r="O875">
        <v>0.51400000000000001</v>
      </c>
      <c r="P875" t="s">
        <v>41</v>
      </c>
    </row>
    <row r="876" spans="1:16" hidden="1" x14ac:dyDescent="0.25">
      <c r="A876" s="12">
        <v>46059.416666666664</v>
      </c>
      <c r="B876" t="s">
        <v>13</v>
      </c>
      <c r="C876" t="s">
        <v>8</v>
      </c>
      <c r="D876">
        <v>10</v>
      </c>
      <c r="E876">
        <v>20</v>
      </c>
      <c r="F876">
        <v>22.58483130971392</v>
      </c>
      <c r="G876" t="str">
        <f>FLOOR(FinalData[[#This Row],[Temperature_C]],2)&amp;"–"&amp;(FLOOR(FinalData[[#This Row],[Temperature_C]],2)+2)&amp;"°C"</f>
        <v>22–24°C</v>
      </c>
      <c r="H876">
        <v>3.78</v>
      </c>
      <c r="I876">
        <v>2026</v>
      </c>
      <c r="J876">
        <v>2</v>
      </c>
      <c r="K876">
        <v>6</v>
      </c>
      <c r="L876">
        <v>5</v>
      </c>
      <c r="M876">
        <v>10</v>
      </c>
      <c r="N876">
        <v>0.5</v>
      </c>
      <c r="O876">
        <v>0.378</v>
      </c>
      <c r="P876" t="s">
        <v>41</v>
      </c>
    </row>
    <row r="877" spans="1:16" hidden="1" x14ac:dyDescent="0.25">
      <c r="A877" s="12">
        <v>46059.458333333336</v>
      </c>
      <c r="B877" t="s">
        <v>13</v>
      </c>
      <c r="C877" t="s">
        <v>17</v>
      </c>
      <c r="D877">
        <v>10</v>
      </c>
      <c r="E877">
        <v>25</v>
      </c>
      <c r="F877">
        <v>23.777637820527431</v>
      </c>
      <c r="G877" t="str">
        <f>FLOOR(FinalData[[#This Row],[Temperature_C]],2)&amp;"–"&amp;(FLOOR(FinalData[[#This Row],[Temperature_C]],2)+2)&amp;"°C"</f>
        <v>22–24°C</v>
      </c>
      <c r="H877">
        <v>3.21</v>
      </c>
      <c r="I877">
        <v>2026</v>
      </c>
      <c r="J877">
        <v>2</v>
      </c>
      <c r="K877">
        <v>6</v>
      </c>
      <c r="L877">
        <v>5</v>
      </c>
      <c r="M877">
        <v>11</v>
      </c>
      <c r="N877">
        <v>0.4</v>
      </c>
      <c r="O877">
        <v>0.32100000000000001</v>
      </c>
      <c r="P877" t="s">
        <v>41</v>
      </c>
    </row>
    <row r="878" spans="1:16" hidden="1" x14ac:dyDescent="0.25">
      <c r="A878" s="12">
        <v>46059.5</v>
      </c>
      <c r="B878" t="s">
        <v>11</v>
      </c>
      <c r="C878" t="s">
        <v>25</v>
      </c>
      <c r="D878">
        <v>11</v>
      </c>
      <c r="E878">
        <v>20</v>
      </c>
      <c r="F878">
        <v>22.4507125012674</v>
      </c>
      <c r="G878" t="str">
        <f>FLOOR(FinalData[[#This Row],[Temperature_C]],2)&amp;"–"&amp;(FLOOR(FinalData[[#This Row],[Temperature_C]],2)+2)&amp;"°C"</f>
        <v>22–24°C</v>
      </c>
      <c r="H878">
        <v>3.48</v>
      </c>
      <c r="I878">
        <v>2026</v>
      </c>
      <c r="J878">
        <v>2</v>
      </c>
      <c r="K878">
        <v>6</v>
      </c>
      <c r="L878">
        <v>5</v>
      </c>
      <c r="M878">
        <v>12</v>
      </c>
      <c r="N878">
        <v>0.55000000000000004</v>
      </c>
      <c r="O878">
        <v>0.31636363636363635</v>
      </c>
      <c r="P878" t="s">
        <v>42</v>
      </c>
    </row>
    <row r="879" spans="1:16" hidden="1" x14ac:dyDescent="0.25">
      <c r="A879" s="12">
        <v>46059.541666666664</v>
      </c>
      <c r="B879" t="s">
        <v>13</v>
      </c>
      <c r="C879" t="s">
        <v>12</v>
      </c>
      <c r="D879">
        <v>3</v>
      </c>
      <c r="E879">
        <v>40</v>
      </c>
      <c r="F879">
        <v>21.621776404556421</v>
      </c>
      <c r="G879" t="str">
        <f>FLOOR(FinalData[[#This Row],[Temperature_C]],2)&amp;"–"&amp;(FLOOR(FinalData[[#This Row],[Temperature_C]],2)+2)&amp;"°C"</f>
        <v>20–22°C</v>
      </c>
      <c r="H879">
        <v>1.75</v>
      </c>
      <c r="I879">
        <v>2026</v>
      </c>
      <c r="J879">
        <v>2</v>
      </c>
      <c r="K879">
        <v>6</v>
      </c>
      <c r="L879">
        <v>5</v>
      </c>
      <c r="M879">
        <v>13</v>
      </c>
      <c r="N879">
        <v>7.4999999999999997E-2</v>
      </c>
      <c r="O879">
        <v>0.58333333333333337</v>
      </c>
      <c r="P879" t="s">
        <v>42</v>
      </c>
    </row>
    <row r="880" spans="1:16" hidden="1" x14ac:dyDescent="0.25">
      <c r="A880" s="12">
        <v>46059.583333333336</v>
      </c>
      <c r="B880" t="s">
        <v>18</v>
      </c>
      <c r="C880" t="s">
        <v>22</v>
      </c>
      <c r="D880">
        <v>10</v>
      </c>
      <c r="E880">
        <v>30</v>
      </c>
      <c r="F880">
        <v>24.0506149250043</v>
      </c>
      <c r="G880" t="str">
        <f>FLOOR(FinalData[[#This Row],[Temperature_C]],2)&amp;"–"&amp;(FLOOR(FinalData[[#This Row],[Temperature_C]],2)+2)&amp;"°C"</f>
        <v>24–26°C</v>
      </c>
      <c r="H880">
        <v>3.08</v>
      </c>
      <c r="I880">
        <v>2026</v>
      </c>
      <c r="J880">
        <v>2</v>
      </c>
      <c r="K880">
        <v>6</v>
      </c>
      <c r="L880">
        <v>5</v>
      </c>
      <c r="M880">
        <v>14</v>
      </c>
      <c r="N880">
        <v>0.33333333333333331</v>
      </c>
      <c r="O880">
        <v>0.308</v>
      </c>
      <c r="P880" t="s">
        <v>42</v>
      </c>
    </row>
    <row r="881" spans="1:16" hidden="1" x14ac:dyDescent="0.25">
      <c r="A881" s="12">
        <v>46059.625</v>
      </c>
      <c r="B881" t="s">
        <v>13</v>
      </c>
      <c r="C881" t="s">
        <v>17</v>
      </c>
      <c r="D881">
        <v>7</v>
      </c>
      <c r="E881">
        <v>40</v>
      </c>
      <c r="F881">
        <v>24.819566690202329</v>
      </c>
      <c r="G881" t="str">
        <f>FLOOR(FinalData[[#This Row],[Temperature_C]],2)&amp;"–"&amp;(FLOOR(FinalData[[#This Row],[Temperature_C]],2)+2)&amp;"°C"</f>
        <v>24–26°C</v>
      </c>
      <c r="H881">
        <v>2.95</v>
      </c>
      <c r="I881">
        <v>2026</v>
      </c>
      <c r="J881">
        <v>2</v>
      </c>
      <c r="K881">
        <v>6</v>
      </c>
      <c r="L881">
        <v>5</v>
      </c>
      <c r="M881">
        <v>15</v>
      </c>
      <c r="N881">
        <v>0.17499999999999999</v>
      </c>
      <c r="O881">
        <v>0.42142857142857143</v>
      </c>
      <c r="P881" t="s">
        <v>42</v>
      </c>
    </row>
    <row r="882" spans="1:16" hidden="1" x14ac:dyDescent="0.25">
      <c r="A882" s="12">
        <v>46059.666666666664</v>
      </c>
      <c r="B882" t="s">
        <v>7</v>
      </c>
      <c r="C882" t="s">
        <v>15</v>
      </c>
      <c r="D882">
        <v>8</v>
      </c>
      <c r="E882">
        <v>20</v>
      </c>
      <c r="F882">
        <v>20.112148905852489</v>
      </c>
      <c r="G882" t="str">
        <f>FLOOR(FinalData[[#This Row],[Temperature_C]],2)&amp;"–"&amp;(FLOOR(FinalData[[#This Row],[Temperature_C]],2)+2)&amp;"°C"</f>
        <v>20–22°C</v>
      </c>
      <c r="H882">
        <v>3.22</v>
      </c>
      <c r="I882">
        <v>2026</v>
      </c>
      <c r="J882">
        <v>2</v>
      </c>
      <c r="K882">
        <v>6</v>
      </c>
      <c r="L882">
        <v>5</v>
      </c>
      <c r="M882">
        <v>16</v>
      </c>
      <c r="N882">
        <v>0.4</v>
      </c>
      <c r="O882">
        <v>0.40250000000000002</v>
      </c>
      <c r="P882" t="s">
        <v>42</v>
      </c>
    </row>
    <row r="883" spans="1:16" hidden="1" x14ac:dyDescent="0.25">
      <c r="A883" s="12">
        <v>46059.708333333336</v>
      </c>
      <c r="B883" t="s">
        <v>11</v>
      </c>
      <c r="C883" t="s">
        <v>26</v>
      </c>
      <c r="D883">
        <v>12</v>
      </c>
      <c r="E883">
        <v>30</v>
      </c>
      <c r="F883">
        <v>21.671235417008059</v>
      </c>
      <c r="G883" t="str">
        <f>FLOOR(FinalData[[#This Row],[Temperature_C]],2)&amp;"–"&amp;(FLOOR(FinalData[[#This Row],[Temperature_C]],2)+2)&amp;"°C"</f>
        <v>20–22°C</v>
      </c>
      <c r="H883">
        <v>3.82</v>
      </c>
      <c r="I883">
        <v>2026</v>
      </c>
      <c r="J883">
        <v>2</v>
      </c>
      <c r="K883">
        <v>6</v>
      </c>
      <c r="L883">
        <v>5</v>
      </c>
      <c r="M883">
        <v>17</v>
      </c>
      <c r="N883">
        <v>0.4</v>
      </c>
      <c r="O883">
        <v>0.3183333333333333</v>
      </c>
      <c r="P883" t="s">
        <v>43</v>
      </c>
    </row>
    <row r="884" spans="1:16" hidden="1" x14ac:dyDescent="0.25">
      <c r="A884" s="12">
        <v>46059.75</v>
      </c>
      <c r="B884" t="s">
        <v>11</v>
      </c>
      <c r="C884" t="s">
        <v>22</v>
      </c>
      <c r="D884">
        <v>10</v>
      </c>
      <c r="E884">
        <v>20</v>
      </c>
      <c r="F884">
        <v>21.881672329881582</v>
      </c>
      <c r="G884" t="str">
        <f>FLOOR(FinalData[[#This Row],[Temperature_C]],2)&amp;"–"&amp;(FLOOR(FinalData[[#This Row],[Temperature_C]],2)+2)&amp;"°C"</f>
        <v>20–22°C</v>
      </c>
      <c r="H884">
        <v>3.18</v>
      </c>
      <c r="I884">
        <v>2026</v>
      </c>
      <c r="J884">
        <v>2</v>
      </c>
      <c r="K884">
        <v>6</v>
      </c>
      <c r="L884">
        <v>5</v>
      </c>
      <c r="M884">
        <v>18</v>
      </c>
      <c r="N884">
        <v>0.5</v>
      </c>
      <c r="O884">
        <v>0.318</v>
      </c>
      <c r="P884" t="s">
        <v>43</v>
      </c>
    </row>
    <row r="885" spans="1:16" hidden="1" x14ac:dyDescent="0.25">
      <c r="A885" s="12">
        <v>46059.791666666664</v>
      </c>
      <c r="B885" t="s">
        <v>7</v>
      </c>
      <c r="C885" t="s">
        <v>20</v>
      </c>
      <c r="D885">
        <v>12</v>
      </c>
      <c r="E885">
        <v>20</v>
      </c>
      <c r="F885">
        <v>21.542541214691951</v>
      </c>
      <c r="G885" t="str">
        <f>FLOOR(FinalData[[#This Row],[Temperature_C]],2)&amp;"–"&amp;(FLOOR(FinalData[[#This Row],[Temperature_C]],2)+2)&amp;"°C"</f>
        <v>20–22°C</v>
      </c>
      <c r="H885">
        <v>3.61</v>
      </c>
      <c r="I885">
        <v>2026</v>
      </c>
      <c r="J885">
        <v>2</v>
      </c>
      <c r="K885">
        <v>6</v>
      </c>
      <c r="L885">
        <v>5</v>
      </c>
      <c r="M885">
        <v>19</v>
      </c>
      <c r="N885">
        <v>0.6</v>
      </c>
      <c r="O885">
        <v>0.30083333333333334</v>
      </c>
      <c r="P885" t="s">
        <v>43</v>
      </c>
    </row>
    <row r="886" spans="1:16" hidden="1" x14ac:dyDescent="0.25">
      <c r="A886" s="12">
        <v>46059.833333333336</v>
      </c>
      <c r="B886" t="s">
        <v>13</v>
      </c>
      <c r="C886" t="s">
        <v>28</v>
      </c>
      <c r="D886">
        <v>4</v>
      </c>
      <c r="E886">
        <v>25</v>
      </c>
      <c r="F886">
        <v>22.854284622317891</v>
      </c>
      <c r="G886" t="str">
        <f>FLOOR(FinalData[[#This Row],[Temperature_C]],2)&amp;"–"&amp;(FLOOR(FinalData[[#This Row],[Temperature_C]],2)+2)&amp;"°C"</f>
        <v>22–24°C</v>
      </c>
      <c r="H886">
        <v>2.4900000000000002</v>
      </c>
      <c r="I886">
        <v>2026</v>
      </c>
      <c r="J886">
        <v>2</v>
      </c>
      <c r="K886">
        <v>6</v>
      </c>
      <c r="L886">
        <v>5</v>
      </c>
      <c r="M886">
        <v>20</v>
      </c>
      <c r="N886">
        <v>0.16</v>
      </c>
      <c r="O886">
        <v>0.62250000000000005</v>
      </c>
      <c r="P886" t="s">
        <v>43</v>
      </c>
    </row>
    <row r="887" spans="1:16" hidden="1" x14ac:dyDescent="0.25">
      <c r="A887" s="12">
        <v>46059.875</v>
      </c>
      <c r="B887" t="s">
        <v>7</v>
      </c>
      <c r="C887" t="s">
        <v>21</v>
      </c>
      <c r="D887">
        <v>4</v>
      </c>
      <c r="E887">
        <v>30</v>
      </c>
      <c r="F887">
        <v>23.918360334669732</v>
      </c>
      <c r="G887" t="str">
        <f>FLOOR(FinalData[[#This Row],[Temperature_C]],2)&amp;"–"&amp;(FLOOR(FinalData[[#This Row],[Temperature_C]],2)+2)&amp;"°C"</f>
        <v>22–24°C</v>
      </c>
      <c r="H887">
        <v>2</v>
      </c>
      <c r="I887">
        <v>2026</v>
      </c>
      <c r="J887">
        <v>2</v>
      </c>
      <c r="K887">
        <v>6</v>
      </c>
      <c r="L887">
        <v>5</v>
      </c>
      <c r="M887">
        <v>21</v>
      </c>
      <c r="N887">
        <v>0.13333333333333333</v>
      </c>
      <c r="O887">
        <v>0.5</v>
      </c>
      <c r="P887" t="s">
        <v>40</v>
      </c>
    </row>
    <row r="888" spans="1:16" hidden="1" x14ac:dyDescent="0.25">
      <c r="A888" s="12">
        <v>46059.916666666664</v>
      </c>
      <c r="B888" t="s">
        <v>11</v>
      </c>
      <c r="C888" t="s">
        <v>30</v>
      </c>
      <c r="D888">
        <v>11</v>
      </c>
      <c r="E888">
        <v>30</v>
      </c>
      <c r="F888">
        <v>24.736888621191859</v>
      </c>
      <c r="G888" t="str">
        <f>FLOOR(FinalData[[#This Row],[Temperature_C]],2)&amp;"–"&amp;(FLOOR(FinalData[[#This Row],[Temperature_C]],2)+2)&amp;"°C"</f>
        <v>24–26°C</v>
      </c>
      <c r="H888">
        <v>4.54</v>
      </c>
      <c r="I888">
        <v>2026</v>
      </c>
      <c r="J888">
        <v>2</v>
      </c>
      <c r="K888">
        <v>6</v>
      </c>
      <c r="L888">
        <v>5</v>
      </c>
      <c r="M888">
        <v>22</v>
      </c>
      <c r="N888">
        <v>0.36666666666666664</v>
      </c>
      <c r="O888">
        <v>0.41272727272727272</v>
      </c>
      <c r="P888" t="s">
        <v>40</v>
      </c>
    </row>
    <row r="889" spans="1:16" hidden="1" x14ac:dyDescent="0.25">
      <c r="A889" s="12">
        <v>46059.958333333336</v>
      </c>
      <c r="B889" t="s">
        <v>11</v>
      </c>
      <c r="C889" t="s">
        <v>30</v>
      </c>
      <c r="D889">
        <v>10</v>
      </c>
      <c r="E889">
        <v>30</v>
      </c>
      <c r="F889">
        <v>22.42387440329744</v>
      </c>
      <c r="G889" t="str">
        <f>FLOOR(FinalData[[#This Row],[Temperature_C]],2)&amp;"–"&amp;(FLOOR(FinalData[[#This Row],[Temperature_C]],2)+2)&amp;"°C"</f>
        <v>22–24°C</v>
      </c>
      <c r="H889">
        <v>3.49</v>
      </c>
      <c r="I889">
        <v>2026</v>
      </c>
      <c r="J889">
        <v>2</v>
      </c>
      <c r="K889">
        <v>6</v>
      </c>
      <c r="L889">
        <v>5</v>
      </c>
      <c r="M889">
        <v>23</v>
      </c>
      <c r="N889">
        <v>0.33333333333333331</v>
      </c>
      <c r="O889">
        <v>0.34900000000000003</v>
      </c>
      <c r="P889" t="s">
        <v>40</v>
      </c>
    </row>
    <row r="890" spans="1:16" hidden="1" x14ac:dyDescent="0.25">
      <c r="A890" s="12">
        <v>46060</v>
      </c>
      <c r="B890" t="s">
        <v>18</v>
      </c>
      <c r="C890" t="s">
        <v>23</v>
      </c>
      <c r="D890">
        <v>5</v>
      </c>
      <c r="E890">
        <v>20</v>
      </c>
      <c r="F890">
        <v>27.24198713169022</v>
      </c>
      <c r="G890" t="str">
        <f>FLOOR(FinalData[[#This Row],[Temperature_C]],2)&amp;"–"&amp;(FLOOR(FinalData[[#This Row],[Temperature_C]],2)+2)&amp;"°C"</f>
        <v>26–28°C</v>
      </c>
      <c r="H890">
        <v>3.13</v>
      </c>
      <c r="I890">
        <v>2026</v>
      </c>
      <c r="J890">
        <v>2</v>
      </c>
      <c r="K890">
        <v>7</v>
      </c>
      <c r="L890">
        <v>6</v>
      </c>
      <c r="M890">
        <v>0</v>
      </c>
      <c r="N890">
        <v>0.25</v>
      </c>
      <c r="O890">
        <v>0.626</v>
      </c>
      <c r="P890" t="s">
        <v>40</v>
      </c>
    </row>
    <row r="891" spans="1:16" hidden="1" x14ac:dyDescent="0.25">
      <c r="A891" s="12">
        <v>46060.041666666664</v>
      </c>
      <c r="B891" t="s">
        <v>13</v>
      </c>
      <c r="C891" t="s">
        <v>15</v>
      </c>
      <c r="D891">
        <v>9</v>
      </c>
      <c r="E891">
        <v>20</v>
      </c>
      <c r="F891">
        <v>19.749757482234951</v>
      </c>
      <c r="G891" t="str">
        <f>FLOOR(FinalData[[#This Row],[Temperature_C]],2)&amp;"–"&amp;(FLOOR(FinalData[[#This Row],[Temperature_C]],2)+2)&amp;"°C"</f>
        <v>18–20°C</v>
      </c>
      <c r="H891">
        <v>3.41</v>
      </c>
      <c r="I891">
        <v>2026</v>
      </c>
      <c r="J891">
        <v>2</v>
      </c>
      <c r="K891">
        <v>7</v>
      </c>
      <c r="L891">
        <v>6</v>
      </c>
      <c r="M891">
        <v>1</v>
      </c>
      <c r="N891">
        <v>0.45</v>
      </c>
      <c r="O891">
        <v>0.37888888888888889</v>
      </c>
      <c r="P891" t="s">
        <v>40</v>
      </c>
    </row>
    <row r="892" spans="1:16" hidden="1" x14ac:dyDescent="0.25">
      <c r="A892" s="12">
        <v>46060.083333333336</v>
      </c>
      <c r="B892" t="s">
        <v>11</v>
      </c>
      <c r="C892" t="s">
        <v>8</v>
      </c>
      <c r="D892">
        <v>8</v>
      </c>
      <c r="E892">
        <v>20</v>
      </c>
      <c r="F892">
        <v>25.9689181856514</v>
      </c>
      <c r="G892" t="str">
        <f>FLOOR(FinalData[[#This Row],[Temperature_C]],2)&amp;"–"&amp;(FLOOR(FinalData[[#This Row],[Temperature_C]],2)+2)&amp;"°C"</f>
        <v>24–26°C</v>
      </c>
      <c r="H892">
        <v>3</v>
      </c>
      <c r="I892">
        <v>2026</v>
      </c>
      <c r="J892">
        <v>2</v>
      </c>
      <c r="K892">
        <v>7</v>
      </c>
      <c r="L892">
        <v>6</v>
      </c>
      <c r="M892">
        <v>2</v>
      </c>
      <c r="N892">
        <v>0.4</v>
      </c>
      <c r="O892">
        <v>0.375</v>
      </c>
      <c r="P892" t="s">
        <v>40</v>
      </c>
    </row>
    <row r="893" spans="1:16" hidden="1" x14ac:dyDescent="0.25">
      <c r="A893" s="12">
        <v>46060.125</v>
      </c>
      <c r="B893" t="s">
        <v>13</v>
      </c>
      <c r="C893" t="s">
        <v>30</v>
      </c>
      <c r="D893">
        <v>7</v>
      </c>
      <c r="E893">
        <v>30</v>
      </c>
      <c r="F893">
        <v>22.479160933694921</v>
      </c>
      <c r="G893" t="str">
        <f>FLOOR(FinalData[[#This Row],[Temperature_C]],2)&amp;"–"&amp;(FLOOR(FinalData[[#This Row],[Temperature_C]],2)+2)&amp;"°C"</f>
        <v>22–24°C</v>
      </c>
      <c r="H893">
        <v>2.73</v>
      </c>
      <c r="I893">
        <v>2026</v>
      </c>
      <c r="J893">
        <v>2</v>
      </c>
      <c r="K893">
        <v>7</v>
      </c>
      <c r="L893">
        <v>6</v>
      </c>
      <c r="M893">
        <v>3</v>
      </c>
      <c r="N893">
        <v>0.23333333333333334</v>
      </c>
      <c r="O893">
        <v>0.39</v>
      </c>
      <c r="P893" t="s">
        <v>40</v>
      </c>
    </row>
    <row r="894" spans="1:16" hidden="1" x14ac:dyDescent="0.25">
      <c r="A894" s="12">
        <v>46060.166666666664</v>
      </c>
      <c r="B894" t="s">
        <v>7</v>
      </c>
      <c r="C894" t="s">
        <v>22</v>
      </c>
      <c r="D894">
        <v>8</v>
      </c>
      <c r="E894">
        <v>40</v>
      </c>
      <c r="F894">
        <v>22.152618566178649</v>
      </c>
      <c r="G894" t="str">
        <f>FLOOR(FinalData[[#This Row],[Temperature_C]],2)&amp;"–"&amp;(FLOOR(FinalData[[#This Row],[Temperature_C]],2)+2)&amp;"°C"</f>
        <v>22–24°C</v>
      </c>
      <c r="H894">
        <v>2.68</v>
      </c>
      <c r="I894">
        <v>2026</v>
      </c>
      <c r="J894">
        <v>2</v>
      </c>
      <c r="K894">
        <v>7</v>
      </c>
      <c r="L894">
        <v>6</v>
      </c>
      <c r="M894">
        <v>4</v>
      </c>
      <c r="N894">
        <v>0.2</v>
      </c>
      <c r="O894">
        <v>0.33500000000000002</v>
      </c>
      <c r="P894" t="s">
        <v>40</v>
      </c>
    </row>
    <row r="895" spans="1:16" hidden="1" x14ac:dyDescent="0.25">
      <c r="A895" s="12">
        <v>46060.208333333336</v>
      </c>
      <c r="B895" t="s">
        <v>18</v>
      </c>
      <c r="C895" t="s">
        <v>10</v>
      </c>
      <c r="D895">
        <v>6</v>
      </c>
      <c r="E895">
        <v>30</v>
      </c>
      <c r="F895">
        <v>24.72969844659783</v>
      </c>
      <c r="G895" t="str">
        <f>FLOOR(FinalData[[#This Row],[Temperature_C]],2)&amp;"–"&amp;(FLOOR(FinalData[[#This Row],[Temperature_C]],2)+2)&amp;"°C"</f>
        <v>24–26°C</v>
      </c>
      <c r="H895">
        <v>2.75</v>
      </c>
      <c r="I895">
        <v>2026</v>
      </c>
      <c r="J895">
        <v>2</v>
      </c>
      <c r="K895">
        <v>7</v>
      </c>
      <c r="L895">
        <v>6</v>
      </c>
      <c r="M895">
        <v>5</v>
      </c>
      <c r="N895">
        <v>0.2</v>
      </c>
      <c r="O895">
        <v>0.45833333333333331</v>
      </c>
      <c r="P895" t="s">
        <v>40</v>
      </c>
    </row>
    <row r="896" spans="1:16" hidden="1" x14ac:dyDescent="0.25">
      <c r="A896" s="12">
        <v>46060.25</v>
      </c>
      <c r="B896" t="s">
        <v>7</v>
      </c>
      <c r="C896" t="s">
        <v>12</v>
      </c>
      <c r="D896">
        <v>9</v>
      </c>
      <c r="E896">
        <v>20</v>
      </c>
      <c r="F896">
        <v>26.620605220008329</v>
      </c>
      <c r="G896" t="str">
        <f>FLOOR(FinalData[[#This Row],[Temperature_C]],2)&amp;"–"&amp;(FLOOR(FinalData[[#This Row],[Temperature_C]],2)+2)&amp;"°C"</f>
        <v>26–28°C</v>
      </c>
      <c r="H896">
        <v>3.86</v>
      </c>
      <c r="I896">
        <v>2026</v>
      </c>
      <c r="J896">
        <v>2</v>
      </c>
      <c r="K896">
        <v>7</v>
      </c>
      <c r="L896">
        <v>6</v>
      </c>
      <c r="M896">
        <v>6</v>
      </c>
      <c r="N896">
        <v>0.45</v>
      </c>
      <c r="O896">
        <v>0.42888888888888888</v>
      </c>
      <c r="P896" t="s">
        <v>40</v>
      </c>
    </row>
    <row r="897" spans="1:16" hidden="1" x14ac:dyDescent="0.25">
      <c r="A897" s="12">
        <v>46060.291666666664</v>
      </c>
      <c r="B897" t="s">
        <v>13</v>
      </c>
      <c r="C897" t="s">
        <v>25</v>
      </c>
      <c r="D897">
        <v>10</v>
      </c>
      <c r="E897">
        <v>20</v>
      </c>
      <c r="F897">
        <v>21.942167241790688</v>
      </c>
      <c r="G897" t="str">
        <f>FLOOR(FinalData[[#This Row],[Temperature_C]],2)&amp;"–"&amp;(FLOOR(FinalData[[#This Row],[Temperature_C]],2)+2)&amp;"°C"</f>
        <v>20–22°C</v>
      </c>
      <c r="H897">
        <v>3.54</v>
      </c>
      <c r="I897">
        <v>2026</v>
      </c>
      <c r="J897">
        <v>2</v>
      </c>
      <c r="K897">
        <v>7</v>
      </c>
      <c r="L897">
        <v>6</v>
      </c>
      <c r="M897">
        <v>7</v>
      </c>
      <c r="N897">
        <v>0.5</v>
      </c>
      <c r="O897">
        <v>0.35399999999999998</v>
      </c>
      <c r="P897" t="s">
        <v>41</v>
      </c>
    </row>
    <row r="898" spans="1:16" hidden="1" x14ac:dyDescent="0.25">
      <c r="A898" s="12">
        <v>46060.333333333336</v>
      </c>
      <c r="B898" t="s">
        <v>18</v>
      </c>
      <c r="C898" t="s">
        <v>16</v>
      </c>
      <c r="D898">
        <v>9</v>
      </c>
      <c r="E898">
        <v>25</v>
      </c>
      <c r="F898">
        <v>20.89912474248807</v>
      </c>
      <c r="G898" t="str">
        <f>FLOOR(FinalData[[#This Row],[Temperature_C]],2)&amp;"–"&amp;(FLOOR(FinalData[[#This Row],[Temperature_C]],2)+2)&amp;"°C"</f>
        <v>20–22°C</v>
      </c>
      <c r="H898">
        <v>3.47</v>
      </c>
      <c r="I898">
        <v>2026</v>
      </c>
      <c r="J898">
        <v>2</v>
      </c>
      <c r="K898">
        <v>7</v>
      </c>
      <c r="L898">
        <v>6</v>
      </c>
      <c r="M898">
        <v>8</v>
      </c>
      <c r="N898">
        <v>0.36</v>
      </c>
      <c r="O898">
        <v>0.3855555555555556</v>
      </c>
      <c r="P898" t="s">
        <v>41</v>
      </c>
    </row>
    <row r="899" spans="1:16" x14ac:dyDescent="0.25">
      <c r="A899" s="12">
        <v>46060.375</v>
      </c>
      <c r="B899" t="s">
        <v>11</v>
      </c>
      <c r="C899" t="s">
        <v>24</v>
      </c>
      <c r="D899">
        <v>3</v>
      </c>
      <c r="E899">
        <v>20</v>
      </c>
      <c r="F899">
        <v>23.08379184230855</v>
      </c>
      <c r="G899" t="str">
        <f>FLOOR(FinalData[[#This Row],[Temperature_C]],2)&amp;"–"&amp;(FLOOR(FinalData[[#This Row],[Temperature_C]],2)+2)&amp;"°C"</f>
        <v>22–24°C</v>
      </c>
      <c r="H899">
        <v>2.5</v>
      </c>
      <c r="I899">
        <v>2026</v>
      </c>
      <c r="J899">
        <v>2</v>
      </c>
      <c r="K899">
        <v>7</v>
      </c>
      <c r="L899">
        <v>6</v>
      </c>
      <c r="M899">
        <v>9</v>
      </c>
      <c r="N899">
        <v>0.15</v>
      </c>
      <c r="O899">
        <v>0.83333333333333337</v>
      </c>
      <c r="P899" t="s">
        <v>41</v>
      </c>
    </row>
    <row r="900" spans="1:16" x14ac:dyDescent="0.25">
      <c r="A900" s="12">
        <v>46060.416666666664</v>
      </c>
      <c r="B900" t="s">
        <v>11</v>
      </c>
      <c r="C900" t="s">
        <v>31</v>
      </c>
      <c r="D900">
        <v>9</v>
      </c>
      <c r="E900">
        <v>25</v>
      </c>
      <c r="F900">
        <v>22.038851173595049</v>
      </c>
      <c r="G900" t="str">
        <f>FLOOR(FinalData[[#This Row],[Temperature_C]],2)&amp;"–"&amp;(FLOOR(FinalData[[#This Row],[Temperature_C]],2)+2)&amp;"°C"</f>
        <v>22–24°C</v>
      </c>
      <c r="H900">
        <v>2.4900000000000002</v>
      </c>
      <c r="I900">
        <v>2026</v>
      </c>
      <c r="J900">
        <v>2</v>
      </c>
      <c r="K900">
        <v>7</v>
      </c>
      <c r="L900">
        <v>6</v>
      </c>
      <c r="M900">
        <v>10</v>
      </c>
      <c r="N900">
        <v>0.36</v>
      </c>
      <c r="O900">
        <v>0.27666666666666667</v>
      </c>
      <c r="P900" t="s">
        <v>41</v>
      </c>
    </row>
    <row r="901" spans="1:16" hidden="1" x14ac:dyDescent="0.25">
      <c r="A901" s="12">
        <v>46060.458333333336</v>
      </c>
      <c r="B901" t="s">
        <v>7</v>
      </c>
      <c r="C901" t="s">
        <v>14</v>
      </c>
      <c r="D901">
        <v>10</v>
      </c>
      <c r="E901">
        <v>40</v>
      </c>
      <c r="F901">
        <v>24.327682722510929</v>
      </c>
      <c r="G901" t="str">
        <f>FLOOR(FinalData[[#This Row],[Temperature_C]],2)&amp;"–"&amp;(FLOOR(FinalData[[#This Row],[Temperature_C]],2)+2)&amp;"°C"</f>
        <v>24–26°C</v>
      </c>
      <c r="H901">
        <v>3.59</v>
      </c>
      <c r="I901">
        <v>2026</v>
      </c>
      <c r="J901">
        <v>2</v>
      </c>
      <c r="K901">
        <v>7</v>
      </c>
      <c r="L901">
        <v>6</v>
      </c>
      <c r="M901">
        <v>11</v>
      </c>
      <c r="N901">
        <v>0.25</v>
      </c>
      <c r="O901">
        <v>0.35899999999999999</v>
      </c>
      <c r="P901" t="s">
        <v>41</v>
      </c>
    </row>
    <row r="902" spans="1:16" hidden="1" x14ac:dyDescent="0.25">
      <c r="A902" s="12">
        <v>46060.5</v>
      </c>
      <c r="B902" t="s">
        <v>13</v>
      </c>
      <c r="C902" t="s">
        <v>23</v>
      </c>
      <c r="D902">
        <v>5</v>
      </c>
      <c r="E902">
        <v>40</v>
      </c>
      <c r="F902">
        <v>23.145486657394461</v>
      </c>
      <c r="G902" t="str">
        <f>FLOOR(FinalData[[#This Row],[Temperature_C]],2)&amp;"–"&amp;(FLOOR(FinalData[[#This Row],[Temperature_C]],2)+2)&amp;"°C"</f>
        <v>22–24°C</v>
      </c>
      <c r="H902">
        <v>1.87</v>
      </c>
      <c r="I902">
        <v>2026</v>
      </c>
      <c r="J902">
        <v>2</v>
      </c>
      <c r="K902">
        <v>7</v>
      </c>
      <c r="L902">
        <v>6</v>
      </c>
      <c r="M902">
        <v>12</v>
      </c>
      <c r="N902">
        <v>0.125</v>
      </c>
      <c r="O902">
        <v>0.374</v>
      </c>
      <c r="P902" t="s">
        <v>42</v>
      </c>
    </row>
    <row r="903" spans="1:16" hidden="1" x14ac:dyDescent="0.25">
      <c r="A903" s="12">
        <v>46060.541666666664</v>
      </c>
      <c r="B903" t="s">
        <v>7</v>
      </c>
      <c r="C903" t="s">
        <v>27</v>
      </c>
      <c r="D903">
        <v>6</v>
      </c>
      <c r="E903">
        <v>25</v>
      </c>
      <c r="F903">
        <v>24.75802830911401</v>
      </c>
      <c r="G903" t="str">
        <f>FLOOR(FinalData[[#This Row],[Temperature_C]],2)&amp;"–"&amp;(FLOOR(FinalData[[#This Row],[Temperature_C]],2)+2)&amp;"°C"</f>
        <v>24–26°C</v>
      </c>
      <c r="H903">
        <v>2.4300000000000002</v>
      </c>
      <c r="I903">
        <v>2026</v>
      </c>
      <c r="J903">
        <v>2</v>
      </c>
      <c r="K903">
        <v>7</v>
      </c>
      <c r="L903">
        <v>6</v>
      </c>
      <c r="M903">
        <v>13</v>
      </c>
      <c r="N903">
        <v>0.24</v>
      </c>
      <c r="O903">
        <v>0.40500000000000003</v>
      </c>
      <c r="P903" t="s">
        <v>42</v>
      </c>
    </row>
    <row r="904" spans="1:16" hidden="1" x14ac:dyDescent="0.25">
      <c r="A904" s="12">
        <v>46060.583333333336</v>
      </c>
      <c r="B904" t="s">
        <v>13</v>
      </c>
      <c r="C904" t="s">
        <v>27</v>
      </c>
      <c r="D904">
        <v>9</v>
      </c>
      <c r="E904">
        <v>30</v>
      </c>
      <c r="F904">
        <v>19.939441728140419</v>
      </c>
      <c r="G904" t="str">
        <f>FLOOR(FinalData[[#This Row],[Temperature_C]],2)&amp;"–"&amp;(FLOOR(FinalData[[#This Row],[Temperature_C]],2)+2)&amp;"°C"</f>
        <v>18–20°C</v>
      </c>
      <c r="H904">
        <v>3.32</v>
      </c>
      <c r="I904">
        <v>2026</v>
      </c>
      <c r="J904">
        <v>2</v>
      </c>
      <c r="K904">
        <v>7</v>
      </c>
      <c r="L904">
        <v>6</v>
      </c>
      <c r="M904">
        <v>14</v>
      </c>
      <c r="N904">
        <v>0.3</v>
      </c>
      <c r="O904">
        <v>0.36888888888888888</v>
      </c>
      <c r="P904" t="s">
        <v>42</v>
      </c>
    </row>
    <row r="905" spans="1:16" hidden="1" x14ac:dyDescent="0.25">
      <c r="A905" s="12">
        <v>46060.625</v>
      </c>
      <c r="B905" t="s">
        <v>7</v>
      </c>
      <c r="C905" t="s">
        <v>23</v>
      </c>
      <c r="D905">
        <v>6</v>
      </c>
      <c r="E905">
        <v>20</v>
      </c>
      <c r="F905">
        <v>22.01159690167459</v>
      </c>
      <c r="G905" t="str">
        <f>FLOOR(FinalData[[#This Row],[Temperature_C]],2)&amp;"–"&amp;(FLOOR(FinalData[[#This Row],[Temperature_C]],2)+2)&amp;"°C"</f>
        <v>22–24°C</v>
      </c>
      <c r="H905">
        <v>1.86</v>
      </c>
      <c r="I905">
        <v>2026</v>
      </c>
      <c r="J905">
        <v>2</v>
      </c>
      <c r="K905">
        <v>7</v>
      </c>
      <c r="L905">
        <v>6</v>
      </c>
      <c r="M905">
        <v>15</v>
      </c>
      <c r="N905">
        <v>0.3</v>
      </c>
      <c r="O905">
        <v>0.31</v>
      </c>
      <c r="P905" t="s">
        <v>42</v>
      </c>
    </row>
    <row r="906" spans="1:16" hidden="1" x14ac:dyDescent="0.25">
      <c r="A906" s="12">
        <v>46060.666666666664</v>
      </c>
      <c r="B906" t="s">
        <v>18</v>
      </c>
      <c r="C906" t="s">
        <v>10</v>
      </c>
      <c r="D906">
        <v>8</v>
      </c>
      <c r="E906">
        <v>25</v>
      </c>
      <c r="F906">
        <v>21.99115463340566</v>
      </c>
      <c r="G906" t="str">
        <f>FLOOR(FinalData[[#This Row],[Temperature_C]],2)&amp;"–"&amp;(FLOOR(FinalData[[#This Row],[Temperature_C]],2)+2)&amp;"°C"</f>
        <v>20–22°C</v>
      </c>
      <c r="H906">
        <v>2.35</v>
      </c>
      <c r="I906">
        <v>2026</v>
      </c>
      <c r="J906">
        <v>2</v>
      </c>
      <c r="K906">
        <v>7</v>
      </c>
      <c r="L906">
        <v>6</v>
      </c>
      <c r="M906">
        <v>16</v>
      </c>
      <c r="N906">
        <v>0.32</v>
      </c>
      <c r="O906">
        <v>0.29375000000000001</v>
      </c>
      <c r="P906" t="s">
        <v>42</v>
      </c>
    </row>
    <row r="907" spans="1:16" hidden="1" x14ac:dyDescent="0.25">
      <c r="A907" s="12">
        <v>46060.708333333336</v>
      </c>
      <c r="B907" t="s">
        <v>18</v>
      </c>
      <c r="C907" t="s">
        <v>8</v>
      </c>
      <c r="D907">
        <v>10</v>
      </c>
      <c r="E907">
        <v>20</v>
      </c>
      <c r="F907">
        <v>28.36101774326649</v>
      </c>
      <c r="G907" t="str">
        <f>FLOOR(FinalData[[#This Row],[Temperature_C]],2)&amp;"–"&amp;(FLOOR(FinalData[[#This Row],[Temperature_C]],2)+2)&amp;"°C"</f>
        <v>28–30°C</v>
      </c>
      <c r="H907">
        <v>4.13</v>
      </c>
      <c r="I907">
        <v>2026</v>
      </c>
      <c r="J907">
        <v>2</v>
      </c>
      <c r="K907">
        <v>7</v>
      </c>
      <c r="L907">
        <v>6</v>
      </c>
      <c r="M907">
        <v>17</v>
      </c>
      <c r="N907">
        <v>0.5</v>
      </c>
      <c r="O907">
        <v>0.41299999999999998</v>
      </c>
      <c r="P907" t="s">
        <v>43</v>
      </c>
    </row>
    <row r="908" spans="1:16" hidden="1" x14ac:dyDescent="0.25">
      <c r="A908" s="12">
        <v>46060.75</v>
      </c>
      <c r="B908" t="s">
        <v>9</v>
      </c>
      <c r="C908" t="s">
        <v>24</v>
      </c>
      <c r="D908">
        <v>7</v>
      </c>
      <c r="E908">
        <v>30</v>
      </c>
      <c r="F908">
        <v>24.752426148544689</v>
      </c>
      <c r="G908" t="str">
        <f>FLOOR(FinalData[[#This Row],[Temperature_C]],2)&amp;"–"&amp;(FLOOR(FinalData[[#This Row],[Temperature_C]],2)+2)&amp;"°C"</f>
        <v>24–26°C</v>
      </c>
      <c r="H908">
        <v>3.06</v>
      </c>
      <c r="I908">
        <v>2026</v>
      </c>
      <c r="J908">
        <v>2</v>
      </c>
      <c r="K908">
        <v>7</v>
      </c>
      <c r="L908">
        <v>6</v>
      </c>
      <c r="M908">
        <v>18</v>
      </c>
      <c r="N908">
        <v>0.23333333333333334</v>
      </c>
      <c r="O908">
        <v>0.43714285714285717</v>
      </c>
      <c r="P908" t="s">
        <v>43</v>
      </c>
    </row>
    <row r="909" spans="1:16" hidden="1" x14ac:dyDescent="0.25">
      <c r="A909" s="12">
        <v>46060.791666666664</v>
      </c>
      <c r="B909" t="s">
        <v>11</v>
      </c>
      <c r="C909" t="s">
        <v>8</v>
      </c>
      <c r="D909">
        <v>6</v>
      </c>
      <c r="E909">
        <v>25</v>
      </c>
      <c r="F909">
        <v>26.200195693640961</v>
      </c>
      <c r="G909" t="str">
        <f>FLOOR(FinalData[[#This Row],[Temperature_C]],2)&amp;"–"&amp;(FLOOR(FinalData[[#This Row],[Temperature_C]],2)+2)&amp;"°C"</f>
        <v>26–28°C</v>
      </c>
      <c r="H909">
        <v>3.39</v>
      </c>
      <c r="I909">
        <v>2026</v>
      </c>
      <c r="J909">
        <v>2</v>
      </c>
      <c r="K909">
        <v>7</v>
      </c>
      <c r="L909">
        <v>6</v>
      </c>
      <c r="M909">
        <v>19</v>
      </c>
      <c r="N909">
        <v>0.24</v>
      </c>
      <c r="O909">
        <v>0.56500000000000006</v>
      </c>
      <c r="P909" t="s">
        <v>43</v>
      </c>
    </row>
    <row r="910" spans="1:16" hidden="1" x14ac:dyDescent="0.25">
      <c r="A910" s="12">
        <v>46060.833333333336</v>
      </c>
      <c r="B910" t="s">
        <v>9</v>
      </c>
      <c r="C910" t="s">
        <v>19</v>
      </c>
      <c r="D910">
        <v>12</v>
      </c>
      <c r="E910">
        <v>20</v>
      </c>
      <c r="F910">
        <v>22.372542553880301</v>
      </c>
      <c r="G910" t="str">
        <f>FLOOR(FinalData[[#This Row],[Temperature_C]],2)&amp;"–"&amp;(FLOOR(FinalData[[#This Row],[Temperature_C]],2)+2)&amp;"°C"</f>
        <v>22–24°C</v>
      </c>
      <c r="H910">
        <v>3.78</v>
      </c>
      <c r="I910">
        <v>2026</v>
      </c>
      <c r="J910">
        <v>2</v>
      </c>
      <c r="K910">
        <v>7</v>
      </c>
      <c r="L910">
        <v>6</v>
      </c>
      <c r="M910">
        <v>20</v>
      </c>
      <c r="N910">
        <v>0.6</v>
      </c>
      <c r="O910">
        <v>0.315</v>
      </c>
      <c r="P910" t="s">
        <v>43</v>
      </c>
    </row>
    <row r="911" spans="1:16" hidden="1" x14ac:dyDescent="0.25">
      <c r="A911" s="12">
        <v>46060.875</v>
      </c>
      <c r="B911" t="s">
        <v>11</v>
      </c>
      <c r="C911" t="s">
        <v>30</v>
      </c>
      <c r="D911">
        <v>13</v>
      </c>
      <c r="E911">
        <v>25</v>
      </c>
      <c r="F911">
        <v>21.47428911560689</v>
      </c>
      <c r="G911" t="str">
        <f>FLOOR(FinalData[[#This Row],[Temperature_C]],2)&amp;"–"&amp;(FLOOR(FinalData[[#This Row],[Temperature_C]],2)+2)&amp;"°C"</f>
        <v>20–22°C</v>
      </c>
      <c r="H911">
        <v>3.98</v>
      </c>
      <c r="I911">
        <v>2026</v>
      </c>
      <c r="J911">
        <v>2</v>
      </c>
      <c r="K911">
        <v>7</v>
      </c>
      <c r="L911">
        <v>6</v>
      </c>
      <c r="M911">
        <v>21</v>
      </c>
      <c r="N911">
        <v>0.52</v>
      </c>
      <c r="O911">
        <v>0.30615384615384617</v>
      </c>
      <c r="P911" t="s">
        <v>40</v>
      </c>
    </row>
    <row r="912" spans="1:16" hidden="1" x14ac:dyDescent="0.25">
      <c r="A912" s="12">
        <v>46060.916666666664</v>
      </c>
      <c r="B912" t="s">
        <v>18</v>
      </c>
      <c r="C912" t="s">
        <v>27</v>
      </c>
      <c r="D912">
        <v>8</v>
      </c>
      <c r="E912">
        <v>25</v>
      </c>
      <c r="F912">
        <v>21.4259274421334</v>
      </c>
      <c r="G912" t="str">
        <f>FLOOR(FinalData[[#This Row],[Temperature_C]],2)&amp;"–"&amp;(FLOOR(FinalData[[#This Row],[Temperature_C]],2)+2)&amp;"°C"</f>
        <v>20–22°C</v>
      </c>
      <c r="H912">
        <v>2.59</v>
      </c>
      <c r="I912">
        <v>2026</v>
      </c>
      <c r="J912">
        <v>2</v>
      </c>
      <c r="K912">
        <v>7</v>
      </c>
      <c r="L912">
        <v>6</v>
      </c>
      <c r="M912">
        <v>22</v>
      </c>
      <c r="N912">
        <v>0.32</v>
      </c>
      <c r="O912">
        <v>0.32374999999999998</v>
      </c>
      <c r="P912" t="s">
        <v>40</v>
      </c>
    </row>
    <row r="913" spans="1:16" hidden="1" x14ac:dyDescent="0.25">
      <c r="A913" s="12">
        <v>46060.958333333336</v>
      </c>
      <c r="B913" t="s">
        <v>13</v>
      </c>
      <c r="C913" t="s">
        <v>23</v>
      </c>
      <c r="D913">
        <v>9</v>
      </c>
      <c r="E913">
        <v>25</v>
      </c>
      <c r="F913">
        <v>24.089249148998679</v>
      </c>
      <c r="G913" t="str">
        <f>FLOOR(FinalData[[#This Row],[Temperature_C]],2)&amp;"–"&amp;(FLOOR(FinalData[[#This Row],[Temperature_C]],2)+2)&amp;"°C"</f>
        <v>24–26°C</v>
      </c>
      <c r="H913">
        <v>3.5</v>
      </c>
      <c r="I913">
        <v>2026</v>
      </c>
      <c r="J913">
        <v>2</v>
      </c>
      <c r="K913">
        <v>7</v>
      </c>
      <c r="L913">
        <v>6</v>
      </c>
      <c r="M913">
        <v>23</v>
      </c>
      <c r="N913">
        <v>0.36</v>
      </c>
      <c r="O913">
        <v>0.3888888888888889</v>
      </c>
      <c r="P913" t="s">
        <v>40</v>
      </c>
    </row>
    <row r="914" spans="1:16" hidden="1" x14ac:dyDescent="0.25">
      <c r="A914" s="12">
        <v>46061</v>
      </c>
      <c r="B914" t="s">
        <v>9</v>
      </c>
      <c r="C914" t="s">
        <v>30</v>
      </c>
      <c r="D914">
        <v>5</v>
      </c>
      <c r="E914">
        <v>25</v>
      </c>
      <c r="F914">
        <v>22.134724967332939</v>
      </c>
      <c r="G914" t="str">
        <f>FLOOR(FinalData[[#This Row],[Temperature_C]],2)&amp;"–"&amp;(FLOOR(FinalData[[#This Row],[Temperature_C]],2)+2)&amp;"°C"</f>
        <v>22–24°C</v>
      </c>
      <c r="H914">
        <v>2.73</v>
      </c>
      <c r="I914">
        <v>2026</v>
      </c>
      <c r="J914">
        <v>2</v>
      </c>
      <c r="K914">
        <v>8</v>
      </c>
      <c r="L914">
        <v>0</v>
      </c>
      <c r="M914">
        <v>0</v>
      </c>
      <c r="N914">
        <v>0.2</v>
      </c>
      <c r="O914">
        <v>0.54600000000000004</v>
      </c>
      <c r="P914" t="s">
        <v>40</v>
      </c>
    </row>
    <row r="915" spans="1:16" hidden="1" x14ac:dyDescent="0.25">
      <c r="A915" s="12">
        <v>46061.041666666664</v>
      </c>
      <c r="B915" t="s">
        <v>9</v>
      </c>
      <c r="C915" t="s">
        <v>8</v>
      </c>
      <c r="D915">
        <v>12</v>
      </c>
      <c r="E915">
        <v>30</v>
      </c>
      <c r="F915">
        <v>22.454679119550171</v>
      </c>
      <c r="G915" t="str">
        <f>FLOOR(FinalData[[#This Row],[Temperature_C]],2)&amp;"–"&amp;(FLOOR(FinalData[[#This Row],[Temperature_C]],2)+2)&amp;"°C"</f>
        <v>22–24°C</v>
      </c>
      <c r="H915">
        <v>4.47</v>
      </c>
      <c r="I915">
        <v>2026</v>
      </c>
      <c r="J915">
        <v>2</v>
      </c>
      <c r="K915">
        <v>8</v>
      </c>
      <c r="L915">
        <v>0</v>
      </c>
      <c r="M915">
        <v>1</v>
      </c>
      <c r="N915">
        <v>0.4</v>
      </c>
      <c r="O915">
        <v>0.3725</v>
      </c>
      <c r="P915" t="s">
        <v>40</v>
      </c>
    </row>
    <row r="916" spans="1:16" hidden="1" x14ac:dyDescent="0.25">
      <c r="A916" s="12">
        <v>46061.083333333336</v>
      </c>
      <c r="B916" t="s">
        <v>11</v>
      </c>
      <c r="C916" t="s">
        <v>26</v>
      </c>
      <c r="D916">
        <v>10</v>
      </c>
      <c r="E916">
        <v>40</v>
      </c>
      <c r="F916">
        <v>29.754765838165291</v>
      </c>
      <c r="G916" t="str">
        <f>FLOOR(FinalData[[#This Row],[Temperature_C]],2)&amp;"–"&amp;(FLOOR(FinalData[[#This Row],[Temperature_C]],2)+2)&amp;"°C"</f>
        <v>28–30°C</v>
      </c>
      <c r="H916">
        <v>4.67</v>
      </c>
      <c r="I916">
        <v>2026</v>
      </c>
      <c r="J916">
        <v>2</v>
      </c>
      <c r="K916">
        <v>8</v>
      </c>
      <c r="L916">
        <v>0</v>
      </c>
      <c r="M916">
        <v>2</v>
      </c>
      <c r="N916">
        <v>0.25</v>
      </c>
      <c r="O916">
        <v>0.46699999999999997</v>
      </c>
      <c r="P916" t="s">
        <v>40</v>
      </c>
    </row>
    <row r="917" spans="1:16" hidden="1" x14ac:dyDescent="0.25">
      <c r="A917" s="12">
        <v>46061.125</v>
      </c>
      <c r="B917" t="s">
        <v>7</v>
      </c>
      <c r="C917" t="s">
        <v>21</v>
      </c>
      <c r="D917">
        <v>11</v>
      </c>
      <c r="E917">
        <v>30</v>
      </c>
      <c r="F917">
        <v>21.96272400503085</v>
      </c>
      <c r="G917" t="str">
        <f>FLOOR(FinalData[[#This Row],[Temperature_C]],2)&amp;"–"&amp;(FLOOR(FinalData[[#This Row],[Temperature_C]],2)+2)&amp;"°C"</f>
        <v>20–22°C</v>
      </c>
      <c r="H917">
        <v>4.07</v>
      </c>
      <c r="I917">
        <v>2026</v>
      </c>
      <c r="J917">
        <v>2</v>
      </c>
      <c r="K917">
        <v>8</v>
      </c>
      <c r="L917">
        <v>0</v>
      </c>
      <c r="M917">
        <v>3</v>
      </c>
      <c r="N917">
        <v>0.36666666666666664</v>
      </c>
      <c r="O917">
        <v>0.37000000000000005</v>
      </c>
      <c r="P917" t="s">
        <v>40</v>
      </c>
    </row>
    <row r="918" spans="1:16" hidden="1" x14ac:dyDescent="0.25">
      <c r="A918" s="12">
        <v>46061.166666666664</v>
      </c>
      <c r="B918" t="s">
        <v>9</v>
      </c>
      <c r="C918" t="s">
        <v>29</v>
      </c>
      <c r="D918">
        <v>7</v>
      </c>
      <c r="E918">
        <v>40</v>
      </c>
      <c r="F918">
        <v>20.04668555296389</v>
      </c>
      <c r="G918" t="str">
        <f>FLOOR(FinalData[[#This Row],[Temperature_C]],2)&amp;"–"&amp;(FLOOR(FinalData[[#This Row],[Temperature_C]],2)+2)&amp;"°C"</f>
        <v>20–22°C</v>
      </c>
      <c r="H918">
        <v>3.16</v>
      </c>
      <c r="I918">
        <v>2026</v>
      </c>
      <c r="J918">
        <v>2</v>
      </c>
      <c r="K918">
        <v>8</v>
      </c>
      <c r="L918">
        <v>0</v>
      </c>
      <c r="M918">
        <v>4</v>
      </c>
      <c r="N918">
        <v>0.17499999999999999</v>
      </c>
      <c r="O918">
        <v>0.45142857142857146</v>
      </c>
      <c r="P918" t="s">
        <v>40</v>
      </c>
    </row>
    <row r="919" spans="1:16" hidden="1" x14ac:dyDescent="0.25">
      <c r="A919" s="12">
        <v>46061.208333333336</v>
      </c>
      <c r="B919" t="s">
        <v>7</v>
      </c>
      <c r="C919" t="s">
        <v>24</v>
      </c>
      <c r="D919">
        <v>3</v>
      </c>
      <c r="E919">
        <v>40</v>
      </c>
      <c r="F919">
        <v>20.75224318974881</v>
      </c>
      <c r="G919" t="str">
        <f>FLOOR(FinalData[[#This Row],[Temperature_C]],2)&amp;"–"&amp;(FLOOR(FinalData[[#This Row],[Temperature_C]],2)+2)&amp;"°C"</f>
        <v>20–22°C</v>
      </c>
      <c r="H919">
        <v>1.85</v>
      </c>
      <c r="I919">
        <v>2026</v>
      </c>
      <c r="J919">
        <v>2</v>
      </c>
      <c r="K919">
        <v>8</v>
      </c>
      <c r="L919">
        <v>0</v>
      </c>
      <c r="M919">
        <v>5</v>
      </c>
      <c r="N919">
        <v>7.4999999999999997E-2</v>
      </c>
      <c r="O919">
        <v>0.6166666666666667</v>
      </c>
      <c r="P919" t="s">
        <v>40</v>
      </c>
    </row>
    <row r="920" spans="1:16" hidden="1" x14ac:dyDescent="0.25">
      <c r="A920" s="12">
        <v>46061.25</v>
      </c>
      <c r="B920" t="s">
        <v>7</v>
      </c>
      <c r="C920" t="s">
        <v>21</v>
      </c>
      <c r="D920">
        <v>4</v>
      </c>
      <c r="E920">
        <v>25</v>
      </c>
      <c r="F920">
        <v>25.054091704355521</v>
      </c>
      <c r="G920" t="str">
        <f>FLOOR(FinalData[[#This Row],[Temperature_C]],2)&amp;"–"&amp;(FLOOR(FinalData[[#This Row],[Temperature_C]],2)+2)&amp;"°C"</f>
        <v>24–26°C</v>
      </c>
      <c r="H920">
        <v>2.0699999999999998</v>
      </c>
      <c r="I920">
        <v>2026</v>
      </c>
      <c r="J920">
        <v>2</v>
      </c>
      <c r="K920">
        <v>8</v>
      </c>
      <c r="L920">
        <v>0</v>
      </c>
      <c r="M920">
        <v>6</v>
      </c>
      <c r="N920">
        <v>0.16</v>
      </c>
      <c r="O920">
        <v>0.51749999999999996</v>
      </c>
      <c r="P920" t="s">
        <v>40</v>
      </c>
    </row>
    <row r="921" spans="1:16" x14ac:dyDescent="0.25">
      <c r="A921" s="12">
        <v>46061.291666666664</v>
      </c>
      <c r="B921" t="s">
        <v>11</v>
      </c>
      <c r="C921" t="s">
        <v>26</v>
      </c>
      <c r="D921">
        <v>8</v>
      </c>
      <c r="E921">
        <v>40</v>
      </c>
      <c r="F921">
        <v>22.823253424947211</v>
      </c>
      <c r="G921" t="str">
        <f>FLOOR(FinalData[[#This Row],[Temperature_C]],2)&amp;"–"&amp;(FLOOR(FinalData[[#This Row],[Temperature_C]],2)+2)&amp;"°C"</f>
        <v>22–24°C</v>
      </c>
      <c r="H921">
        <v>3.59</v>
      </c>
      <c r="I921">
        <v>2026</v>
      </c>
      <c r="J921">
        <v>2</v>
      </c>
      <c r="K921">
        <v>8</v>
      </c>
      <c r="L921">
        <v>0</v>
      </c>
      <c r="M921">
        <v>7</v>
      </c>
      <c r="N921">
        <v>0.2</v>
      </c>
      <c r="O921">
        <v>0.44874999999999998</v>
      </c>
      <c r="P921" t="s">
        <v>41</v>
      </c>
    </row>
    <row r="922" spans="1:16" hidden="1" x14ac:dyDescent="0.25">
      <c r="A922" s="12">
        <v>46061.333333333336</v>
      </c>
      <c r="B922" t="s">
        <v>7</v>
      </c>
      <c r="C922" t="s">
        <v>20</v>
      </c>
      <c r="D922">
        <v>11</v>
      </c>
      <c r="E922">
        <v>30</v>
      </c>
      <c r="F922">
        <v>24.662997733863321</v>
      </c>
      <c r="G922" t="str">
        <f>FLOOR(FinalData[[#This Row],[Temperature_C]],2)&amp;"–"&amp;(FLOOR(FinalData[[#This Row],[Temperature_C]],2)+2)&amp;"°C"</f>
        <v>24–26°C</v>
      </c>
      <c r="H922">
        <v>4.1900000000000004</v>
      </c>
      <c r="I922">
        <v>2026</v>
      </c>
      <c r="J922">
        <v>2</v>
      </c>
      <c r="K922">
        <v>8</v>
      </c>
      <c r="L922">
        <v>0</v>
      </c>
      <c r="M922">
        <v>8</v>
      </c>
      <c r="N922">
        <v>0.36666666666666664</v>
      </c>
      <c r="O922">
        <v>0.38090909090909092</v>
      </c>
      <c r="P922" t="s">
        <v>41</v>
      </c>
    </row>
    <row r="923" spans="1:16" hidden="1" x14ac:dyDescent="0.25">
      <c r="A923" s="12">
        <v>46061.375</v>
      </c>
      <c r="B923" t="s">
        <v>18</v>
      </c>
      <c r="C923" t="s">
        <v>19</v>
      </c>
      <c r="D923">
        <v>6</v>
      </c>
      <c r="E923">
        <v>30</v>
      </c>
      <c r="F923">
        <v>21.07110745920507</v>
      </c>
      <c r="G923" t="str">
        <f>FLOOR(FinalData[[#This Row],[Temperature_C]],2)&amp;"–"&amp;(FLOOR(FinalData[[#This Row],[Temperature_C]],2)+2)&amp;"°C"</f>
        <v>20–22°C</v>
      </c>
      <c r="H923">
        <v>2.42</v>
      </c>
      <c r="I923">
        <v>2026</v>
      </c>
      <c r="J923">
        <v>2</v>
      </c>
      <c r="K923">
        <v>8</v>
      </c>
      <c r="L923">
        <v>0</v>
      </c>
      <c r="M923">
        <v>9</v>
      </c>
      <c r="N923">
        <v>0.2</v>
      </c>
      <c r="O923">
        <v>0.40333333333333332</v>
      </c>
      <c r="P923" t="s">
        <v>41</v>
      </c>
    </row>
    <row r="924" spans="1:16" hidden="1" x14ac:dyDescent="0.25">
      <c r="A924" s="12">
        <v>46061.416666666664</v>
      </c>
      <c r="B924" t="s">
        <v>7</v>
      </c>
      <c r="C924" t="s">
        <v>14</v>
      </c>
      <c r="D924">
        <v>12</v>
      </c>
      <c r="E924">
        <v>20</v>
      </c>
      <c r="F924">
        <v>23.13157729729793</v>
      </c>
      <c r="G924" t="str">
        <f>FLOOR(FinalData[[#This Row],[Temperature_C]],2)&amp;"–"&amp;(FLOOR(FinalData[[#This Row],[Temperature_C]],2)+2)&amp;"°C"</f>
        <v>22–24°C</v>
      </c>
      <c r="H924">
        <v>4.47</v>
      </c>
      <c r="I924">
        <v>2026</v>
      </c>
      <c r="J924">
        <v>2</v>
      </c>
      <c r="K924">
        <v>8</v>
      </c>
      <c r="L924">
        <v>0</v>
      </c>
      <c r="M924">
        <v>10</v>
      </c>
      <c r="N924">
        <v>0.6</v>
      </c>
      <c r="O924">
        <v>0.3725</v>
      </c>
      <c r="P924" t="s">
        <v>41</v>
      </c>
    </row>
    <row r="925" spans="1:16" hidden="1" x14ac:dyDescent="0.25">
      <c r="A925" s="12">
        <v>46061.458333333336</v>
      </c>
      <c r="B925" t="s">
        <v>9</v>
      </c>
      <c r="C925" t="s">
        <v>20</v>
      </c>
      <c r="D925">
        <v>6</v>
      </c>
      <c r="E925">
        <v>30</v>
      </c>
      <c r="F925">
        <v>24.575862504992109</v>
      </c>
      <c r="G925" t="str">
        <f>FLOOR(FinalData[[#This Row],[Temperature_C]],2)&amp;"–"&amp;(FLOOR(FinalData[[#This Row],[Temperature_C]],2)+2)&amp;"°C"</f>
        <v>24–26°C</v>
      </c>
      <c r="H925">
        <v>2.82</v>
      </c>
      <c r="I925">
        <v>2026</v>
      </c>
      <c r="J925">
        <v>2</v>
      </c>
      <c r="K925">
        <v>8</v>
      </c>
      <c r="L925">
        <v>0</v>
      </c>
      <c r="M925">
        <v>11</v>
      </c>
      <c r="N925">
        <v>0.2</v>
      </c>
      <c r="O925">
        <v>0.47</v>
      </c>
      <c r="P925" t="s">
        <v>41</v>
      </c>
    </row>
    <row r="926" spans="1:16" hidden="1" x14ac:dyDescent="0.25">
      <c r="A926" s="12">
        <v>46061.5</v>
      </c>
      <c r="B926" t="s">
        <v>11</v>
      </c>
      <c r="C926" t="s">
        <v>26</v>
      </c>
      <c r="D926">
        <v>15</v>
      </c>
      <c r="E926">
        <v>20</v>
      </c>
      <c r="F926">
        <v>25.802208130928161</v>
      </c>
      <c r="G926" t="str">
        <f>FLOOR(FinalData[[#This Row],[Temperature_C]],2)&amp;"–"&amp;(FLOOR(FinalData[[#This Row],[Temperature_C]],2)+2)&amp;"°C"</f>
        <v>24–26°C</v>
      </c>
      <c r="H926">
        <v>5.88</v>
      </c>
      <c r="I926">
        <v>2026</v>
      </c>
      <c r="J926">
        <v>2</v>
      </c>
      <c r="K926">
        <v>8</v>
      </c>
      <c r="L926">
        <v>0</v>
      </c>
      <c r="M926">
        <v>12</v>
      </c>
      <c r="N926">
        <v>0.75</v>
      </c>
      <c r="O926">
        <v>0.39200000000000002</v>
      </c>
      <c r="P926" t="s">
        <v>42</v>
      </c>
    </row>
    <row r="927" spans="1:16" hidden="1" x14ac:dyDescent="0.25">
      <c r="A927" s="12">
        <v>46061.541666666664</v>
      </c>
      <c r="B927" t="s">
        <v>9</v>
      </c>
      <c r="C927" t="s">
        <v>28</v>
      </c>
      <c r="D927">
        <v>8</v>
      </c>
      <c r="E927">
        <v>40</v>
      </c>
      <c r="F927">
        <v>23.857522517761531</v>
      </c>
      <c r="G927" t="str">
        <f>FLOOR(FinalData[[#This Row],[Temperature_C]],2)&amp;"–"&amp;(FLOOR(FinalData[[#This Row],[Temperature_C]],2)+2)&amp;"°C"</f>
        <v>22–24°C</v>
      </c>
      <c r="H927">
        <v>3.31</v>
      </c>
      <c r="I927">
        <v>2026</v>
      </c>
      <c r="J927">
        <v>2</v>
      </c>
      <c r="K927">
        <v>8</v>
      </c>
      <c r="L927">
        <v>0</v>
      </c>
      <c r="M927">
        <v>13</v>
      </c>
      <c r="N927">
        <v>0.2</v>
      </c>
      <c r="O927">
        <v>0.41375000000000001</v>
      </c>
      <c r="P927" t="s">
        <v>42</v>
      </c>
    </row>
    <row r="928" spans="1:16" hidden="1" x14ac:dyDescent="0.25">
      <c r="A928" s="12">
        <v>46061.583333333336</v>
      </c>
      <c r="B928" t="s">
        <v>7</v>
      </c>
      <c r="C928" t="s">
        <v>20</v>
      </c>
      <c r="D928">
        <v>8</v>
      </c>
      <c r="E928">
        <v>30</v>
      </c>
      <c r="F928">
        <v>24.178400264465179</v>
      </c>
      <c r="G928" t="str">
        <f>FLOOR(FinalData[[#This Row],[Temperature_C]],2)&amp;"–"&amp;(FLOOR(FinalData[[#This Row],[Temperature_C]],2)+2)&amp;"°C"</f>
        <v>24–26°C</v>
      </c>
      <c r="H928">
        <v>2.78</v>
      </c>
      <c r="I928">
        <v>2026</v>
      </c>
      <c r="J928">
        <v>2</v>
      </c>
      <c r="K928">
        <v>8</v>
      </c>
      <c r="L928">
        <v>0</v>
      </c>
      <c r="M928">
        <v>14</v>
      </c>
      <c r="N928">
        <v>0.26666666666666666</v>
      </c>
      <c r="O928">
        <v>0.34749999999999998</v>
      </c>
      <c r="P928" t="s">
        <v>42</v>
      </c>
    </row>
    <row r="929" spans="1:16" hidden="1" x14ac:dyDescent="0.25">
      <c r="A929" s="12">
        <v>46061.625</v>
      </c>
      <c r="B929" t="s">
        <v>18</v>
      </c>
      <c r="C929" t="s">
        <v>30</v>
      </c>
      <c r="D929">
        <v>11</v>
      </c>
      <c r="E929">
        <v>20</v>
      </c>
      <c r="F929">
        <v>22.073164857767811</v>
      </c>
      <c r="G929" t="str">
        <f>FLOOR(FinalData[[#This Row],[Temperature_C]],2)&amp;"–"&amp;(FLOOR(FinalData[[#This Row],[Temperature_C]],2)+2)&amp;"°C"</f>
        <v>22–24°C</v>
      </c>
      <c r="H929">
        <v>3.24</v>
      </c>
      <c r="I929">
        <v>2026</v>
      </c>
      <c r="J929">
        <v>2</v>
      </c>
      <c r="K929">
        <v>8</v>
      </c>
      <c r="L929">
        <v>0</v>
      </c>
      <c r="M929">
        <v>15</v>
      </c>
      <c r="N929">
        <v>0.55000000000000004</v>
      </c>
      <c r="O929">
        <v>0.29454545454545455</v>
      </c>
      <c r="P929" t="s">
        <v>42</v>
      </c>
    </row>
    <row r="930" spans="1:16" hidden="1" x14ac:dyDescent="0.25">
      <c r="A930" s="12">
        <v>46061.666666666664</v>
      </c>
      <c r="B930" t="s">
        <v>13</v>
      </c>
      <c r="C930" t="s">
        <v>20</v>
      </c>
      <c r="D930">
        <v>12</v>
      </c>
      <c r="E930">
        <v>40</v>
      </c>
      <c r="F930">
        <v>23.791828441916088</v>
      </c>
      <c r="G930" t="str">
        <f>FLOOR(FinalData[[#This Row],[Temperature_C]],2)&amp;"–"&amp;(FLOOR(FinalData[[#This Row],[Temperature_C]],2)+2)&amp;"°C"</f>
        <v>22–24°C</v>
      </c>
      <c r="H930">
        <v>4.03</v>
      </c>
      <c r="I930">
        <v>2026</v>
      </c>
      <c r="J930">
        <v>2</v>
      </c>
      <c r="K930">
        <v>8</v>
      </c>
      <c r="L930">
        <v>0</v>
      </c>
      <c r="M930">
        <v>16</v>
      </c>
      <c r="N930">
        <v>0.3</v>
      </c>
      <c r="O930">
        <v>0.33583333333333337</v>
      </c>
      <c r="P930" t="s">
        <v>42</v>
      </c>
    </row>
    <row r="931" spans="1:16" hidden="1" x14ac:dyDescent="0.25">
      <c r="A931" s="12">
        <v>46061.708333333336</v>
      </c>
      <c r="B931" t="s">
        <v>13</v>
      </c>
      <c r="C931" t="s">
        <v>20</v>
      </c>
      <c r="D931">
        <v>9</v>
      </c>
      <c r="E931">
        <v>30</v>
      </c>
      <c r="F931">
        <v>23.46773020201849</v>
      </c>
      <c r="G931" t="str">
        <f>FLOOR(FinalData[[#This Row],[Temperature_C]],2)&amp;"–"&amp;(FLOOR(FinalData[[#This Row],[Temperature_C]],2)+2)&amp;"°C"</f>
        <v>22–24°C</v>
      </c>
      <c r="H931">
        <v>3.62</v>
      </c>
      <c r="I931">
        <v>2026</v>
      </c>
      <c r="J931">
        <v>2</v>
      </c>
      <c r="K931">
        <v>8</v>
      </c>
      <c r="L931">
        <v>0</v>
      </c>
      <c r="M931">
        <v>17</v>
      </c>
      <c r="N931">
        <v>0.3</v>
      </c>
      <c r="O931">
        <v>0.40222222222222226</v>
      </c>
      <c r="P931" t="s">
        <v>43</v>
      </c>
    </row>
    <row r="932" spans="1:16" hidden="1" x14ac:dyDescent="0.25">
      <c r="A932" s="12">
        <v>46061.75</v>
      </c>
      <c r="B932" t="s">
        <v>9</v>
      </c>
      <c r="C932" t="s">
        <v>29</v>
      </c>
      <c r="D932">
        <v>9</v>
      </c>
      <c r="E932">
        <v>30</v>
      </c>
      <c r="F932">
        <v>20.88432676277953</v>
      </c>
      <c r="G932" t="str">
        <f>FLOOR(FinalData[[#This Row],[Temperature_C]],2)&amp;"–"&amp;(FLOOR(FinalData[[#This Row],[Temperature_C]],2)+2)&amp;"°C"</f>
        <v>20–22°C</v>
      </c>
      <c r="H932">
        <v>3.3</v>
      </c>
      <c r="I932">
        <v>2026</v>
      </c>
      <c r="J932">
        <v>2</v>
      </c>
      <c r="K932">
        <v>8</v>
      </c>
      <c r="L932">
        <v>0</v>
      </c>
      <c r="M932">
        <v>18</v>
      </c>
      <c r="N932">
        <v>0.3</v>
      </c>
      <c r="O932">
        <v>0.36666666666666664</v>
      </c>
      <c r="P932" t="s">
        <v>43</v>
      </c>
    </row>
    <row r="933" spans="1:16" hidden="1" x14ac:dyDescent="0.25">
      <c r="A933" s="12">
        <v>46061.791666666664</v>
      </c>
      <c r="B933" t="s">
        <v>11</v>
      </c>
      <c r="C933" t="s">
        <v>25</v>
      </c>
      <c r="D933">
        <v>3</v>
      </c>
      <c r="E933">
        <v>30</v>
      </c>
      <c r="F933">
        <v>22.870455480404249</v>
      </c>
      <c r="G933" t="str">
        <f>FLOOR(FinalData[[#This Row],[Temperature_C]],2)&amp;"–"&amp;(FLOOR(FinalData[[#This Row],[Temperature_C]],2)+2)&amp;"°C"</f>
        <v>22–24°C</v>
      </c>
      <c r="H933">
        <v>1.71</v>
      </c>
      <c r="I933">
        <v>2026</v>
      </c>
      <c r="J933">
        <v>2</v>
      </c>
      <c r="K933">
        <v>8</v>
      </c>
      <c r="L933">
        <v>0</v>
      </c>
      <c r="M933">
        <v>19</v>
      </c>
      <c r="N933">
        <v>0.1</v>
      </c>
      <c r="O933">
        <v>0.56999999999999995</v>
      </c>
      <c r="P933" t="s">
        <v>43</v>
      </c>
    </row>
    <row r="934" spans="1:16" hidden="1" x14ac:dyDescent="0.25">
      <c r="A934" s="12">
        <v>46061.833333333336</v>
      </c>
      <c r="B934" t="s">
        <v>7</v>
      </c>
      <c r="C934" t="s">
        <v>22</v>
      </c>
      <c r="D934">
        <v>5</v>
      </c>
      <c r="E934">
        <v>40</v>
      </c>
      <c r="F934">
        <v>21.803441331604301</v>
      </c>
      <c r="G934" t="str">
        <f>FLOOR(FinalData[[#This Row],[Temperature_C]],2)&amp;"–"&amp;(FLOOR(FinalData[[#This Row],[Temperature_C]],2)+2)&amp;"°C"</f>
        <v>20–22°C</v>
      </c>
      <c r="H934">
        <v>1.82</v>
      </c>
      <c r="I934">
        <v>2026</v>
      </c>
      <c r="J934">
        <v>2</v>
      </c>
      <c r="K934">
        <v>8</v>
      </c>
      <c r="L934">
        <v>0</v>
      </c>
      <c r="M934">
        <v>20</v>
      </c>
      <c r="N934">
        <v>0.125</v>
      </c>
      <c r="O934">
        <v>0.36399999999999999</v>
      </c>
      <c r="P934" t="s">
        <v>43</v>
      </c>
    </row>
    <row r="935" spans="1:16" hidden="1" x14ac:dyDescent="0.25">
      <c r="A935" s="12">
        <v>46061.875</v>
      </c>
      <c r="B935" t="s">
        <v>7</v>
      </c>
      <c r="C935" t="s">
        <v>27</v>
      </c>
      <c r="D935">
        <v>8</v>
      </c>
      <c r="E935">
        <v>40</v>
      </c>
      <c r="F935">
        <v>24.62893346549701</v>
      </c>
      <c r="G935" t="str">
        <f>FLOOR(FinalData[[#This Row],[Temperature_C]],2)&amp;"–"&amp;(FLOOR(FinalData[[#This Row],[Temperature_C]],2)+2)&amp;"°C"</f>
        <v>24–26°C</v>
      </c>
      <c r="H935">
        <v>2.92</v>
      </c>
      <c r="I935">
        <v>2026</v>
      </c>
      <c r="J935">
        <v>2</v>
      </c>
      <c r="K935">
        <v>8</v>
      </c>
      <c r="L935">
        <v>0</v>
      </c>
      <c r="M935">
        <v>21</v>
      </c>
      <c r="N935">
        <v>0.2</v>
      </c>
      <c r="O935">
        <v>0.36499999999999999</v>
      </c>
      <c r="P935" t="s">
        <v>40</v>
      </c>
    </row>
    <row r="936" spans="1:16" hidden="1" x14ac:dyDescent="0.25">
      <c r="A936" s="12">
        <v>46061.916666666664</v>
      </c>
      <c r="B936" t="s">
        <v>13</v>
      </c>
      <c r="C936" t="s">
        <v>8</v>
      </c>
      <c r="D936">
        <v>9</v>
      </c>
      <c r="E936">
        <v>25</v>
      </c>
      <c r="F936">
        <v>20.542447701900731</v>
      </c>
      <c r="G936" t="str">
        <f>FLOOR(FinalData[[#This Row],[Temperature_C]],2)&amp;"–"&amp;(FLOOR(FinalData[[#This Row],[Temperature_C]],2)+2)&amp;"°C"</f>
        <v>20–22°C</v>
      </c>
      <c r="H936">
        <v>3.21</v>
      </c>
      <c r="I936">
        <v>2026</v>
      </c>
      <c r="J936">
        <v>2</v>
      </c>
      <c r="K936">
        <v>8</v>
      </c>
      <c r="L936">
        <v>0</v>
      </c>
      <c r="M936">
        <v>22</v>
      </c>
      <c r="N936">
        <v>0.36</v>
      </c>
      <c r="O936">
        <v>0.35666666666666669</v>
      </c>
      <c r="P936" t="s">
        <v>40</v>
      </c>
    </row>
    <row r="937" spans="1:16" hidden="1" x14ac:dyDescent="0.25">
      <c r="A937" s="12">
        <v>46061.958333333336</v>
      </c>
      <c r="B937" t="s">
        <v>7</v>
      </c>
      <c r="C937" t="s">
        <v>27</v>
      </c>
      <c r="D937">
        <v>8</v>
      </c>
      <c r="E937">
        <v>40</v>
      </c>
      <c r="F937">
        <v>21.228572400400619</v>
      </c>
      <c r="G937" t="str">
        <f>FLOOR(FinalData[[#This Row],[Temperature_C]],2)&amp;"–"&amp;(FLOOR(FinalData[[#This Row],[Temperature_C]],2)+2)&amp;"°C"</f>
        <v>20–22°C</v>
      </c>
      <c r="H937">
        <v>2.73</v>
      </c>
      <c r="I937">
        <v>2026</v>
      </c>
      <c r="J937">
        <v>2</v>
      </c>
      <c r="K937">
        <v>8</v>
      </c>
      <c r="L937">
        <v>0</v>
      </c>
      <c r="M937">
        <v>23</v>
      </c>
      <c r="N937">
        <v>0.2</v>
      </c>
      <c r="O937">
        <v>0.34125</v>
      </c>
      <c r="P937" t="s">
        <v>40</v>
      </c>
    </row>
    <row r="938" spans="1:16" hidden="1" x14ac:dyDescent="0.25">
      <c r="A938" s="12">
        <v>46062</v>
      </c>
      <c r="B938" t="s">
        <v>9</v>
      </c>
      <c r="C938" t="s">
        <v>22</v>
      </c>
      <c r="D938">
        <v>4</v>
      </c>
      <c r="E938">
        <v>20</v>
      </c>
      <c r="F938">
        <v>23.675225185110371</v>
      </c>
      <c r="G938" t="str">
        <f>FLOOR(FinalData[[#This Row],[Temperature_C]],2)&amp;"–"&amp;(FLOOR(FinalData[[#This Row],[Temperature_C]],2)+2)&amp;"°C"</f>
        <v>22–24°C</v>
      </c>
      <c r="H938">
        <v>2.25</v>
      </c>
      <c r="I938">
        <v>2026</v>
      </c>
      <c r="J938">
        <v>2</v>
      </c>
      <c r="K938">
        <v>9</v>
      </c>
      <c r="L938">
        <v>1</v>
      </c>
      <c r="M938">
        <v>0</v>
      </c>
      <c r="N938">
        <v>0.2</v>
      </c>
      <c r="O938">
        <v>0.5625</v>
      </c>
      <c r="P938" t="s">
        <v>40</v>
      </c>
    </row>
    <row r="939" spans="1:16" hidden="1" x14ac:dyDescent="0.25">
      <c r="A939" s="12">
        <v>46062.041666666664</v>
      </c>
      <c r="B939" t="s">
        <v>9</v>
      </c>
      <c r="C939" t="s">
        <v>23</v>
      </c>
      <c r="D939">
        <v>10</v>
      </c>
      <c r="E939">
        <v>40</v>
      </c>
      <c r="F939">
        <v>22.848657854685872</v>
      </c>
      <c r="G939" t="str">
        <f>FLOOR(FinalData[[#This Row],[Temperature_C]],2)&amp;"–"&amp;(FLOOR(FinalData[[#This Row],[Temperature_C]],2)+2)&amp;"°C"</f>
        <v>22–24°C</v>
      </c>
      <c r="H939">
        <v>3.89</v>
      </c>
      <c r="I939">
        <v>2026</v>
      </c>
      <c r="J939">
        <v>2</v>
      </c>
      <c r="K939">
        <v>9</v>
      </c>
      <c r="L939">
        <v>1</v>
      </c>
      <c r="M939">
        <v>1</v>
      </c>
      <c r="N939">
        <v>0.25</v>
      </c>
      <c r="O939">
        <v>0.38900000000000001</v>
      </c>
      <c r="P939" t="s">
        <v>40</v>
      </c>
    </row>
    <row r="940" spans="1:16" hidden="1" x14ac:dyDescent="0.25">
      <c r="A940" s="12">
        <v>46062.083333333336</v>
      </c>
      <c r="B940" t="s">
        <v>7</v>
      </c>
      <c r="C940" t="s">
        <v>21</v>
      </c>
      <c r="D940">
        <v>6</v>
      </c>
      <c r="E940">
        <v>30</v>
      </c>
      <c r="F940">
        <v>24.996232977432239</v>
      </c>
      <c r="G940" t="str">
        <f>FLOOR(FinalData[[#This Row],[Temperature_C]],2)&amp;"–"&amp;(FLOOR(FinalData[[#This Row],[Temperature_C]],2)+2)&amp;"°C"</f>
        <v>24–26°C</v>
      </c>
      <c r="H940">
        <v>2.81</v>
      </c>
      <c r="I940">
        <v>2026</v>
      </c>
      <c r="J940">
        <v>2</v>
      </c>
      <c r="K940">
        <v>9</v>
      </c>
      <c r="L940">
        <v>1</v>
      </c>
      <c r="M940">
        <v>2</v>
      </c>
      <c r="N940">
        <v>0.2</v>
      </c>
      <c r="O940">
        <v>0.46833333333333332</v>
      </c>
      <c r="P940" t="s">
        <v>40</v>
      </c>
    </row>
    <row r="941" spans="1:16" hidden="1" x14ac:dyDescent="0.25">
      <c r="A941" s="12">
        <v>46062.125</v>
      </c>
      <c r="B941" t="s">
        <v>7</v>
      </c>
      <c r="C941" t="s">
        <v>17</v>
      </c>
      <c r="D941">
        <v>7</v>
      </c>
      <c r="E941">
        <v>20</v>
      </c>
      <c r="F941">
        <v>20.827216244244909</v>
      </c>
      <c r="G941" t="str">
        <f>FLOOR(FinalData[[#This Row],[Temperature_C]],2)&amp;"–"&amp;(FLOOR(FinalData[[#This Row],[Temperature_C]],2)+2)&amp;"°C"</f>
        <v>20–22°C</v>
      </c>
      <c r="H941">
        <v>2.88</v>
      </c>
      <c r="I941">
        <v>2026</v>
      </c>
      <c r="J941">
        <v>2</v>
      </c>
      <c r="K941">
        <v>9</v>
      </c>
      <c r="L941">
        <v>1</v>
      </c>
      <c r="M941">
        <v>3</v>
      </c>
      <c r="N941">
        <v>0.35</v>
      </c>
      <c r="O941">
        <v>0.41142857142857142</v>
      </c>
      <c r="P941" t="s">
        <v>40</v>
      </c>
    </row>
    <row r="942" spans="1:16" hidden="1" x14ac:dyDescent="0.25">
      <c r="A942" s="12">
        <v>46062.166666666664</v>
      </c>
      <c r="B942" t="s">
        <v>9</v>
      </c>
      <c r="C942" t="s">
        <v>14</v>
      </c>
      <c r="D942">
        <v>8</v>
      </c>
      <c r="E942">
        <v>40</v>
      </c>
      <c r="F942">
        <v>19.440249783583671</v>
      </c>
      <c r="G942" t="str">
        <f>FLOOR(FinalData[[#This Row],[Temperature_C]],2)&amp;"–"&amp;(FLOOR(FinalData[[#This Row],[Temperature_C]],2)+2)&amp;"°C"</f>
        <v>18–20°C</v>
      </c>
      <c r="H942">
        <v>3.5</v>
      </c>
      <c r="I942">
        <v>2026</v>
      </c>
      <c r="J942">
        <v>2</v>
      </c>
      <c r="K942">
        <v>9</v>
      </c>
      <c r="L942">
        <v>1</v>
      </c>
      <c r="M942">
        <v>4</v>
      </c>
      <c r="N942">
        <v>0.2</v>
      </c>
      <c r="O942">
        <v>0.4375</v>
      </c>
      <c r="P942" t="s">
        <v>40</v>
      </c>
    </row>
    <row r="943" spans="1:16" hidden="1" x14ac:dyDescent="0.25">
      <c r="A943" s="12">
        <v>46062.208333333336</v>
      </c>
      <c r="B943" t="s">
        <v>18</v>
      </c>
      <c r="C943" t="s">
        <v>8</v>
      </c>
      <c r="D943">
        <v>7</v>
      </c>
      <c r="E943">
        <v>30</v>
      </c>
      <c r="F943">
        <v>25.096407935350548</v>
      </c>
      <c r="G943" t="str">
        <f>FLOOR(FinalData[[#This Row],[Temperature_C]],2)&amp;"–"&amp;(FLOOR(FinalData[[#This Row],[Temperature_C]],2)+2)&amp;"°C"</f>
        <v>24–26°C</v>
      </c>
      <c r="H943">
        <v>2.76</v>
      </c>
      <c r="I943">
        <v>2026</v>
      </c>
      <c r="J943">
        <v>2</v>
      </c>
      <c r="K943">
        <v>9</v>
      </c>
      <c r="L943">
        <v>1</v>
      </c>
      <c r="M943">
        <v>5</v>
      </c>
      <c r="N943">
        <v>0.23333333333333334</v>
      </c>
      <c r="O943">
        <v>0.39428571428571424</v>
      </c>
      <c r="P943" t="s">
        <v>40</v>
      </c>
    </row>
    <row r="944" spans="1:16" hidden="1" x14ac:dyDescent="0.25">
      <c r="A944" s="12">
        <v>46062.25</v>
      </c>
      <c r="B944" t="s">
        <v>13</v>
      </c>
      <c r="C944" t="s">
        <v>21</v>
      </c>
      <c r="D944">
        <v>9</v>
      </c>
      <c r="E944">
        <v>20</v>
      </c>
      <c r="F944">
        <v>21.145253988608129</v>
      </c>
      <c r="G944" t="str">
        <f>FLOOR(FinalData[[#This Row],[Temperature_C]],2)&amp;"–"&amp;(FLOOR(FinalData[[#This Row],[Temperature_C]],2)+2)&amp;"°C"</f>
        <v>20–22°C</v>
      </c>
      <c r="H944">
        <v>3.56</v>
      </c>
      <c r="I944">
        <v>2026</v>
      </c>
      <c r="J944">
        <v>2</v>
      </c>
      <c r="K944">
        <v>9</v>
      </c>
      <c r="L944">
        <v>1</v>
      </c>
      <c r="M944">
        <v>6</v>
      </c>
      <c r="N944">
        <v>0.45</v>
      </c>
      <c r="O944">
        <v>0.39555555555555555</v>
      </c>
      <c r="P944" t="s">
        <v>40</v>
      </c>
    </row>
    <row r="945" spans="1:16" hidden="1" x14ac:dyDescent="0.25">
      <c r="A945" s="12">
        <v>46062.291666666664</v>
      </c>
      <c r="B945" t="s">
        <v>7</v>
      </c>
      <c r="C945" t="s">
        <v>22</v>
      </c>
      <c r="D945">
        <v>7</v>
      </c>
      <c r="E945">
        <v>25</v>
      </c>
      <c r="F945">
        <v>22.352182293568159</v>
      </c>
      <c r="G945" t="str">
        <f>FLOOR(FinalData[[#This Row],[Temperature_C]],2)&amp;"–"&amp;(FLOOR(FinalData[[#This Row],[Temperature_C]],2)+2)&amp;"°C"</f>
        <v>22–24°C</v>
      </c>
      <c r="H945">
        <v>2.67</v>
      </c>
      <c r="I945">
        <v>2026</v>
      </c>
      <c r="J945">
        <v>2</v>
      </c>
      <c r="K945">
        <v>9</v>
      </c>
      <c r="L945">
        <v>1</v>
      </c>
      <c r="M945">
        <v>7</v>
      </c>
      <c r="N945">
        <v>0.28000000000000003</v>
      </c>
      <c r="O945">
        <v>0.38142857142857139</v>
      </c>
      <c r="P945" t="s">
        <v>41</v>
      </c>
    </row>
    <row r="946" spans="1:16" hidden="1" x14ac:dyDescent="0.25">
      <c r="A946" s="12">
        <v>46062.333333333336</v>
      </c>
      <c r="B946" t="s">
        <v>13</v>
      </c>
      <c r="C946" t="s">
        <v>10</v>
      </c>
      <c r="D946">
        <v>7</v>
      </c>
      <c r="E946">
        <v>40</v>
      </c>
      <c r="F946">
        <v>23.960127235808208</v>
      </c>
      <c r="G946" t="str">
        <f>FLOOR(FinalData[[#This Row],[Temperature_C]],2)&amp;"–"&amp;(FLOOR(FinalData[[#This Row],[Temperature_C]],2)+2)&amp;"°C"</f>
        <v>22–24°C</v>
      </c>
      <c r="H946">
        <v>3.26</v>
      </c>
      <c r="I946">
        <v>2026</v>
      </c>
      <c r="J946">
        <v>2</v>
      </c>
      <c r="K946">
        <v>9</v>
      </c>
      <c r="L946">
        <v>1</v>
      </c>
      <c r="M946">
        <v>8</v>
      </c>
      <c r="N946">
        <v>0.17499999999999999</v>
      </c>
      <c r="O946">
        <v>0.46571428571428569</v>
      </c>
      <c r="P946" t="s">
        <v>41</v>
      </c>
    </row>
    <row r="947" spans="1:16" hidden="1" x14ac:dyDescent="0.25">
      <c r="A947" s="12">
        <v>46062.375</v>
      </c>
      <c r="B947" t="s">
        <v>7</v>
      </c>
      <c r="C947" t="s">
        <v>20</v>
      </c>
      <c r="D947">
        <v>11</v>
      </c>
      <c r="E947">
        <v>20</v>
      </c>
      <c r="F947">
        <v>23.121570745002611</v>
      </c>
      <c r="G947" t="str">
        <f>FLOOR(FinalData[[#This Row],[Temperature_C]],2)&amp;"–"&amp;(FLOOR(FinalData[[#This Row],[Temperature_C]],2)+2)&amp;"°C"</f>
        <v>22–24°C</v>
      </c>
      <c r="H947">
        <v>4.3</v>
      </c>
      <c r="I947">
        <v>2026</v>
      </c>
      <c r="J947">
        <v>2</v>
      </c>
      <c r="K947">
        <v>9</v>
      </c>
      <c r="L947">
        <v>1</v>
      </c>
      <c r="M947">
        <v>9</v>
      </c>
      <c r="N947">
        <v>0.55000000000000004</v>
      </c>
      <c r="O947">
        <v>0.39090909090909087</v>
      </c>
      <c r="P947" t="s">
        <v>41</v>
      </c>
    </row>
    <row r="948" spans="1:16" x14ac:dyDescent="0.25">
      <c r="A948" s="12">
        <v>46062.416666666664</v>
      </c>
      <c r="B948" t="s">
        <v>11</v>
      </c>
      <c r="C948" t="s">
        <v>17</v>
      </c>
      <c r="D948">
        <v>5</v>
      </c>
      <c r="E948">
        <v>30</v>
      </c>
      <c r="F948">
        <v>20.3419847255531</v>
      </c>
      <c r="G948" t="str">
        <f>FLOOR(FinalData[[#This Row],[Temperature_C]],2)&amp;"–"&amp;(FLOOR(FinalData[[#This Row],[Temperature_C]],2)+2)&amp;"°C"</f>
        <v>20–22°C</v>
      </c>
      <c r="H948">
        <v>2.08</v>
      </c>
      <c r="I948">
        <v>2026</v>
      </c>
      <c r="J948">
        <v>2</v>
      </c>
      <c r="K948">
        <v>9</v>
      </c>
      <c r="L948">
        <v>1</v>
      </c>
      <c r="M948">
        <v>10</v>
      </c>
      <c r="N948">
        <v>0.16666666666666666</v>
      </c>
      <c r="O948">
        <v>0.41600000000000004</v>
      </c>
      <c r="P948" t="s">
        <v>41</v>
      </c>
    </row>
    <row r="949" spans="1:16" x14ac:dyDescent="0.25">
      <c r="A949" s="12">
        <v>46062.458333333336</v>
      </c>
      <c r="B949" t="s">
        <v>11</v>
      </c>
      <c r="C949" t="s">
        <v>17</v>
      </c>
      <c r="D949">
        <v>15</v>
      </c>
      <c r="E949">
        <v>25</v>
      </c>
      <c r="F949">
        <v>18.291034154606791</v>
      </c>
      <c r="G949" t="str">
        <f>FLOOR(FinalData[[#This Row],[Temperature_C]],2)&amp;"–"&amp;(FLOOR(FinalData[[#This Row],[Temperature_C]],2)+2)&amp;"°C"</f>
        <v>18–20°C</v>
      </c>
      <c r="H949">
        <v>5.1100000000000003</v>
      </c>
      <c r="I949">
        <v>2026</v>
      </c>
      <c r="J949">
        <v>2</v>
      </c>
      <c r="K949">
        <v>9</v>
      </c>
      <c r="L949">
        <v>1</v>
      </c>
      <c r="M949">
        <v>11</v>
      </c>
      <c r="N949">
        <v>0.6</v>
      </c>
      <c r="O949">
        <v>0.34066666666666667</v>
      </c>
      <c r="P949" t="s">
        <v>41</v>
      </c>
    </row>
    <row r="950" spans="1:16" hidden="1" x14ac:dyDescent="0.25">
      <c r="A950" s="12">
        <v>46062.5</v>
      </c>
      <c r="B950" t="s">
        <v>18</v>
      </c>
      <c r="C950" t="s">
        <v>30</v>
      </c>
      <c r="D950">
        <v>10</v>
      </c>
      <c r="E950">
        <v>40</v>
      </c>
      <c r="F950">
        <v>21.265108006638808</v>
      </c>
      <c r="G950" t="str">
        <f>FLOOR(FinalData[[#This Row],[Temperature_C]],2)&amp;"–"&amp;(FLOOR(FinalData[[#This Row],[Temperature_C]],2)+2)&amp;"°C"</f>
        <v>20–22°C</v>
      </c>
      <c r="H950">
        <v>3.41</v>
      </c>
      <c r="I950">
        <v>2026</v>
      </c>
      <c r="J950">
        <v>2</v>
      </c>
      <c r="K950">
        <v>9</v>
      </c>
      <c r="L950">
        <v>1</v>
      </c>
      <c r="M950">
        <v>12</v>
      </c>
      <c r="N950">
        <v>0.25</v>
      </c>
      <c r="O950">
        <v>0.34100000000000003</v>
      </c>
      <c r="P950" t="s">
        <v>42</v>
      </c>
    </row>
    <row r="951" spans="1:16" hidden="1" x14ac:dyDescent="0.25">
      <c r="A951" s="12">
        <v>46062.541666666664</v>
      </c>
      <c r="B951" t="s">
        <v>9</v>
      </c>
      <c r="C951" t="s">
        <v>17</v>
      </c>
      <c r="D951">
        <v>6</v>
      </c>
      <c r="E951">
        <v>25</v>
      </c>
      <c r="F951">
        <v>19.761653886968269</v>
      </c>
      <c r="G951" t="str">
        <f>FLOOR(FinalData[[#This Row],[Temperature_C]],2)&amp;"–"&amp;(FLOOR(FinalData[[#This Row],[Temperature_C]],2)+2)&amp;"°C"</f>
        <v>18–20°C</v>
      </c>
      <c r="H951">
        <v>2.82</v>
      </c>
      <c r="I951">
        <v>2026</v>
      </c>
      <c r="J951">
        <v>2</v>
      </c>
      <c r="K951">
        <v>9</v>
      </c>
      <c r="L951">
        <v>1</v>
      </c>
      <c r="M951">
        <v>13</v>
      </c>
      <c r="N951">
        <v>0.24</v>
      </c>
      <c r="O951">
        <v>0.47</v>
      </c>
      <c r="P951" t="s">
        <v>42</v>
      </c>
    </row>
    <row r="952" spans="1:16" hidden="1" x14ac:dyDescent="0.25">
      <c r="A952" s="12">
        <v>46062.583333333336</v>
      </c>
      <c r="B952" t="s">
        <v>9</v>
      </c>
      <c r="C952" t="s">
        <v>26</v>
      </c>
      <c r="D952">
        <v>7</v>
      </c>
      <c r="E952">
        <v>40</v>
      </c>
      <c r="F952">
        <v>25.909652348293299</v>
      </c>
      <c r="G952" t="str">
        <f>FLOOR(FinalData[[#This Row],[Temperature_C]],2)&amp;"–"&amp;(FLOOR(FinalData[[#This Row],[Temperature_C]],2)+2)&amp;"°C"</f>
        <v>24–26°C</v>
      </c>
      <c r="H952">
        <v>2.65</v>
      </c>
      <c r="I952">
        <v>2026</v>
      </c>
      <c r="J952">
        <v>2</v>
      </c>
      <c r="K952">
        <v>9</v>
      </c>
      <c r="L952">
        <v>1</v>
      </c>
      <c r="M952">
        <v>14</v>
      </c>
      <c r="N952">
        <v>0.17499999999999999</v>
      </c>
      <c r="O952">
        <v>0.37857142857142856</v>
      </c>
      <c r="P952" t="s">
        <v>42</v>
      </c>
    </row>
    <row r="953" spans="1:16" hidden="1" x14ac:dyDescent="0.25">
      <c r="A953" s="12">
        <v>46062.625</v>
      </c>
      <c r="B953" t="s">
        <v>18</v>
      </c>
      <c r="C953" t="s">
        <v>28</v>
      </c>
      <c r="D953">
        <v>6</v>
      </c>
      <c r="E953">
        <v>40</v>
      </c>
      <c r="F953">
        <v>25.54551507327076</v>
      </c>
      <c r="G953" t="str">
        <f>FLOOR(FinalData[[#This Row],[Temperature_C]],2)&amp;"–"&amp;(FLOOR(FinalData[[#This Row],[Temperature_C]],2)+2)&amp;"°C"</f>
        <v>24–26°C</v>
      </c>
      <c r="H953">
        <v>2.36</v>
      </c>
      <c r="I953">
        <v>2026</v>
      </c>
      <c r="J953">
        <v>2</v>
      </c>
      <c r="K953">
        <v>9</v>
      </c>
      <c r="L953">
        <v>1</v>
      </c>
      <c r="M953">
        <v>15</v>
      </c>
      <c r="N953">
        <v>0.15</v>
      </c>
      <c r="O953">
        <v>0.39333333333333331</v>
      </c>
      <c r="P953" t="s">
        <v>42</v>
      </c>
    </row>
    <row r="954" spans="1:16" hidden="1" x14ac:dyDescent="0.25">
      <c r="A954" s="12">
        <v>46062.666666666664</v>
      </c>
      <c r="B954" t="s">
        <v>13</v>
      </c>
      <c r="C954" t="s">
        <v>26</v>
      </c>
      <c r="D954">
        <v>3</v>
      </c>
      <c r="E954">
        <v>40</v>
      </c>
      <c r="F954">
        <v>23.302315490507219</v>
      </c>
      <c r="G954" t="str">
        <f>FLOOR(FinalData[[#This Row],[Temperature_C]],2)&amp;"–"&amp;(FLOOR(FinalData[[#This Row],[Temperature_C]],2)+2)&amp;"°C"</f>
        <v>22–24°C</v>
      </c>
      <c r="H954">
        <v>1.1499999999999999</v>
      </c>
      <c r="I954">
        <v>2026</v>
      </c>
      <c r="J954">
        <v>2</v>
      </c>
      <c r="K954">
        <v>9</v>
      </c>
      <c r="L954">
        <v>1</v>
      </c>
      <c r="M954">
        <v>16</v>
      </c>
      <c r="N954">
        <v>7.4999999999999997E-2</v>
      </c>
      <c r="O954">
        <v>0.3833333333333333</v>
      </c>
      <c r="P954" t="s">
        <v>42</v>
      </c>
    </row>
    <row r="955" spans="1:16" hidden="1" x14ac:dyDescent="0.25">
      <c r="A955" s="12">
        <v>46062.708333333336</v>
      </c>
      <c r="B955" t="s">
        <v>9</v>
      </c>
      <c r="C955" t="s">
        <v>28</v>
      </c>
      <c r="D955">
        <v>9</v>
      </c>
      <c r="E955">
        <v>30</v>
      </c>
      <c r="F955">
        <v>20.733663008255881</v>
      </c>
      <c r="G955" t="str">
        <f>FLOOR(FinalData[[#This Row],[Temperature_C]],2)&amp;"–"&amp;(FLOOR(FinalData[[#This Row],[Temperature_C]],2)+2)&amp;"°C"</f>
        <v>20–22°C</v>
      </c>
      <c r="H955">
        <v>3.41</v>
      </c>
      <c r="I955">
        <v>2026</v>
      </c>
      <c r="J955">
        <v>2</v>
      </c>
      <c r="K955">
        <v>9</v>
      </c>
      <c r="L955">
        <v>1</v>
      </c>
      <c r="M955">
        <v>17</v>
      </c>
      <c r="N955">
        <v>0.3</v>
      </c>
      <c r="O955">
        <v>0.37888888888888889</v>
      </c>
      <c r="P955" t="s">
        <v>43</v>
      </c>
    </row>
    <row r="956" spans="1:16" hidden="1" x14ac:dyDescent="0.25">
      <c r="A956" s="12">
        <v>46062.75</v>
      </c>
      <c r="B956" t="s">
        <v>18</v>
      </c>
      <c r="C956" t="s">
        <v>12</v>
      </c>
      <c r="D956">
        <v>8</v>
      </c>
      <c r="E956">
        <v>30</v>
      </c>
      <c r="F956">
        <v>21.419965806369579</v>
      </c>
      <c r="G956" t="str">
        <f>FLOOR(FinalData[[#This Row],[Temperature_C]],2)&amp;"–"&amp;(FLOOR(FinalData[[#This Row],[Temperature_C]],2)+2)&amp;"°C"</f>
        <v>20–22°C</v>
      </c>
      <c r="H956">
        <v>3.09</v>
      </c>
      <c r="I956">
        <v>2026</v>
      </c>
      <c r="J956">
        <v>2</v>
      </c>
      <c r="K956">
        <v>9</v>
      </c>
      <c r="L956">
        <v>1</v>
      </c>
      <c r="M956">
        <v>18</v>
      </c>
      <c r="N956">
        <v>0.26666666666666666</v>
      </c>
      <c r="O956">
        <v>0.38624999999999998</v>
      </c>
      <c r="P956" t="s">
        <v>43</v>
      </c>
    </row>
    <row r="957" spans="1:16" hidden="1" x14ac:dyDescent="0.25">
      <c r="A957" s="12">
        <v>46062.791666666664</v>
      </c>
      <c r="B957" t="s">
        <v>9</v>
      </c>
      <c r="C957" t="s">
        <v>20</v>
      </c>
      <c r="D957">
        <v>11</v>
      </c>
      <c r="E957">
        <v>40</v>
      </c>
      <c r="F957">
        <v>26.030827630696422</v>
      </c>
      <c r="G957" t="str">
        <f>FLOOR(FinalData[[#This Row],[Temperature_C]],2)&amp;"–"&amp;(FLOOR(FinalData[[#This Row],[Temperature_C]],2)+2)&amp;"°C"</f>
        <v>26–28°C</v>
      </c>
      <c r="H957">
        <v>4.5</v>
      </c>
      <c r="I957">
        <v>2026</v>
      </c>
      <c r="J957">
        <v>2</v>
      </c>
      <c r="K957">
        <v>9</v>
      </c>
      <c r="L957">
        <v>1</v>
      </c>
      <c r="M957">
        <v>19</v>
      </c>
      <c r="N957">
        <v>0.27500000000000002</v>
      </c>
      <c r="O957">
        <v>0.40909090909090912</v>
      </c>
      <c r="P957" t="s">
        <v>43</v>
      </c>
    </row>
    <row r="958" spans="1:16" hidden="1" x14ac:dyDescent="0.25">
      <c r="A958" s="12">
        <v>46062.833333333336</v>
      </c>
      <c r="B958" t="s">
        <v>7</v>
      </c>
      <c r="C958" t="s">
        <v>17</v>
      </c>
      <c r="D958">
        <v>6</v>
      </c>
      <c r="E958">
        <v>20</v>
      </c>
      <c r="F958">
        <v>21.55971479967938</v>
      </c>
      <c r="G958" t="str">
        <f>FLOOR(FinalData[[#This Row],[Temperature_C]],2)&amp;"–"&amp;(FLOOR(FinalData[[#This Row],[Temperature_C]],2)+2)&amp;"°C"</f>
        <v>20–22°C</v>
      </c>
      <c r="H958">
        <v>2.58</v>
      </c>
      <c r="I958">
        <v>2026</v>
      </c>
      <c r="J958">
        <v>2</v>
      </c>
      <c r="K958">
        <v>9</v>
      </c>
      <c r="L958">
        <v>1</v>
      </c>
      <c r="M958">
        <v>20</v>
      </c>
      <c r="N958">
        <v>0.3</v>
      </c>
      <c r="O958">
        <v>0.43</v>
      </c>
      <c r="P958" t="s">
        <v>43</v>
      </c>
    </row>
    <row r="959" spans="1:16" hidden="1" x14ac:dyDescent="0.25">
      <c r="A959" s="12">
        <v>46062.875</v>
      </c>
      <c r="B959" t="s">
        <v>7</v>
      </c>
      <c r="C959" t="s">
        <v>8</v>
      </c>
      <c r="D959">
        <v>10</v>
      </c>
      <c r="E959">
        <v>25</v>
      </c>
      <c r="F959">
        <v>23.49381212683322</v>
      </c>
      <c r="G959" t="str">
        <f>FLOOR(FinalData[[#This Row],[Temperature_C]],2)&amp;"–"&amp;(FLOOR(FinalData[[#This Row],[Temperature_C]],2)+2)&amp;"°C"</f>
        <v>22–24°C</v>
      </c>
      <c r="H959">
        <v>3.19</v>
      </c>
      <c r="I959">
        <v>2026</v>
      </c>
      <c r="J959">
        <v>2</v>
      </c>
      <c r="K959">
        <v>9</v>
      </c>
      <c r="L959">
        <v>1</v>
      </c>
      <c r="M959">
        <v>21</v>
      </c>
      <c r="N959">
        <v>0.4</v>
      </c>
      <c r="O959">
        <v>0.31900000000000001</v>
      </c>
      <c r="P959" t="s">
        <v>40</v>
      </c>
    </row>
    <row r="960" spans="1:16" hidden="1" x14ac:dyDescent="0.25">
      <c r="A960" s="12">
        <v>46062.916666666664</v>
      </c>
      <c r="B960" t="s">
        <v>18</v>
      </c>
      <c r="C960" t="s">
        <v>20</v>
      </c>
      <c r="D960">
        <v>12</v>
      </c>
      <c r="E960">
        <v>25</v>
      </c>
      <c r="F960">
        <v>24.939681729679819</v>
      </c>
      <c r="G960" t="str">
        <f>FLOOR(FinalData[[#This Row],[Temperature_C]],2)&amp;"–"&amp;(FLOOR(FinalData[[#This Row],[Temperature_C]],2)+2)&amp;"°C"</f>
        <v>24–26°C</v>
      </c>
      <c r="H960">
        <v>4.3099999999999996</v>
      </c>
      <c r="I960">
        <v>2026</v>
      </c>
      <c r="J960">
        <v>2</v>
      </c>
      <c r="K960">
        <v>9</v>
      </c>
      <c r="L960">
        <v>1</v>
      </c>
      <c r="M960">
        <v>22</v>
      </c>
      <c r="N960">
        <v>0.48</v>
      </c>
      <c r="O960">
        <v>0.35916666666666663</v>
      </c>
      <c r="P960" t="s">
        <v>40</v>
      </c>
    </row>
    <row r="961" spans="1:16" hidden="1" x14ac:dyDescent="0.25">
      <c r="A961" s="12">
        <v>46062.958333333336</v>
      </c>
      <c r="B961" t="s">
        <v>18</v>
      </c>
      <c r="C961" t="s">
        <v>21</v>
      </c>
      <c r="D961">
        <v>4</v>
      </c>
      <c r="E961">
        <v>40</v>
      </c>
      <c r="F961">
        <v>23.769932832095272</v>
      </c>
      <c r="G961" t="str">
        <f>FLOOR(FinalData[[#This Row],[Temperature_C]],2)&amp;"–"&amp;(FLOOR(FinalData[[#This Row],[Temperature_C]],2)+2)&amp;"°C"</f>
        <v>22–24°C</v>
      </c>
      <c r="H961">
        <v>2.31</v>
      </c>
      <c r="I961">
        <v>2026</v>
      </c>
      <c r="J961">
        <v>2</v>
      </c>
      <c r="K961">
        <v>9</v>
      </c>
      <c r="L961">
        <v>1</v>
      </c>
      <c r="M961">
        <v>23</v>
      </c>
      <c r="N961">
        <v>0.1</v>
      </c>
      <c r="O961">
        <v>0.57750000000000001</v>
      </c>
      <c r="P961" t="s">
        <v>40</v>
      </c>
    </row>
    <row r="962" spans="1:16" hidden="1" x14ac:dyDescent="0.25">
      <c r="A962" s="12">
        <v>46063</v>
      </c>
      <c r="B962" t="s">
        <v>9</v>
      </c>
      <c r="C962" t="s">
        <v>19</v>
      </c>
      <c r="D962">
        <v>12</v>
      </c>
      <c r="E962">
        <v>25</v>
      </c>
      <c r="F962">
        <v>22.343118525342369</v>
      </c>
      <c r="G962" t="str">
        <f>FLOOR(FinalData[[#This Row],[Temperature_C]],2)&amp;"–"&amp;(FLOOR(FinalData[[#This Row],[Temperature_C]],2)+2)&amp;"°C"</f>
        <v>22–24°C</v>
      </c>
      <c r="H962">
        <v>3.81</v>
      </c>
      <c r="I962">
        <v>2026</v>
      </c>
      <c r="J962">
        <v>2</v>
      </c>
      <c r="K962">
        <v>10</v>
      </c>
      <c r="L962">
        <v>2</v>
      </c>
      <c r="M962">
        <v>0</v>
      </c>
      <c r="N962">
        <v>0.48</v>
      </c>
      <c r="O962">
        <v>0.3175</v>
      </c>
      <c r="P962" t="s">
        <v>40</v>
      </c>
    </row>
    <row r="963" spans="1:16" hidden="1" x14ac:dyDescent="0.25">
      <c r="A963" s="12">
        <v>46063.041666666664</v>
      </c>
      <c r="B963" t="s">
        <v>7</v>
      </c>
      <c r="C963" t="s">
        <v>20</v>
      </c>
      <c r="D963">
        <v>16</v>
      </c>
      <c r="E963">
        <v>30</v>
      </c>
      <c r="F963">
        <v>22.93087152031239</v>
      </c>
      <c r="G963" t="str">
        <f>FLOOR(FinalData[[#This Row],[Temperature_C]],2)&amp;"–"&amp;(FLOOR(FinalData[[#This Row],[Temperature_C]],2)+2)&amp;"°C"</f>
        <v>22–24°C</v>
      </c>
      <c r="H963">
        <v>5.21</v>
      </c>
      <c r="I963">
        <v>2026</v>
      </c>
      <c r="J963">
        <v>2</v>
      </c>
      <c r="K963">
        <v>10</v>
      </c>
      <c r="L963">
        <v>2</v>
      </c>
      <c r="M963">
        <v>1</v>
      </c>
      <c r="N963">
        <v>0.53333333333333333</v>
      </c>
      <c r="O963">
        <v>0.325625</v>
      </c>
      <c r="P963" t="s">
        <v>40</v>
      </c>
    </row>
    <row r="964" spans="1:16" hidden="1" x14ac:dyDescent="0.25">
      <c r="A964" s="12">
        <v>46063.083333333336</v>
      </c>
      <c r="B964" t="s">
        <v>13</v>
      </c>
      <c r="C964" t="s">
        <v>31</v>
      </c>
      <c r="D964">
        <v>5</v>
      </c>
      <c r="E964">
        <v>40</v>
      </c>
      <c r="F964">
        <v>26.18404979715217</v>
      </c>
      <c r="G964" t="str">
        <f>FLOOR(FinalData[[#This Row],[Temperature_C]],2)&amp;"–"&amp;(FLOOR(FinalData[[#This Row],[Temperature_C]],2)+2)&amp;"°C"</f>
        <v>26–28°C</v>
      </c>
      <c r="H964">
        <v>2.5</v>
      </c>
      <c r="I964">
        <v>2026</v>
      </c>
      <c r="J964">
        <v>2</v>
      </c>
      <c r="K964">
        <v>10</v>
      </c>
      <c r="L964">
        <v>2</v>
      </c>
      <c r="M964">
        <v>2</v>
      </c>
      <c r="N964">
        <v>0.125</v>
      </c>
      <c r="O964">
        <v>0.5</v>
      </c>
      <c r="P964" t="s">
        <v>40</v>
      </c>
    </row>
    <row r="965" spans="1:16" hidden="1" x14ac:dyDescent="0.25">
      <c r="A965" s="12">
        <v>46063.125</v>
      </c>
      <c r="B965" t="s">
        <v>18</v>
      </c>
      <c r="C965" t="s">
        <v>29</v>
      </c>
      <c r="D965">
        <v>12</v>
      </c>
      <c r="E965">
        <v>25</v>
      </c>
      <c r="F965">
        <v>20.185902938002108</v>
      </c>
      <c r="G965" t="str">
        <f>FLOOR(FinalData[[#This Row],[Temperature_C]],2)&amp;"–"&amp;(FLOOR(FinalData[[#This Row],[Temperature_C]],2)+2)&amp;"°C"</f>
        <v>20–22°C</v>
      </c>
      <c r="H965">
        <v>3.56</v>
      </c>
      <c r="I965">
        <v>2026</v>
      </c>
      <c r="J965">
        <v>2</v>
      </c>
      <c r="K965">
        <v>10</v>
      </c>
      <c r="L965">
        <v>2</v>
      </c>
      <c r="M965">
        <v>3</v>
      </c>
      <c r="N965">
        <v>0.48</v>
      </c>
      <c r="O965">
        <v>0.29666666666666669</v>
      </c>
      <c r="P965" t="s">
        <v>40</v>
      </c>
    </row>
    <row r="966" spans="1:16" hidden="1" x14ac:dyDescent="0.25">
      <c r="A966" s="12">
        <v>46063.166666666664</v>
      </c>
      <c r="B966" t="s">
        <v>18</v>
      </c>
      <c r="C966" t="s">
        <v>12</v>
      </c>
      <c r="D966">
        <v>4</v>
      </c>
      <c r="E966">
        <v>25</v>
      </c>
      <c r="F966">
        <v>24.288621000216398</v>
      </c>
      <c r="G966" t="str">
        <f>FLOOR(FinalData[[#This Row],[Temperature_C]],2)&amp;"–"&amp;(FLOOR(FinalData[[#This Row],[Temperature_C]],2)+2)&amp;"°C"</f>
        <v>24–26°C</v>
      </c>
      <c r="H966">
        <v>2.19</v>
      </c>
      <c r="I966">
        <v>2026</v>
      </c>
      <c r="J966">
        <v>2</v>
      </c>
      <c r="K966">
        <v>10</v>
      </c>
      <c r="L966">
        <v>2</v>
      </c>
      <c r="M966">
        <v>4</v>
      </c>
      <c r="N966">
        <v>0.16</v>
      </c>
      <c r="O966">
        <v>0.54749999999999999</v>
      </c>
      <c r="P966" t="s">
        <v>40</v>
      </c>
    </row>
    <row r="967" spans="1:16" hidden="1" x14ac:dyDescent="0.25">
      <c r="A967" s="12">
        <v>46063.208333333336</v>
      </c>
      <c r="B967" t="s">
        <v>13</v>
      </c>
      <c r="C967" t="s">
        <v>28</v>
      </c>
      <c r="D967">
        <v>6</v>
      </c>
      <c r="E967">
        <v>30</v>
      </c>
      <c r="F967">
        <v>23.236031928215809</v>
      </c>
      <c r="G967" t="str">
        <f>FLOOR(FinalData[[#This Row],[Temperature_C]],2)&amp;"–"&amp;(FLOOR(FinalData[[#This Row],[Temperature_C]],2)+2)&amp;"°C"</f>
        <v>22–24°C</v>
      </c>
      <c r="H967">
        <v>1.86</v>
      </c>
      <c r="I967">
        <v>2026</v>
      </c>
      <c r="J967">
        <v>2</v>
      </c>
      <c r="K967">
        <v>10</v>
      </c>
      <c r="L967">
        <v>2</v>
      </c>
      <c r="M967">
        <v>5</v>
      </c>
      <c r="N967">
        <v>0.2</v>
      </c>
      <c r="O967">
        <v>0.31</v>
      </c>
      <c r="P967" t="s">
        <v>40</v>
      </c>
    </row>
    <row r="968" spans="1:16" hidden="1" x14ac:dyDescent="0.25">
      <c r="A968" s="12">
        <v>46063.25</v>
      </c>
      <c r="B968" t="s">
        <v>13</v>
      </c>
      <c r="C968" t="s">
        <v>26</v>
      </c>
      <c r="D968">
        <v>7</v>
      </c>
      <c r="E968">
        <v>40</v>
      </c>
      <c r="F968">
        <v>21.70170763048219</v>
      </c>
      <c r="G968" t="str">
        <f>FLOOR(FinalData[[#This Row],[Temperature_C]],2)&amp;"–"&amp;(FLOOR(FinalData[[#This Row],[Temperature_C]],2)+2)&amp;"°C"</f>
        <v>20–22°C</v>
      </c>
      <c r="H968">
        <v>2.48</v>
      </c>
      <c r="I968">
        <v>2026</v>
      </c>
      <c r="J968">
        <v>2</v>
      </c>
      <c r="K968">
        <v>10</v>
      </c>
      <c r="L968">
        <v>2</v>
      </c>
      <c r="M968">
        <v>6</v>
      </c>
      <c r="N968">
        <v>0.17499999999999999</v>
      </c>
      <c r="O968">
        <v>0.35428571428571426</v>
      </c>
      <c r="P968" t="s">
        <v>40</v>
      </c>
    </row>
    <row r="969" spans="1:16" x14ac:dyDescent="0.25">
      <c r="A969" s="12">
        <v>46063.291666666664</v>
      </c>
      <c r="B969" t="s">
        <v>11</v>
      </c>
      <c r="C969" t="s">
        <v>16</v>
      </c>
      <c r="D969">
        <v>13</v>
      </c>
      <c r="E969">
        <v>30</v>
      </c>
      <c r="F969">
        <v>22.281733955405841</v>
      </c>
      <c r="G969" t="str">
        <f>FLOOR(FinalData[[#This Row],[Temperature_C]],2)&amp;"–"&amp;(FLOOR(FinalData[[#This Row],[Temperature_C]],2)+2)&amp;"°C"</f>
        <v>22–24°C</v>
      </c>
      <c r="H969">
        <v>3.48</v>
      </c>
      <c r="I969">
        <v>2026</v>
      </c>
      <c r="J969">
        <v>2</v>
      </c>
      <c r="K969">
        <v>10</v>
      </c>
      <c r="L969">
        <v>2</v>
      </c>
      <c r="M969">
        <v>7</v>
      </c>
      <c r="N969">
        <v>0.43333333333333335</v>
      </c>
      <c r="O969">
        <v>0.26769230769230767</v>
      </c>
      <c r="P969" t="s">
        <v>41</v>
      </c>
    </row>
    <row r="970" spans="1:16" hidden="1" x14ac:dyDescent="0.25">
      <c r="A970" s="12">
        <v>46063.333333333336</v>
      </c>
      <c r="B970" t="s">
        <v>18</v>
      </c>
      <c r="C970" t="s">
        <v>30</v>
      </c>
      <c r="D970">
        <v>12</v>
      </c>
      <c r="E970">
        <v>40</v>
      </c>
      <c r="F970">
        <v>24.94282471534472</v>
      </c>
      <c r="G970" t="str">
        <f>FLOOR(FinalData[[#This Row],[Temperature_C]],2)&amp;"–"&amp;(FLOOR(FinalData[[#This Row],[Temperature_C]],2)+2)&amp;"°C"</f>
        <v>24–26°C</v>
      </c>
      <c r="H970">
        <v>3.85</v>
      </c>
      <c r="I970">
        <v>2026</v>
      </c>
      <c r="J970">
        <v>2</v>
      </c>
      <c r="K970">
        <v>10</v>
      </c>
      <c r="L970">
        <v>2</v>
      </c>
      <c r="M970">
        <v>8</v>
      </c>
      <c r="N970">
        <v>0.3</v>
      </c>
      <c r="O970">
        <v>0.32083333333333336</v>
      </c>
      <c r="P970" t="s">
        <v>41</v>
      </c>
    </row>
    <row r="971" spans="1:16" hidden="1" x14ac:dyDescent="0.25">
      <c r="A971" s="12">
        <v>46063.375</v>
      </c>
      <c r="B971" t="s">
        <v>9</v>
      </c>
      <c r="C971" t="s">
        <v>19</v>
      </c>
      <c r="D971">
        <v>8</v>
      </c>
      <c r="E971">
        <v>30</v>
      </c>
      <c r="F971">
        <v>26.201125014739919</v>
      </c>
      <c r="G971" t="str">
        <f>FLOOR(FinalData[[#This Row],[Temperature_C]],2)&amp;"–"&amp;(FLOOR(FinalData[[#This Row],[Temperature_C]],2)+2)&amp;"°C"</f>
        <v>26–28°C</v>
      </c>
      <c r="H971">
        <v>3.31</v>
      </c>
      <c r="I971">
        <v>2026</v>
      </c>
      <c r="J971">
        <v>2</v>
      </c>
      <c r="K971">
        <v>10</v>
      </c>
      <c r="L971">
        <v>2</v>
      </c>
      <c r="M971">
        <v>9</v>
      </c>
      <c r="N971">
        <v>0.26666666666666666</v>
      </c>
      <c r="O971">
        <v>0.41375000000000001</v>
      </c>
      <c r="P971" t="s">
        <v>41</v>
      </c>
    </row>
    <row r="972" spans="1:16" x14ac:dyDescent="0.25">
      <c r="A972" s="12">
        <v>46063.416666666664</v>
      </c>
      <c r="B972" t="s">
        <v>11</v>
      </c>
      <c r="C972" t="s">
        <v>24</v>
      </c>
      <c r="D972">
        <v>6</v>
      </c>
      <c r="E972">
        <v>20</v>
      </c>
      <c r="F972">
        <v>25.314489095462051</v>
      </c>
      <c r="G972" t="str">
        <f>FLOOR(FinalData[[#This Row],[Temperature_C]],2)&amp;"–"&amp;(FLOOR(FinalData[[#This Row],[Temperature_C]],2)+2)&amp;"°C"</f>
        <v>24–26°C</v>
      </c>
      <c r="H972">
        <v>2.75</v>
      </c>
      <c r="I972">
        <v>2026</v>
      </c>
      <c r="J972">
        <v>2</v>
      </c>
      <c r="K972">
        <v>10</v>
      </c>
      <c r="L972">
        <v>2</v>
      </c>
      <c r="M972">
        <v>10</v>
      </c>
      <c r="N972">
        <v>0.3</v>
      </c>
      <c r="O972">
        <v>0.45833333333333331</v>
      </c>
      <c r="P972" t="s">
        <v>41</v>
      </c>
    </row>
    <row r="973" spans="1:16" hidden="1" x14ac:dyDescent="0.25">
      <c r="A973" s="12">
        <v>46063.458333333336</v>
      </c>
      <c r="B973" t="s">
        <v>13</v>
      </c>
      <c r="C973" t="s">
        <v>20</v>
      </c>
      <c r="D973">
        <v>12</v>
      </c>
      <c r="E973">
        <v>25</v>
      </c>
      <c r="F973">
        <v>22.271419808215182</v>
      </c>
      <c r="G973" t="str">
        <f>FLOOR(FinalData[[#This Row],[Temperature_C]],2)&amp;"–"&amp;(FLOOR(FinalData[[#This Row],[Temperature_C]],2)+2)&amp;"°C"</f>
        <v>22–24°C</v>
      </c>
      <c r="H973">
        <v>4.45</v>
      </c>
      <c r="I973">
        <v>2026</v>
      </c>
      <c r="J973">
        <v>2</v>
      </c>
      <c r="K973">
        <v>10</v>
      </c>
      <c r="L973">
        <v>2</v>
      </c>
      <c r="M973">
        <v>11</v>
      </c>
      <c r="N973">
        <v>0.48</v>
      </c>
      <c r="O973">
        <v>0.37083333333333335</v>
      </c>
      <c r="P973" t="s">
        <v>41</v>
      </c>
    </row>
    <row r="974" spans="1:16" hidden="1" x14ac:dyDescent="0.25">
      <c r="A974" s="12">
        <v>46063.5</v>
      </c>
      <c r="B974" t="s">
        <v>11</v>
      </c>
      <c r="C974" t="s">
        <v>8</v>
      </c>
      <c r="D974">
        <v>8</v>
      </c>
      <c r="E974">
        <v>20</v>
      </c>
      <c r="F974">
        <v>25.512394878827369</v>
      </c>
      <c r="G974" t="str">
        <f>FLOOR(FinalData[[#This Row],[Temperature_C]],2)&amp;"–"&amp;(FLOOR(FinalData[[#This Row],[Temperature_C]],2)+2)&amp;"°C"</f>
        <v>24–26°C</v>
      </c>
      <c r="H974">
        <v>3.68</v>
      </c>
      <c r="I974">
        <v>2026</v>
      </c>
      <c r="J974">
        <v>2</v>
      </c>
      <c r="K974">
        <v>10</v>
      </c>
      <c r="L974">
        <v>2</v>
      </c>
      <c r="M974">
        <v>12</v>
      </c>
      <c r="N974">
        <v>0.4</v>
      </c>
      <c r="O974">
        <v>0.46</v>
      </c>
      <c r="P974" t="s">
        <v>42</v>
      </c>
    </row>
    <row r="975" spans="1:16" hidden="1" x14ac:dyDescent="0.25">
      <c r="A975" s="12">
        <v>46063.541666666664</v>
      </c>
      <c r="B975" t="s">
        <v>7</v>
      </c>
      <c r="C975" t="s">
        <v>8</v>
      </c>
      <c r="D975">
        <v>7</v>
      </c>
      <c r="E975">
        <v>25</v>
      </c>
      <c r="F975">
        <v>21.26623083023307</v>
      </c>
      <c r="G975" t="str">
        <f>FLOOR(FinalData[[#This Row],[Temperature_C]],2)&amp;"–"&amp;(FLOOR(FinalData[[#This Row],[Temperature_C]],2)+2)&amp;"°C"</f>
        <v>20–22°C</v>
      </c>
      <c r="H975">
        <v>2.65</v>
      </c>
      <c r="I975">
        <v>2026</v>
      </c>
      <c r="J975">
        <v>2</v>
      </c>
      <c r="K975">
        <v>10</v>
      </c>
      <c r="L975">
        <v>2</v>
      </c>
      <c r="M975">
        <v>13</v>
      </c>
      <c r="N975">
        <v>0.28000000000000003</v>
      </c>
      <c r="O975">
        <v>0.37857142857142856</v>
      </c>
      <c r="P975" t="s">
        <v>42</v>
      </c>
    </row>
    <row r="976" spans="1:16" hidden="1" x14ac:dyDescent="0.25">
      <c r="A976" s="12">
        <v>46063.583333333336</v>
      </c>
      <c r="B976" t="s">
        <v>11</v>
      </c>
      <c r="C976" t="s">
        <v>26</v>
      </c>
      <c r="D976">
        <v>16</v>
      </c>
      <c r="E976">
        <v>20</v>
      </c>
      <c r="F976">
        <v>20.54199427901111</v>
      </c>
      <c r="G976" t="str">
        <f>FLOOR(FinalData[[#This Row],[Temperature_C]],2)&amp;"–"&amp;(FLOOR(FinalData[[#This Row],[Temperature_C]],2)+2)&amp;"°C"</f>
        <v>20–22°C</v>
      </c>
      <c r="H976">
        <v>5.3</v>
      </c>
      <c r="I976">
        <v>2026</v>
      </c>
      <c r="J976">
        <v>2</v>
      </c>
      <c r="K976">
        <v>10</v>
      </c>
      <c r="L976">
        <v>2</v>
      </c>
      <c r="M976">
        <v>14</v>
      </c>
      <c r="N976">
        <v>0.8</v>
      </c>
      <c r="O976">
        <v>0.33124999999999999</v>
      </c>
      <c r="P976" t="s">
        <v>42</v>
      </c>
    </row>
    <row r="977" spans="1:16" hidden="1" x14ac:dyDescent="0.25">
      <c r="A977" s="12">
        <v>46063.625</v>
      </c>
      <c r="B977" t="s">
        <v>7</v>
      </c>
      <c r="C977" t="s">
        <v>28</v>
      </c>
      <c r="D977">
        <v>6</v>
      </c>
      <c r="E977">
        <v>20</v>
      </c>
      <c r="F977">
        <v>22.026647354236811</v>
      </c>
      <c r="G977" t="str">
        <f>FLOOR(FinalData[[#This Row],[Temperature_C]],2)&amp;"–"&amp;(FLOOR(FinalData[[#This Row],[Temperature_C]],2)+2)&amp;"°C"</f>
        <v>22–24°C</v>
      </c>
      <c r="H977">
        <v>2.59</v>
      </c>
      <c r="I977">
        <v>2026</v>
      </c>
      <c r="J977">
        <v>2</v>
      </c>
      <c r="K977">
        <v>10</v>
      </c>
      <c r="L977">
        <v>2</v>
      </c>
      <c r="M977">
        <v>15</v>
      </c>
      <c r="N977">
        <v>0.3</v>
      </c>
      <c r="O977">
        <v>0.43166666666666664</v>
      </c>
      <c r="P977" t="s">
        <v>42</v>
      </c>
    </row>
    <row r="978" spans="1:16" hidden="1" x14ac:dyDescent="0.25">
      <c r="A978" s="12">
        <v>46063.666666666664</v>
      </c>
      <c r="B978" t="s">
        <v>9</v>
      </c>
      <c r="C978" t="s">
        <v>29</v>
      </c>
      <c r="D978">
        <v>10</v>
      </c>
      <c r="E978">
        <v>30</v>
      </c>
      <c r="F978">
        <v>20.976437648554331</v>
      </c>
      <c r="G978" t="str">
        <f>FLOOR(FinalData[[#This Row],[Temperature_C]],2)&amp;"–"&amp;(FLOOR(FinalData[[#This Row],[Temperature_C]],2)+2)&amp;"°C"</f>
        <v>20–22°C</v>
      </c>
      <c r="H978">
        <v>3.36</v>
      </c>
      <c r="I978">
        <v>2026</v>
      </c>
      <c r="J978">
        <v>2</v>
      </c>
      <c r="K978">
        <v>10</v>
      </c>
      <c r="L978">
        <v>2</v>
      </c>
      <c r="M978">
        <v>16</v>
      </c>
      <c r="N978">
        <v>0.33333333333333331</v>
      </c>
      <c r="O978">
        <v>0.33599999999999997</v>
      </c>
      <c r="P978" t="s">
        <v>42</v>
      </c>
    </row>
    <row r="979" spans="1:16" hidden="1" x14ac:dyDescent="0.25">
      <c r="A979" s="12">
        <v>46063.708333333336</v>
      </c>
      <c r="B979" t="s">
        <v>9</v>
      </c>
      <c r="C979" t="s">
        <v>16</v>
      </c>
      <c r="D979">
        <v>8</v>
      </c>
      <c r="E979">
        <v>25</v>
      </c>
      <c r="F979">
        <v>22.699063717010031</v>
      </c>
      <c r="G979" t="str">
        <f>FLOOR(FinalData[[#This Row],[Temperature_C]],2)&amp;"–"&amp;(FLOOR(FinalData[[#This Row],[Temperature_C]],2)+2)&amp;"°C"</f>
        <v>22–24°C</v>
      </c>
      <c r="H979">
        <v>2.71</v>
      </c>
      <c r="I979">
        <v>2026</v>
      </c>
      <c r="J979">
        <v>2</v>
      </c>
      <c r="K979">
        <v>10</v>
      </c>
      <c r="L979">
        <v>2</v>
      </c>
      <c r="M979">
        <v>17</v>
      </c>
      <c r="N979">
        <v>0.32</v>
      </c>
      <c r="O979">
        <v>0.33875</v>
      </c>
      <c r="P979" t="s">
        <v>43</v>
      </c>
    </row>
    <row r="980" spans="1:16" hidden="1" x14ac:dyDescent="0.25">
      <c r="A980" s="12">
        <v>46063.75</v>
      </c>
      <c r="B980" t="s">
        <v>13</v>
      </c>
      <c r="C980" t="s">
        <v>30</v>
      </c>
      <c r="D980">
        <v>11</v>
      </c>
      <c r="E980">
        <v>40</v>
      </c>
      <c r="F980">
        <v>23.089104331142298</v>
      </c>
      <c r="G980" t="str">
        <f>FLOOR(FinalData[[#This Row],[Temperature_C]],2)&amp;"–"&amp;(FLOOR(FinalData[[#This Row],[Temperature_C]],2)+2)&amp;"°C"</f>
        <v>22–24°C</v>
      </c>
      <c r="H980">
        <v>3.3</v>
      </c>
      <c r="I980">
        <v>2026</v>
      </c>
      <c r="J980">
        <v>2</v>
      </c>
      <c r="K980">
        <v>10</v>
      </c>
      <c r="L980">
        <v>2</v>
      </c>
      <c r="M980">
        <v>18</v>
      </c>
      <c r="N980">
        <v>0.27500000000000002</v>
      </c>
      <c r="O980">
        <v>0.3</v>
      </c>
      <c r="P980" t="s">
        <v>43</v>
      </c>
    </row>
    <row r="981" spans="1:16" hidden="1" x14ac:dyDescent="0.25">
      <c r="A981" s="12">
        <v>46063.791666666664</v>
      </c>
      <c r="B981" t="s">
        <v>9</v>
      </c>
      <c r="C981" t="s">
        <v>20</v>
      </c>
      <c r="D981">
        <v>8</v>
      </c>
      <c r="E981">
        <v>20</v>
      </c>
      <c r="F981">
        <v>22.71082256602789</v>
      </c>
      <c r="G981" t="str">
        <f>FLOOR(FinalData[[#This Row],[Temperature_C]],2)&amp;"–"&amp;(FLOOR(FinalData[[#This Row],[Temperature_C]],2)+2)&amp;"°C"</f>
        <v>22–24°C</v>
      </c>
      <c r="H981">
        <v>3.37</v>
      </c>
      <c r="I981">
        <v>2026</v>
      </c>
      <c r="J981">
        <v>2</v>
      </c>
      <c r="K981">
        <v>10</v>
      </c>
      <c r="L981">
        <v>2</v>
      </c>
      <c r="M981">
        <v>19</v>
      </c>
      <c r="N981">
        <v>0.4</v>
      </c>
      <c r="O981">
        <v>0.42125000000000001</v>
      </c>
      <c r="P981" t="s">
        <v>43</v>
      </c>
    </row>
    <row r="982" spans="1:16" hidden="1" x14ac:dyDescent="0.25">
      <c r="A982" s="12">
        <v>46063.833333333336</v>
      </c>
      <c r="B982" t="s">
        <v>18</v>
      </c>
      <c r="C982" t="s">
        <v>12</v>
      </c>
      <c r="D982">
        <v>9</v>
      </c>
      <c r="E982">
        <v>25</v>
      </c>
      <c r="F982">
        <v>24.65377843963342</v>
      </c>
      <c r="G982" t="str">
        <f>FLOOR(FinalData[[#This Row],[Temperature_C]],2)&amp;"–"&amp;(FLOOR(FinalData[[#This Row],[Temperature_C]],2)+2)&amp;"°C"</f>
        <v>24–26°C</v>
      </c>
      <c r="H982">
        <v>3.37</v>
      </c>
      <c r="I982">
        <v>2026</v>
      </c>
      <c r="J982">
        <v>2</v>
      </c>
      <c r="K982">
        <v>10</v>
      </c>
      <c r="L982">
        <v>2</v>
      </c>
      <c r="M982">
        <v>20</v>
      </c>
      <c r="N982">
        <v>0.36</v>
      </c>
      <c r="O982">
        <v>0.37444444444444447</v>
      </c>
      <c r="P982" t="s">
        <v>43</v>
      </c>
    </row>
    <row r="983" spans="1:16" hidden="1" x14ac:dyDescent="0.25">
      <c r="A983" s="12">
        <v>46063.875</v>
      </c>
      <c r="B983" t="s">
        <v>13</v>
      </c>
      <c r="C983" t="s">
        <v>27</v>
      </c>
      <c r="D983">
        <v>10</v>
      </c>
      <c r="E983">
        <v>25</v>
      </c>
      <c r="F983">
        <v>21.046759368272891</v>
      </c>
      <c r="G983" t="str">
        <f>FLOOR(FinalData[[#This Row],[Temperature_C]],2)&amp;"–"&amp;(FLOOR(FinalData[[#This Row],[Temperature_C]],2)+2)&amp;"°C"</f>
        <v>20–22°C</v>
      </c>
      <c r="H983">
        <v>3.49</v>
      </c>
      <c r="I983">
        <v>2026</v>
      </c>
      <c r="J983">
        <v>2</v>
      </c>
      <c r="K983">
        <v>10</v>
      </c>
      <c r="L983">
        <v>2</v>
      </c>
      <c r="M983">
        <v>21</v>
      </c>
      <c r="N983">
        <v>0.4</v>
      </c>
      <c r="O983">
        <v>0.34900000000000003</v>
      </c>
      <c r="P983" t="s">
        <v>40</v>
      </c>
    </row>
    <row r="984" spans="1:16" hidden="1" x14ac:dyDescent="0.25">
      <c r="A984" s="12">
        <v>46063.916666666664</v>
      </c>
      <c r="B984" t="s">
        <v>18</v>
      </c>
      <c r="C984" t="s">
        <v>14</v>
      </c>
      <c r="D984">
        <v>7</v>
      </c>
      <c r="E984">
        <v>30</v>
      </c>
      <c r="F984">
        <v>22.55394863746719</v>
      </c>
      <c r="G984" t="str">
        <f>FLOOR(FinalData[[#This Row],[Temperature_C]],2)&amp;"–"&amp;(FLOOR(FinalData[[#This Row],[Temperature_C]],2)+2)&amp;"°C"</f>
        <v>22–24°C</v>
      </c>
      <c r="H984">
        <v>2.72</v>
      </c>
      <c r="I984">
        <v>2026</v>
      </c>
      <c r="J984">
        <v>2</v>
      </c>
      <c r="K984">
        <v>10</v>
      </c>
      <c r="L984">
        <v>2</v>
      </c>
      <c r="M984">
        <v>22</v>
      </c>
      <c r="N984">
        <v>0.23333333333333334</v>
      </c>
      <c r="O984">
        <v>0.38857142857142862</v>
      </c>
      <c r="P984" t="s">
        <v>40</v>
      </c>
    </row>
    <row r="985" spans="1:16" hidden="1" x14ac:dyDescent="0.25">
      <c r="A985" s="12">
        <v>46063.958333333336</v>
      </c>
      <c r="B985" t="s">
        <v>7</v>
      </c>
      <c r="C985" t="s">
        <v>16</v>
      </c>
      <c r="D985">
        <v>8</v>
      </c>
      <c r="E985">
        <v>30</v>
      </c>
      <c r="F985">
        <v>22.952889199558491</v>
      </c>
      <c r="G985" t="str">
        <f>FLOOR(FinalData[[#This Row],[Temperature_C]],2)&amp;"–"&amp;(FLOOR(FinalData[[#This Row],[Temperature_C]],2)+2)&amp;"°C"</f>
        <v>22–24°C</v>
      </c>
      <c r="H985">
        <v>2.86</v>
      </c>
      <c r="I985">
        <v>2026</v>
      </c>
      <c r="J985">
        <v>2</v>
      </c>
      <c r="K985">
        <v>10</v>
      </c>
      <c r="L985">
        <v>2</v>
      </c>
      <c r="M985">
        <v>23</v>
      </c>
      <c r="N985">
        <v>0.26666666666666666</v>
      </c>
      <c r="O985">
        <v>0.35749999999999998</v>
      </c>
      <c r="P985" t="s">
        <v>40</v>
      </c>
    </row>
    <row r="986" spans="1:16" hidden="1" x14ac:dyDescent="0.25">
      <c r="A986" s="12">
        <v>46064</v>
      </c>
      <c r="B986" t="s">
        <v>11</v>
      </c>
      <c r="C986" t="s">
        <v>26</v>
      </c>
      <c r="D986">
        <v>6</v>
      </c>
      <c r="E986">
        <v>20</v>
      </c>
      <c r="F986">
        <v>22.267316645724481</v>
      </c>
      <c r="G986" t="str">
        <f>FLOOR(FinalData[[#This Row],[Temperature_C]],2)&amp;"–"&amp;(FLOOR(FinalData[[#This Row],[Temperature_C]],2)+2)&amp;"°C"</f>
        <v>22–24°C</v>
      </c>
      <c r="H986">
        <v>2.39</v>
      </c>
      <c r="I986">
        <v>2026</v>
      </c>
      <c r="J986">
        <v>2</v>
      </c>
      <c r="K986">
        <v>11</v>
      </c>
      <c r="L986">
        <v>3</v>
      </c>
      <c r="M986">
        <v>0</v>
      </c>
      <c r="N986">
        <v>0.3</v>
      </c>
      <c r="O986">
        <v>0.39833333333333337</v>
      </c>
      <c r="P986" t="s">
        <v>40</v>
      </c>
    </row>
    <row r="987" spans="1:16" hidden="1" x14ac:dyDescent="0.25">
      <c r="A987" s="12">
        <v>46064.041666666664</v>
      </c>
      <c r="B987" t="s">
        <v>11</v>
      </c>
      <c r="C987" t="s">
        <v>20</v>
      </c>
      <c r="D987">
        <v>12</v>
      </c>
      <c r="E987">
        <v>30</v>
      </c>
      <c r="F987">
        <v>21.85644618278123</v>
      </c>
      <c r="G987" t="str">
        <f>FLOOR(FinalData[[#This Row],[Temperature_C]],2)&amp;"–"&amp;(FLOOR(FinalData[[#This Row],[Temperature_C]],2)+2)&amp;"°C"</f>
        <v>20–22°C</v>
      </c>
      <c r="H987">
        <v>3.27</v>
      </c>
      <c r="I987">
        <v>2026</v>
      </c>
      <c r="J987">
        <v>2</v>
      </c>
      <c r="K987">
        <v>11</v>
      </c>
      <c r="L987">
        <v>3</v>
      </c>
      <c r="M987">
        <v>1</v>
      </c>
      <c r="N987">
        <v>0.4</v>
      </c>
      <c r="O987">
        <v>0.27250000000000002</v>
      </c>
      <c r="P987" t="s">
        <v>40</v>
      </c>
    </row>
    <row r="988" spans="1:16" hidden="1" x14ac:dyDescent="0.25">
      <c r="A988" s="12">
        <v>46064.083333333336</v>
      </c>
      <c r="B988" t="s">
        <v>13</v>
      </c>
      <c r="C988" t="s">
        <v>17</v>
      </c>
      <c r="D988">
        <v>4</v>
      </c>
      <c r="E988">
        <v>20</v>
      </c>
      <c r="F988">
        <v>23.665520957274019</v>
      </c>
      <c r="G988" t="str">
        <f>FLOOR(FinalData[[#This Row],[Temperature_C]],2)&amp;"–"&amp;(FLOOR(FinalData[[#This Row],[Temperature_C]],2)+2)&amp;"°C"</f>
        <v>22–24°C</v>
      </c>
      <c r="H988">
        <v>2.2200000000000002</v>
      </c>
      <c r="I988">
        <v>2026</v>
      </c>
      <c r="J988">
        <v>2</v>
      </c>
      <c r="K988">
        <v>11</v>
      </c>
      <c r="L988">
        <v>3</v>
      </c>
      <c r="M988">
        <v>2</v>
      </c>
      <c r="N988">
        <v>0.2</v>
      </c>
      <c r="O988">
        <v>0.55500000000000005</v>
      </c>
      <c r="P988" t="s">
        <v>40</v>
      </c>
    </row>
    <row r="989" spans="1:16" hidden="1" x14ac:dyDescent="0.25">
      <c r="A989" s="12">
        <v>46064.125</v>
      </c>
      <c r="B989" t="s">
        <v>7</v>
      </c>
      <c r="C989" t="s">
        <v>16</v>
      </c>
      <c r="D989">
        <v>7</v>
      </c>
      <c r="E989">
        <v>20</v>
      </c>
      <c r="F989">
        <v>24.906018996428099</v>
      </c>
      <c r="G989" t="str">
        <f>FLOOR(FinalData[[#This Row],[Temperature_C]],2)&amp;"–"&amp;(FLOOR(FinalData[[#This Row],[Temperature_C]],2)+2)&amp;"°C"</f>
        <v>24–26°C</v>
      </c>
      <c r="H989">
        <v>2.9</v>
      </c>
      <c r="I989">
        <v>2026</v>
      </c>
      <c r="J989">
        <v>2</v>
      </c>
      <c r="K989">
        <v>11</v>
      </c>
      <c r="L989">
        <v>3</v>
      </c>
      <c r="M989">
        <v>3</v>
      </c>
      <c r="N989">
        <v>0.35</v>
      </c>
      <c r="O989">
        <v>0.41428571428571426</v>
      </c>
      <c r="P989" t="s">
        <v>40</v>
      </c>
    </row>
    <row r="990" spans="1:16" hidden="1" x14ac:dyDescent="0.25">
      <c r="A990" s="12">
        <v>46064.166666666664</v>
      </c>
      <c r="B990" t="s">
        <v>18</v>
      </c>
      <c r="C990" t="s">
        <v>15</v>
      </c>
      <c r="D990">
        <v>7</v>
      </c>
      <c r="E990">
        <v>20</v>
      </c>
      <c r="F990">
        <v>24.33413094545671</v>
      </c>
      <c r="G990" t="str">
        <f>FLOOR(FinalData[[#This Row],[Temperature_C]],2)&amp;"–"&amp;(FLOOR(FinalData[[#This Row],[Temperature_C]],2)+2)&amp;"°C"</f>
        <v>24–26°C</v>
      </c>
      <c r="H990">
        <v>2.44</v>
      </c>
      <c r="I990">
        <v>2026</v>
      </c>
      <c r="J990">
        <v>2</v>
      </c>
      <c r="K990">
        <v>11</v>
      </c>
      <c r="L990">
        <v>3</v>
      </c>
      <c r="M990">
        <v>4</v>
      </c>
      <c r="N990">
        <v>0.35</v>
      </c>
      <c r="O990">
        <v>0.34857142857142859</v>
      </c>
      <c r="P990" t="s">
        <v>40</v>
      </c>
    </row>
    <row r="991" spans="1:16" hidden="1" x14ac:dyDescent="0.25">
      <c r="A991" s="12">
        <v>46064.208333333336</v>
      </c>
      <c r="B991" t="s">
        <v>18</v>
      </c>
      <c r="C991" t="s">
        <v>31</v>
      </c>
      <c r="D991">
        <v>10</v>
      </c>
      <c r="E991">
        <v>20</v>
      </c>
      <c r="F991">
        <v>21.874406138495939</v>
      </c>
      <c r="G991" t="str">
        <f>FLOOR(FinalData[[#This Row],[Temperature_C]],2)&amp;"–"&amp;(FLOOR(FinalData[[#This Row],[Temperature_C]],2)+2)&amp;"°C"</f>
        <v>20–22°C</v>
      </c>
      <c r="H991">
        <v>3.8</v>
      </c>
      <c r="I991">
        <v>2026</v>
      </c>
      <c r="J991">
        <v>2</v>
      </c>
      <c r="K991">
        <v>11</v>
      </c>
      <c r="L991">
        <v>3</v>
      </c>
      <c r="M991">
        <v>5</v>
      </c>
      <c r="N991">
        <v>0.5</v>
      </c>
      <c r="O991">
        <v>0.38</v>
      </c>
      <c r="P991" t="s">
        <v>40</v>
      </c>
    </row>
    <row r="992" spans="1:16" hidden="1" x14ac:dyDescent="0.25">
      <c r="A992" s="12">
        <v>46064.25</v>
      </c>
      <c r="B992" t="s">
        <v>18</v>
      </c>
      <c r="C992" t="s">
        <v>19</v>
      </c>
      <c r="D992">
        <v>12</v>
      </c>
      <c r="E992">
        <v>30</v>
      </c>
      <c r="F992">
        <v>26.049034362231811</v>
      </c>
      <c r="G992" t="str">
        <f>FLOOR(FinalData[[#This Row],[Temperature_C]],2)&amp;"–"&amp;(FLOOR(FinalData[[#This Row],[Temperature_C]],2)+2)&amp;"°C"</f>
        <v>26–28°C</v>
      </c>
      <c r="H992">
        <v>4.2699999999999996</v>
      </c>
      <c r="I992">
        <v>2026</v>
      </c>
      <c r="J992">
        <v>2</v>
      </c>
      <c r="K992">
        <v>11</v>
      </c>
      <c r="L992">
        <v>3</v>
      </c>
      <c r="M992">
        <v>6</v>
      </c>
      <c r="N992">
        <v>0.4</v>
      </c>
      <c r="O992">
        <v>0.35583333333333328</v>
      </c>
      <c r="P992" t="s">
        <v>40</v>
      </c>
    </row>
    <row r="993" spans="1:16" hidden="1" x14ac:dyDescent="0.25">
      <c r="A993" s="12">
        <v>46064.291666666664</v>
      </c>
      <c r="B993" t="s">
        <v>7</v>
      </c>
      <c r="C993" t="s">
        <v>10</v>
      </c>
      <c r="D993">
        <v>8</v>
      </c>
      <c r="E993">
        <v>30</v>
      </c>
      <c r="F993">
        <v>23.94616534399011</v>
      </c>
      <c r="G993" t="str">
        <f>FLOOR(FinalData[[#This Row],[Temperature_C]],2)&amp;"–"&amp;(FLOOR(FinalData[[#This Row],[Temperature_C]],2)+2)&amp;"°C"</f>
        <v>22–24°C</v>
      </c>
      <c r="H993">
        <v>2.78</v>
      </c>
      <c r="I993">
        <v>2026</v>
      </c>
      <c r="J993">
        <v>2</v>
      </c>
      <c r="K993">
        <v>11</v>
      </c>
      <c r="L993">
        <v>3</v>
      </c>
      <c r="M993">
        <v>7</v>
      </c>
      <c r="N993">
        <v>0.26666666666666666</v>
      </c>
      <c r="O993">
        <v>0.34749999999999998</v>
      </c>
      <c r="P993" t="s">
        <v>41</v>
      </c>
    </row>
    <row r="994" spans="1:16" hidden="1" x14ac:dyDescent="0.25">
      <c r="A994" s="12">
        <v>46064.333333333336</v>
      </c>
      <c r="B994" t="s">
        <v>7</v>
      </c>
      <c r="C994" t="s">
        <v>15</v>
      </c>
      <c r="D994">
        <v>10</v>
      </c>
      <c r="E994">
        <v>30</v>
      </c>
      <c r="F994">
        <v>23.610301671749941</v>
      </c>
      <c r="G994" t="str">
        <f>FLOOR(FinalData[[#This Row],[Temperature_C]],2)&amp;"–"&amp;(FLOOR(FinalData[[#This Row],[Temperature_C]],2)+2)&amp;"°C"</f>
        <v>22–24°C</v>
      </c>
      <c r="H994">
        <v>3.89</v>
      </c>
      <c r="I994">
        <v>2026</v>
      </c>
      <c r="J994">
        <v>2</v>
      </c>
      <c r="K994">
        <v>11</v>
      </c>
      <c r="L994">
        <v>3</v>
      </c>
      <c r="M994">
        <v>8</v>
      </c>
      <c r="N994">
        <v>0.33333333333333331</v>
      </c>
      <c r="O994">
        <v>0.38900000000000001</v>
      </c>
      <c r="P994" t="s">
        <v>41</v>
      </c>
    </row>
    <row r="995" spans="1:16" hidden="1" x14ac:dyDescent="0.25">
      <c r="A995" s="12">
        <v>46064.375</v>
      </c>
      <c r="B995" t="s">
        <v>7</v>
      </c>
      <c r="C995" t="s">
        <v>19</v>
      </c>
      <c r="D995">
        <v>6</v>
      </c>
      <c r="E995">
        <v>25</v>
      </c>
      <c r="F995">
        <v>22.634395135187269</v>
      </c>
      <c r="G995" t="str">
        <f>FLOOR(FinalData[[#This Row],[Temperature_C]],2)&amp;"–"&amp;(FLOOR(FinalData[[#This Row],[Temperature_C]],2)+2)&amp;"°C"</f>
        <v>22–24°C</v>
      </c>
      <c r="H995">
        <v>2.13</v>
      </c>
      <c r="I995">
        <v>2026</v>
      </c>
      <c r="J995">
        <v>2</v>
      </c>
      <c r="K995">
        <v>11</v>
      </c>
      <c r="L995">
        <v>3</v>
      </c>
      <c r="M995">
        <v>9</v>
      </c>
      <c r="N995">
        <v>0.24</v>
      </c>
      <c r="O995">
        <v>0.35499999999999998</v>
      </c>
      <c r="P995" t="s">
        <v>41</v>
      </c>
    </row>
    <row r="996" spans="1:16" hidden="1" x14ac:dyDescent="0.25">
      <c r="A996" s="12">
        <v>46064.416666666664</v>
      </c>
      <c r="B996" t="s">
        <v>13</v>
      </c>
      <c r="C996" t="s">
        <v>21</v>
      </c>
      <c r="D996">
        <v>11</v>
      </c>
      <c r="E996">
        <v>25</v>
      </c>
      <c r="F996">
        <v>20.22646357832463</v>
      </c>
      <c r="G996" t="str">
        <f>FLOOR(FinalData[[#This Row],[Temperature_C]],2)&amp;"–"&amp;(FLOOR(FinalData[[#This Row],[Temperature_C]],2)+2)&amp;"°C"</f>
        <v>20–22°C</v>
      </c>
      <c r="H996">
        <v>3.78</v>
      </c>
      <c r="I996">
        <v>2026</v>
      </c>
      <c r="J996">
        <v>2</v>
      </c>
      <c r="K996">
        <v>11</v>
      </c>
      <c r="L996">
        <v>3</v>
      </c>
      <c r="M996">
        <v>10</v>
      </c>
      <c r="N996">
        <v>0.44</v>
      </c>
      <c r="O996">
        <v>0.34363636363636363</v>
      </c>
      <c r="P996" t="s">
        <v>41</v>
      </c>
    </row>
    <row r="997" spans="1:16" hidden="1" x14ac:dyDescent="0.25">
      <c r="A997" s="12">
        <v>46064.458333333336</v>
      </c>
      <c r="B997" t="s">
        <v>7</v>
      </c>
      <c r="C997" t="s">
        <v>28</v>
      </c>
      <c r="D997">
        <v>13</v>
      </c>
      <c r="E997">
        <v>20</v>
      </c>
      <c r="F997">
        <v>22.434380009914911</v>
      </c>
      <c r="G997" t="str">
        <f>FLOOR(FinalData[[#This Row],[Temperature_C]],2)&amp;"–"&amp;(FLOOR(FinalData[[#This Row],[Temperature_C]],2)+2)&amp;"°C"</f>
        <v>22–24°C</v>
      </c>
      <c r="H997">
        <v>4.0999999999999996</v>
      </c>
      <c r="I997">
        <v>2026</v>
      </c>
      <c r="J997">
        <v>2</v>
      </c>
      <c r="K997">
        <v>11</v>
      </c>
      <c r="L997">
        <v>3</v>
      </c>
      <c r="M997">
        <v>11</v>
      </c>
      <c r="N997">
        <v>0.65</v>
      </c>
      <c r="O997">
        <v>0.31538461538461537</v>
      </c>
      <c r="P997" t="s">
        <v>41</v>
      </c>
    </row>
    <row r="998" spans="1:16" hidden="1" x14ac:dyDescent="0.25">
      <c r="A998" s="12">
        <v>46064.5</v>
      </c>
      <c r="B998" t="s">
        <v>11</v>
      </c>
      <c r="C998" t="s">
        <v>17</v>
      </c>
      <c r="D998">
        <v>6</v>
      </c>
      <c r="E998">
        <v>40</v>
      </c>
      <c r="F998">
        <v>19.510934222787888</v>
      </c>
      <c r="G998" t="str">
        <f>FLOOR(FinalData[[#This Row],[Temperature_C]],2)&amp;"–"&amp;(FLOOR(FinalData[[#This Row],[Temperature_C]],2)+2)&amp;"°C"</f>
        <v>18–20°C</v>
      </c>
      <c r="H998">
        <v>2.4700000000000002</v>
      </c>
      <c r="I998">
        <v>2026</v>
      </c>
      <c r="J998">
        <v>2</v>
      </c>
      <c r="K998">
        <v>11</v>
      </c>
      <c r="L998">
        <v>3</v>
      </c>
      <c r="M998">
        <v>12</v>
      </c>
      <c r="N998">
        <v>0.15</v>
      </c>
      <c r="O998">
        <v>0.41166666666666668</v>
      </c>
      <c r="P998" t="s">
        <v>42</v>
      </c>
    </row>
    <row r="999" spans="1:16" hidden="1" x14ac:dyDescent="0.25">
      <c r="A999" s="12">
        <v>46064.541666666664</v>
      </c>
      <c r="B999" t="s">
        <v>13</v>
      </c>
      <c r="C999" t="s">
        <v>20</v>
      </c>
      <c r="D999">
        <v>7</v>
      </c>
      <c r="E999">
        <v>30</v>
      </c>
      <c r="F999">
        <v>23.801283276679669</v>
      </c>
      <c r="G999" t="str">
        <f>FLOOR(FinalData[[#This Row],[Temperature_C]],2)&amp;"–"&amp;(FLOOR(FinalData[[#This Row],[Temperature_C]],2)+2)&amp;"°C"</f>
        <v>22–24°C</v>
      </c>
      <c r="H999">
        <v>2.58</v>
      </c>
      <c r="I999">
        <v>2026</v>
      </c>
      <c r="J999">
        <v>2</v>
      </c>
      <c r="K999">
        <v>11</v>
      </c>
      <c r="L999">
        <v>3</v>
      </c>
      <c r="M999">
        <v>13</v>
      </c>
      <c r="N999">
        <v>0.23333333333333334</v>
      </c>
      <c r="O999">
        <v>0.36857142857142861</v>
      </c>
      <c r="P999" t="s">
        <v>42</v>
      </c>
    </row>
    <row r="1000" spans="1:16" hidden="1" x14ac:dyDescent="0.25">
      <c r="A1000" s="12">
        <v>46064.583333333336</v>
      </c>
      <c r="B1000" t="s">
        <v>9</v>
      </c>
      <c r="C1000" t="s">
        <v>31</v>
      </c>
      <c r="D1000">
        <v>7</v>
      </c>
      <c r="E1000">
        <v>25</v>
      </c>
      <c r="F1000">
        <v>25.983347717603611</v>
      </c>
      <c r="G1000" t="str">
        <f>FLOOR(FinalData[[#This Row],[Temperature_C]],2)&amp;"–"&amp;(FLOOR(FinalData[[#This Row],[Temperature_C]],2)+2)&amp;"°C"</f>
        <v>24–26°C</v>
      </c>
      <c r="H1000">
        <v>3.36</v>
      </c>
      <c r="I1000">
        <v>2026</v>
      </c>
      <c r="J1000">
        <v>2</v>
      </c>
      <c r="K1000">
        <v>11</v>
      </c>
      <c r="L1000">
        <v>3</v>
      </c>
      <c r="M1000">
        <v>14</v>
      </c>
      <c r="N1000">
        <v>0.28000000000000003</v>
      </c>
      <c r="O1000">
        <v>0.48</v>
      </c>
      <c r="P1000" t="s">
        <v>42</v>
      </c>
    </row>
    <row r="1001" spans="1:16" hidden="1" x14ac:dyDescent="0.25">
      <c r="A1001" s="12">
        <v>46064.625</v>
      </c>
      <c r="B1001" t="s">
        <v>9</v>
      </c>
      <c r="C1001" t="s">
        <v>17</v>
      </c>
      <c r="D1001">
        <v>9</v>
      </c>
      <c r="E1001">
        <v>25</v>
      </c>
      <c r="F1001">
        <v>22.785242763179909</v>
      </c>
      <c r="G1001" t="str">
        <f>FLOOR(FinalData[[#This Row],[Temperature_C]],2)&amp;"–"&amp;(FLOOR(FinalData[[#This Row],[Temperature_C]],2)+2)&amp;"°C"</f>
        <v>22–24°C</v>
      </c>
      <c r="H1001">
        <v>3.65</v>
      </c>
      <c r="I1001">
        <v>2026</v>
      </c>
      <c r="J1001">
        <v>2</v>
      </c>
      <c r="K1001">
        <v>11</v>
      </c>
      <c r="L1001">
        <v>3</v>
      </c>
      <c r="M1001">
        <v>15</v>
      </c>
      <c r="N1001">
        <v>0.36</v>
      </c>
      <c r="O1001">
        <v>0.40555555555555556</v>
      </c>
      <c r="P1001" t="s">
        <v>42</v>
      </c>
    </row>
    <row r="1002" spans="1:16" hidden="1" x14ac:dyDescent="0.25">
      <c r="A1002" s="12">
        <v>46064.666666666664</v>
      </c>
      <c r="B1002" t="s">
        <v>13</v>
      </c>
      <c r="C1002" t="s">
        <v>30</v>
      </c>
      <c r="D1002">
        <v>8</v>
      </c>
      <c r="E1002">
        <v>25</v>
      </c>
      <c r="F1002">
        <v>23.681763318923121</v>
      </c>
      <c r="G1002" t="str">
        <f>FLOOR(FinalData[[#This Row],[Temperature_C]],2)&amp;"–"&amp;(FLOOR(FinalData[[#This Row],[Temperature_C]],2)+2)&amp;"°C"</f>
        <v>22–24°C</v>
      </c>
      <c r="H1002">
        <v>3.28</v>
      </c>
      <c r="I1002">
        <v>2026</v>
      </c>
      <c r="J1002">
        <v>2</v>
      </c>
      <c r="K1002">
        <v>11</v>
      </c>
      <c r="L1002">
        <v>3</v>
      </c>
      <c r="M1002">
        <v>16</v>
      </c>
      <c r="N1002">
        <v>0.32</v>
      </c>
      <c r="O1002">
        <v>0.41</v>
      </c>
      <c r="P1002" t="s">
        <v>42</v>
      </c>
    </row>
    <row r="1003" spans="1:16" hidden="1" x14ac:dyDescent="0.25">
      <c r="A1003" s="12">
        <v>46064.708333333336</v>
      </c>
      <c r="B1003" t="s">
        <v>9</v>
      </c>
      <c r="C1003" t="s">
        <v>24</v>
      </c>
      <c r="D1003">
        <v>7</v>
      </c>
      <c r="E1003">
        <v>25</v>
      </c>
      <c r="F1003">
        <v>25.132703782390479</v>
      </c>
      <c r="G1003" t="str">
        <f>FLOOR(FinalData[[#This Row],[Temperature_C]],2)&amp;"–"&amp;(FLOOR(FinalData[[#This Row],[Temperature_C]],2)+2)&amp;"°C"</f>
        <v>24–26°C</v>
      </c>
      <c r="H1003">
        <v>3.11</v>
      </c>
      <c r="I1003">
        <v>2026</v>
      </c>
      <c r="J1003">
        <v>2</v>
      </c>
      <c r="K1003">
        <v>11</v>
      </c>
      <c r="L1003">
        <v>3</v>
      </c>
      <c r="M1003">
        <v>17</v>
      </c>
      <c r="N1003">
        <v>0.28000000000000003</v>
      </c>
      <c r="O1003">
        <v>0.44428571428571428</v>
      </c>
      <c r="P1003" t="s">
        <v>43</v>
      </c>
    </row>
    <row r="1004" spans="1:16" hidden="1" x14ac:dyDescent="0.25">
      <c r="A1004" s="12">
        <v>46064.75</v>
      </c>
      <c r="B1004" t="s">
        <v>7</v>
      </c>
      <c r="C1004" t="s">
        <v>26</v>
      </c>
      <c r="D1004">
        <v>8</v>
      </c>
      <c r="E1004">
        <v>30</v>
      </c>
      <c r="F1004">
        <v>26.06476076517524</v>
      </c>
      <c r="G1004" t="str">
        <f>FLOOR(FinalData[[#This Row],[Temperature_C]],2)&amp;"–"&amp;(FLOOR(FinalData[[#This Row],[Temperature_C]],2)+2)&amp;"°C"</f>
        <v>26–28°C</v>
      </c>
      <c r="H1004">
        <v>3.54</v>
      </c>
      <c r="I1004">
        <v>2026</v>
      </c>
      <c r="J1004">
        <v>2</v>
      </c>
      <c r="K1004">
        <v>11</v>
      </c>
      <c r="L1004">
        <v>3</v>
      </c>
      <c r="M1004">
        <v>18</v>
      </c>
      <c r="N1004">
        <v>0.26666666666666666</v>
      </c>
      <c r="O1004">
        <v>0.4425</v>
      </c>
      <c r="P1004" t="s">
        <v>43</v>
      </c>
    </row>
    <row r="1005" spans="1:16" hidden="1" x14ac:dyDescent="0.25">
      <c r="A1005" s="12">
        <v>46064.791666666664</v>
      </c>
      <c r="B1005" t="s">
        <v>7</v>
      </c>
      <c r="C1005" t="s">
        <v>24</v>
      </c>
      <c r="D1005">
        <v>7</v>
      </c>
      <c r="E1005">
        <v>40</v>
      </c>
      <c r="F1005">
        <v>25.12433489517732</v>
      </c>
      <c r="G1005" t="str">
        <f>FLOOR(FinalData[[#This Row],[Temperature_C]],2)&amp;"–"&amp;(FLOOR(FinalData[[#This Row],[Temperature_C]],2)+2)&amp;"°C"</f>
        <v>24–26°C</v>
      </c>
      <c r="H1005">
        <v>2.92</v>
      </c>
      <c r="I1005">
        <v>2026</v>
      </c>
      <c r="J1005">
        <v>2</v>
      </c>
      <c r="K1005">
        <v>11</v>
      </c>
      <c r="L1005">
        <v>3</v>
      </c>
      <c r="M1005">
        <v>19</v>
      </c>
      <c r="N1005">
        <v>0.17499999999999999</v>
      </c>
      <c r="O1005">
        <v>0.41714285714285715</v>
      </c>
      <c r="P1005" t="s">
        <v>43</v>
      </c>
    </row>
    <row r="1006" spans="1:16" hidden="1" x14ac:dyDescent="0.25">
      <c r="A1006" s="12">
        <v>46064.833333333336</v>
      </c>
      <c r="B1006" t="s">
        <v>7</v>
      </c>
      <c r="C1006" t="s">
        <v>25</v>
      </c>
      <c r="D1006">
        <v>14</v>
      </c>
      <c r="E1006">
        <v>25</v>
      </c>
      <c r="F1006">
        <v>24.66655723420687</v>
      </c>
      <c r="G1006" t="str">
        <f>FLOOR(FinalData[[#This Row],[Temperature_C]],2)&amp;"–"&amp;(FLOOR(FinalData[[#This Row],[Temperature_C]],2)+2)&amp;"°C"</f>
        <v>24–26°C</v>
      </c>
      <c r="H1006">
        <v>4.88</v>
      </c>
      <c r="I1006">
        <v>2026</v>
      </c>
      <c r="J1006">
        <v>2</v>
      </c>
      <c r="K1006">
        <v>11</v>
      </c>
      <c r="L1006">
        <v>3</v>
      </c>
      <c r="M1006">
        <v>20</v>
      </c>
      <c r="N1006">
        <v>0.56000000000000005</v>
      </c>
      <c r="O1006">
        <v>0.34857142857142859</v>
      </c>
      <c r="P1006" t="s">
        <v>43</v>
      </c>
    </row>
    <row r="1007" spans="1:16" hidden="1" x14ac:dyDescent="0.25">
      <c r="A1007" s="12">
        <v>46064.875</v>
      </c>
      <c r="B1007" t="s">
        <v>13</v>
      </c>
      <c r="C1007" t="s">
        <v>16</v>
      </c>
      <c r="D1007">
        <v>12</v>
      </c>
      <c r="E1007">
        <v>30</v>
      </c>
      <c r="F1007">
        <v>22.996756566073241</v>
      </c>
      <c r="G1007" t="str">
        <f>FLOOR(FinalData[[#This Row],[Temperature_C]],2)&amp;"–"&amp;(FLOOR(FinalData[[#This Row],[Temperature_C]],2)+2)&amp;"°C"</f>
        <v>22–24°C</v>
      </c>
      <c r="H1007">
        <v>3.9</v>
      </c>
      <c r="I1007">
        <v>2026</v>
      </c>
      <c r="J1007">
        <v>2</v>
      </c>
      <c r="K1007">
        <v>11</v>
      </c>
      <c r="L1007">
        <v>3</v>
      </c>
      <c r="M1007">
        <v>21</v>
      </c>
      <c r="N1007">
        <v>0.4</v>
      </c>
      <c r="O1007">
        <v>0.32500000000000001</v>
      </c>
      <c r="P1007" t="s">
        <v>40</v>
      </c>
    </row>
    <row r="1008" spans="1:16" hidden="1" x14ac:dyDescent="0.25">
      <c r="A1008" s="12">
        <v>46064.916666666664</v>
      </c>
      <c r="B1008" t="s">
        <v>9</v>
      </c>
      <c r="C1008" t="s">
        <v>8</v>
      </c>
      <c r="D1008">
        <v>5</v>
      </c>
      <c r="E1008">
        <v>25</v>
      </c>
      <c r="F1008">
        <v>21.96803802130184</v>
      </c>
      <c r="G1008" t="str">
        <f>FLOOR(FinalData[[#This Row],[Temperature_C]],2)&amp;"–"&amp;(FLOOR(FinalData[[#This Row],[Temperature_C]],2)+2)&amp;"°C"</f>
        <v>20–22°C</v>
      </c>
      <c r="H1008">
        <v>2.1800000000000002</v>
      </c>
      <c r="I1008">
        <v>2026</v>
      </c>
      <c r="J1008">
        <v>2</v>
      </c>
      <c r="K1008">
        <v>11</v>
      </c>
      <c r="L1008">
        <v>3</v>
      </c>
      <c r="M1008">
        <v>22</v>
      </c>
      <c r="N1008">
        <v>0.2</v>
      </c>
      <c r="O1008">
        <v>0.43600000000000005</v>
      </c>
      <c r="P1008" t="s">
        <v>40</v>
      </c>
    </row>
    <row r="1009" spans="1:16" hidden="1" x14ac:dyDescent="0.25">
      <c r="A1009" s="12">
        <v>46064.958333333336</v>
      </c>
      <c r="B1009" t="s">
        <v>7</v>
      </c>
      <c r="C1009" t="s">
        <v>20</v>
      </c>
      <c r="D1009">
        <v>11</v>
      </c>
      <c r="E1009">
        <v>25</v>
      </c>
      <c r="F1009">
        <v>24.342035609835541</v>
      </c>
      <c r="G1009" t="str">
        <f>FLOOR(FinalData[[#This Row],[Temperature_C]],2)&amp;"–"&amp;(FLOOR(FinalData[[#This Row],[Temperature_C]],2)+2)&amp;"°C"</f>
        <v>24–26°C</v>
      </c>
      <c r="H1009">
        <v>4.22</v>
      </c>
      <c r="I1009">
        <v>2026</v>
      </c>
      <c r="J1009">
        <v>2</v>
      </c>
      <c r="K1009">
        <v>11</v>
      </c>
      <c r="L1009">
        <v>3</v>
      </c>
      <c r="M1009">
        <v>23</v>
      </c>
      <c r="N1009">
        <v>0.44</v>
      </c>
      <c r="O1009">
        <v>0.38363636363636361</v>
      </c>
      <c r="P1009" t="s">
        <v>40</v>
      </c>
    </row>
    <row r="1010" spans="1:16" hidden="1" x14ac:dyDescent="0.25">
      <c r="A1010" s="12">
        <v>46065</v>
      </c>
      <c r="B1010" t="s">
        <v>11</v>
      </c>
      <c r="C1010" t="s">
        <v>17</v>
      </c>
      <c r="D1010">
        <v>9</v>
      </c>
      <c r="E1010">
        <v>30</v>
      </c>
      <c r="F1010">
        <v>25.209994403608832</v>
      </c>
      <c r="G1010" t="str">
        <f>FLOOR(FinalData[[#This Row],[Temperature_C]],2)&amp;"–"&amp;(FLOOR(FinalData[[#This Row],[Temperature_C]],2)+2)&amp;"°C"</f>
        <v>24–26°C</v>
      </c>
      <c r="H1010">
        <v>3.42</v>
      </c>
      <c r="I1010">
        <v>2026</v>
      </c>
      <c r="J1010">
        <v>2</v>
      </c>
      <c r="K1010">
        <v>12</v>
      </c>
      <c r="L1010">
        <v>4</v>
      </c>
      <c r="M1010">
        <v>0</v>
      </c>
      <c r="N1010">
        <v>0.3</v>
      </c>
      <c r="O1010">
        <v>0.38</v>
      </c>
      <c r="P1010" t="s">
        <v>40</v>
      </c>
    </row>
    <row r="1011" spans="1:16" hidden="1" x14ac:dyDescent="0.25">
      <c r="A1011" s="12">
        <v>46065.041666666664</v>
      </c>
      <c r="B1011" t="s">
        <v>9</v>
      </c>
      <c r="C1011" t="s">
        <v>27</v>
      </c>
      <c r="D1011">
        <v>7</v>
      </c>
      <c r="E1011">
        <v>25</v>
      </c>
      <c r="F1011">
        <v>22.567997156853771</v>
      </c>
      <c r="G1011" t="str">
        <f>FLOOR(FinalData[[#This Row],[Temperature_C]],2)&amp;"–"&amp;(FLOOR(FinalData[[#This Row],[Temperature_C]],2)+2)&amp;"°C"</f>
        <v>22–24°C</v>
      </c>
      <c r="H1011">
        <v>2.74</v>
      </c>
      <c r="I1011">
        <v>2026</v>
      </c>
      <c r="J1011">
        <v>2</v>
      </c>
      <c r="K1011">
        <v>12</v>
      </c>
      <c r="L1011">
        <v>4</v>
      </c>
      <c r="M1011">
        <v>1</v>
      </c>
      <c r="N1011">
        <v>0.28000000000000003</v>
      </c>
      <c r="O1011">
        <v>0.39142857142857146</v>
      </c>
      <c r="P1011" t="s">
        <v>40</v>
      </c>
    </row>
    <row r="1012" spans="1:16" hidden="1" x14ac:dyDescent="0.25">
      <c r="A1012" s="12">
        <v>46065.083333333336</v>
      </c>
      <c r="B1012" t="s">
        <v>13</v>
      </c>
      <c r="C1012" t="s">
        <v>15</v>
      </c>
      <c r="D1012">
        <v>5</v>
      </c>
      <c r="E1012">
        <v>30</v>
      </c>
      <c r="F1012">
        <v>19.581547201594809</v>
      </c>
      <c r="G1012" t="str">
        <f>FLOOR(FinalData[[#This Row],[Temperature_C]],2)&amp;"–"&amp;(FLOOR(FinalData[[#This Row],[Temperature_C]],2)+2)&amp;"°C"</f>
        <v>18–20°C</v>
      </c>
      <c r="H1012">
        <v>2.5299999999999998</v>
      </c>
      <c r="I1012">
        <v>2026</v>
      </c>
      <c r="J1012">
        <v>2</v>
      </c>
      <c r="K1012">
        <v>12</v>
      </c>
      <c r="L1012">
        <v>4</v>
      </c>
      <c r="M1012">
        <v>2</v>
      </c>
      <c r="N1012">
        <v>0.16666666666666666</v>
      </c>
      <c r="O1012">
        <v>0.50600000000000001</v>
      </c>
      <c r="P1012" t="s">
        <v>40</v>
      </c>
    </row>
    <row r="1013" spans="1:16" hidden="1" x14ac:dyDescent="0.25">
      <c r="A1013" s="12">
        <v>46065.125</v>
      </c>
      <c r="B1013" t="s">
        <v>13</v>
      </c>
      <c r="C1013" t="s">
        <v>12</v>
      </c>
      <c r="D1013">
        <v>3</v>
      </c>
      <c r="E1013">
        <v>25</v>
      </c>
      <c r="F1013">
        <v>22.82159340461666</v>
      </c>
      <c r="G1013" t="str">
        <f>FLOOR(FinalData[[#This Row],[Temperature_C]],2)&amp;"–"&amp;(FLOOR(FinalData[[#This Row],[Temperature_C]],2)+2)&amp;"°C"</f>
        <v>22–24°C</v>
      </c>
      <c r="H1013">
        <v>2.16</v>
      </c>
      <c r="I1013">
        <v>2026</v>
      </c>
      <c r="J1013">
        <v>2</v>
      </c>
      <c r="K1013">
        <v>12</v>
      </c>
      <c r="L1013">
        <v>4</v>
      </c>
      <c r="M1013">
        <v>3</v>
      </c>
      <c r="N1013">
        <v>0.12</v>
      </c>
      <c r="O1013">
        <v>0.72000000000000008</v>
      </c>
      <c r="P1013" t="s">
        <v>40</v>
      </c>
    </row>
    <row r="1014" spans="1:16" hidden="1" x14ac:dyDescent="0.25">
      <c r="A1014" s="12">
        <v>46065.166666666664</v>
      </c>
      <c r="B1014" t="s">
        <v>18</v>
      </c>
      <c r="C1014" t="s">
        <v>17</v>
      </c>
      <c r="D1014">
        <v>14</v>
      </c>
      <c r="E1014">
        <v>20</v>
      </c>
      <c r="F1014">
        <v>21.12201360754166</v>
      </c>
      <c r="G1014" t="str">
        <f>FLOOR(FinalData[[#This Row],[Temperature_C]],2)&amp;"–"&amp;(FLOOR(FinalData[[#This Row],[Temperature_C]],2)+2)&amp;"°C"</f>
        <v>20–22°C</v>
      </c>
      <c r="H1014">
        <v>4.71</v>
      </c>
      <c r="I1014">
        <v>2026</v>
      </c>
      <c r="J1014">
        <v>2</v>
      </c>
      <c r="K1014">
        <v>12</v>
      </c>
      <c r="L1014">
        <v>4</v>
      </c>
      <c r="M1014">
        <v>4</v>
      </c>
      <c r="N1014">
        <v>0.7</v>
      </c>
      <c r="O1014">
        <v>0.33642857142857141</v>
      </c>
      <c r="P1014" t="s">
        <v>40</v>
      </c>
    </row>
    <row r="1015" spans="1:16" hidden="1" x14ac:dyDescent="0.25">
      <c r="A1015" s="12">
        <v>46065.208333333336</v>
      </c>
      <c r="B1015" t="s">
        <v>9</v>
      </c>
      <c r="C1015" t="s">
        <v>25</v>
      </c>
      <c r="D1015">
        <v>3</v>
      </c>
      <c r="E1015">
        <v>25</v>
      </c>
      <c r="F1015">
        <v>22.00451274915433</v>
      </c>
      <c r="G1015" t="str">
        <f>FLOOR(FinalData[[#This Row],[Temperature_C]],2)&amp;"–"&amp;(FLOOR(FinalData[[#This Row],[Temperature_C]],2)+2)&amp;"°C"</f>
        <v>22–24°C</v>
      </c>
      <c r="H1015">
        <v>1.88</v>
      </c>
      <c r="I1015">
        <v>2026</v>
      </c>
      <c r="J1015">
        <v>2</v>
      </c>
      <c r="K1015">
        <v>12</v>
      </c>
      <c r="L1015">
        <v>4</v>
      </c>
      <c r="M1015">
        <v>5</v>
      </c>
      <c r="N1015">
        <v>0.12</v>
      </c>
      <c r="O1015">
        <v>0.62666666666666659</v>
      </c>
      <c r="P1015" t="s">
        <v>40</v>
      </c>
    </row>
    <row r="1016" spans="1:16" hidden="1" x14ac:dyDescent="0.25">
      <c r="A1016" s="12">
        <v>46065.25</v>
      </c>
      <c r="B1016" t="s">
        <v>9</v>
      </c>
      <c r="C1016" t="s">
        <v>8</v>
      </c>
      <c r="D1016">
        <v>11</v>
      </c>
      <c r="E1016">
        <v>30</v>
      </c>
      <c r="F1016">
        <v>24.24525407962464</v>
      </c>
      <c r="G1016" t="str">
        <f>FLOOR(FinalData[[#This Row],[Temperature_C]],2)&amp;"–"&amp;(FLOOR(FinalData[[#This Row],[Temperature_C]],2)+2)&amp;"°C"</f>
        <v>24–26°C</v>
      </c>
      <c r="H1016">
        <v>4.08</v>
      </c>
      <c r="I1016">
        <v>2026</v>
      </c>
      <c r="J1016">
        <v>2</v>
      </c>
      <c r="K1016">
        <v>12</v>
      </c>
      <c r="L1016">
        <v>4</v>
      </c>
      <c r="M1016">
        <v>6</v>
      </c>
      <c r="N1016">
        <v>0.36666666666666664</v>
      </c>
      <c r="O1016">
        <v>0.37090909090909091</v>
      </c>
      <c r="P1016" t="s">
        <v>40</v>
      </c>
    </row>
    <row r="1017" spans="1:16" x14ac:dyDescent="0.25">
      <c r="A1017" s="12">
        <v>46065.291666666664</v>
      </c>
      <c r="B1017" t="s">
        <v>11</v>
      </c>
      <c r="C1017" t="s">
        <v>14</v>
      </c>
      <c r="D1017">
        <v>6</v>
      </c>
      <c r="E1017">
        <v>30</v>
      </c>
      <c r="F1017">
        <v>23.57277348791078</v>
      </c>
      <c r="G1017" t="str">
        <f>FLOOR(FinalData[[#This Row],[Temperature_C]],2)&amp;"–"&amp;(FLOOR(FinalData[[#This Row],[Temperature_C]],2)+2)&amp;"°C"</f>
        <v>22–24°C</v>
      </c>
      <c r="H1017">
        <v>2.48</v>
      </c>
      <c r="I1017">
        <v>2026</v>
      </c>
      <c r="J1017">
        <v>2</v>
      </c>
      <c r="K1017">
        <v>12</v>
      </c>
      <c r="L1017">
        <v>4</v>
      </c>
      <c r="M1017">
        <v>7</v>
      </c>
      <c r="N1017">
        <v>0.2</v>
      </c>
      <c r="O1017">
        <v>0.41333333333333333</v>
      </c>
      <c r="P1017" t="s">
        <v>41</v>
      </c>
    </row>
    <row r="1018" spans="1:16" hidden="1" x14ac:dyDescent="0.25">
      <c r="A1018" s="12">
        <v>46065.333333333336</v>
      </c>
      <c r="B1018" t="s">
        <v>13</v>
      </c>
      <c r="C1018" t="s">
        <v>12</v>
      </c>
      <c r="D1018">
        <v>5</v>
      </c>
      <c r="E1018">
        <v>20</v>
      </c>
      <c r="F1018">
        <v>22.016911172386191</v>
      </c>
      <c r="G1018" t="str">
        <f>FLOOR(FinalData[[#This Row],[Temperature_C]],2)&amp;"–"&amp;(FLOOR(FinalData[[#This Row],[Temperature_C]],2)+2)&amp;"°C"</f>
        <v>22–24°C</v>
      </c>
      <c r="H1018">
        <v>1.86</v>
      </c>
      <c r="I1018">
        <v>2026</v>
      </c>
      <c r="J1018">
        <v>2</v>
      </c>
      <c r="K1018">
        <v>12</v>
      </c>
      <c r="L1018">
        <v>4</v>
      </c>
      <c r="M1018">
        <v>8</v>
      </c>
      <c r="N1018">
        <v>0.25</v>
      </c>
      <c r="O1018">
        <v>0.372</v>
      </c>
      <c r="P1018" t="s">
        <v>41</v>
      </c>
    </row>
    <row r="1019" spans="1:16" hidden="1" x14ac:dyDescent="0.25">
      <c r="A1019" s="12">
        <v>46065.375</v>
      </c>
      <c r="B1019" t="s">
        <v>18</v>
      </c>
      <c r="C1019" t="s">
        <v>28</v>
      </c>
      <c r="D1019">
        <v>8</v>
      </c>
      <c r="E1019">
        <v>40</v>
      </c>
      <c r="F1019">
        <v>25.937004543770801</v>
      </c>
      <c r="G1019" t="str">
        <f>FLOOR(FinalData[[#This Row],[Temperature_C]],2)&amp;"–"&amp;(FLOOR(FinalData[[#This Row],[Temperature_C]],2)+2)&amp;"°C"</f>
        <v>24–26°C</v>
      </c>
      <c r="H1019">
        <v>3.51</v>
      </c>
      <c r="I1019">
        <v>2026</v>
      </c>
      <c r="J1019">
        <v>2</v>
      </c>
      <c r="K1019">
        <v>12</v>
      </c>
      <c r="L1019">
        <v>4</v>
      </c>
      <c r="M1019">
        <v>9</v>
      </c>
      <c r="N1019">
        <v>0.2</v>
      </c>
      <c r="O1019">
        <v>0.43874999999999997</v>
      </c>
      <c r="P1019" t="s">
        <v>41</v>
      </c>
    </row>
    <row r="1020" spans="1:16" hidden="1" x14ac:dyDescent="0.25">
      <c r="A1020" s="12">
        <v>46065.416666666664</v>
      </c>
      <c r="B1020" t="s">
        <v>7</v>
      </c>
      <c r="C1020" t="s">
        <v>23</v>
      </c>
      <c r="D1020">
        <v>8</v>
      </c>
      <c r="E1020">
        <v>25</v>
      </c>
      <c r="F1020">
        <v>22.400613008134219</v>
      </c>
      <c r="G1020" t="str">
        <f>FLOOR(FinalData[[#This Row],[Temperature_C]],2)&amp;"–"&amp;(FLOOR(FinalData[[#This Row],[Temperature_C]],2)+2)&amp;"°C"</f>
        <v>22–24°C</v>
      </c>
      <c r="H1020">
        <v>2.63</v>
      </c>
      <c r="I1020">
        <v>2026</v>
      </c>
      <c r="J1020">
        <v>2</v>
      </c>
      <c r="K1020">
        <v>12</v>
      </c>
      <c r="L1020">
        <v>4</v>
      </c>
      <c r="M1020">
        <v>10</v>
      </c>
      <c r="N1020">
        <v>0.32</v>
      </c>
      <c r="O1020">
        <v>0.32874999999999999</v>
      </c>
      <c r="P1020" t="s">
        <v>41</v>
      </c>
    </row>
    <row r="1021" spans="1:16" hidden="1" x14ac:dyDescent="0.25">
      <c r="A1021" s="12">
        <v>46065.458333333336</v>
      </c>
      <c r="B1021" t="s">
        <v>7</v>
      </c>
      <c r="C1021" t="s">
        <v>28</v>
      </c>
      <c r="D1021">
        <v>10</v>
      </c>
      <c r="E1021">
        <v>40</v>
      </c>
      <c r="F1021">
        <v>21.545630234694261</v>
      </c>
      <c r="G1021" t="str">
        <f>FLOOR(FinalData[[#This Row],[Temperature_C]],2)&amp;"–"&amp;(FLOOR(FinalData[[#This Row],[Temperature_C]],2)+2)&amp;"°C"</f>
        <v>20–22°C</v>
      </c>
      <c r="H1021">
        <v>3.32</v>
      </c>
      <c r="I1021">
        <v>2026</v>
      </c>
      <c r="J1021">
        <v>2</v>
      </c>
      <c r="K1021">
        <v>12</v>
      </c>
      <c r="L1021">
        <v>4</v>
      </c>
      <c r="M1021">
        <v>11</v>
      </c>
      <c r="N1021">
        <v>0.25</v>
      </c>
      <c r="O1021">
        <v>0.33199999999999996</v>
      </c>
      <c r="P1021" t="s">
        <v>41</v>
      </c>
    </row>
    <row r="1022" spans="1:16" hidden="1" x14ac:dyDescent="0.25">
      <c r="A1022" s="12">
        <v>46065.5</v>
      </c>
      <c r="B1022" t="s">
        <v>18</v>
      </c>
      <c r="C1022" t="s">
        <v>21</v>
      </c>
      <c r="D1022">
        <v>9</v>
      </c>
      <c r="E1022">
        <v>30</v>
      </c>
      <c r="F1022">
        <v>21.873227099095391</v>
      </c>
      <c r="G1022" t="str">
        <f>FLOOR(FinalData[[#This Row],[Temperature_C]],2)&amp;"–"&amp;(FLOOR(FinalData[[#This Row],[Temperature_C]],2)+2)&amp;"°C"</f>
        <v>20–22°C</v>
      </c>
      <c r="H1022">
        <v>3.18</v>
      </c>
      <c r="I1022">
        <v>2026</v>
      </c>
      <c r="J1022">
        <v>2</v>
      </c>
      <c r="K1022">
        <v>12</v>
      </c>
      <c r="L1022">
        <v>4</v>
      </c>
      <c r="M1022">
        <v>12</v>
      </c>
      <c r="N1022">
        <v>0.3</v>
      </c>
      <c r="O1022">
        <v>0.35333333333333333</v>
      </c>
      <c r="P1022" t="s">
        <v>42</v>
      </c>
    </row>
    <row r="1023" spans="1:16" hidden="1" x14ac:dyDescent="0.25">
      <c r="A1023" s="12">
        <v>46065.541666666664</v>
      </c>
      <c r="B1023" t="s">
        <v>9</v>
      </c>
      <c r="C1023" t="s">
        <v>8</v>
      </c>
      <c r="D1023">
        <v>8</v>
      </c>
      <c r="E1023">
        <v>25</v>
      </c>
      <c r="F1023">
        <v>20.997980911034372</v>
      </c>
      <c r="G1023" t="str">
        <f>FLOOR(FinalData[[#This Row],[Temperature_C]],2)&amp;"–"&amp;(FLOOR(FinalData[[#This Row],[Temperature_C]],2)+2)&amp;"°C"</f>
        <v>20–22°C</v>
      </c>
      <c r="H1023">
        <v>3.26</v>
      </c>
      <c r="I1023">
        <v>2026</v>
      </c>
      <c r="J1023">
        <v>2</v>
      </c>
      <c r="K1023">
        <v>12</v>
      </c>
      <c r="L1023">
        <v>4</v>
      </c>
      <c r="M1023">
        <v>13</v>
      </c>
      <c r="N1023">
        <v>0.32</v>
      </c>
      <c r="O1023">
        <v>0.40749999999999997</v>
      </c>
      <c r="P1023" t="s">
        <v>42</v>
      </c>
    </row>
    <row r="1024" spans="1:16" hidden="1" x14ac:dyDescent="0.25">
      <c r="A1024" s="12">
        <v>46065.583333333336</v>
      </c>
      <c r="B1024" t="s">
        <v>7</v>
      </c>
      <c r="C1024" t="s">
        <v>17</v>
      </c>
      <c r="D1024">
        <v>6</v>
      </c>
      <c r="E1024">
        <v>40</v>
      </c>
      <c r="F1024">
        <v>23.174212438611939</v>
      </c>
      <c r="G1024" t="str">
        <f>FLOOR(FinalData[[#This Row],[Temperature_C]],2)&amp;"–"&amp;(FLOOR(FinalData[[#This Row],[Temperature_C]],2)+2)&amp;"°C"</f>
        <v>22–24°C</v>
      </c>
      <c r="H1024">
        <v>2.17</v>
      </c>
      <c r="I1024">
        <v>2026</v>
      </c>
      <c r="J1024">
        <v>2</v>
      </c>
      <c r="K1024">
        <v>12</v>
      </c>
      <c r="L1024">
        <v>4</v>
      </c>
      <c r="M1024">
        <v>14</v>
      </c>
      <c r="N1024">
        <v>0.15</v>
      </c>
      <c r="O1024">
        <v>0.36166666666666664</v>
      </c>
      <c r="P1024" t="s">
        <v>42</v>
      </c>
    </row>
    <row r="1025" spans="1:16" hidden="1" x14ac:dyDescent="0.25">
      <c r="A1025" s="12">
        <v>46065.625</v>
      </c>
      <c r="B1025" t="s">
        <v>7</v>
      </c>
      <c r="C1025" t="s">
        <v>31</v>
      </c>
      <c r="D1025">
        <v>12</v>
      </c>
      <c r="E1025">
        <v>40</v>
      </c>
      <c r="F1025">
        <v>26.906119391079791</v>
      </c>
      <c r="G1025" t="str">
        <f>FLOOR(FinalData[[#This Row],[Temperature_C]],2)&amp;"–"&amp;(FLOOR(FinalData[[#This Row],[Temperature_C]],2)+2)&amp;"°C"</f>
        <v>26–28°C</v>
      </c>
      <c r="H1025">
        <v>4.24</v>
      </c>
      <c r="I1025">
        <v>2026</v>
      </c>
      <c r="J1025">
        <v>2</v>
      </c>
      <c r="K1025">
        <v>12</v>
      </c>
      <c r="L1025">
        <v>4</v>
      </c>
      <c r="M1025">
        <v>15</v>
      </c>
      <c r="N1025">
        <v>0.3</v>
      </c>
      <c r="O1025">
        <v>0.35333333333333333</v>
      </c>
      <c r="P1025" t="s">
        <v>42</v>
      </c>
    </row>
    <row r="1026" spans="1:16" hidden="1" x14ac:dyDescent="0.25">
      <c r="A1026" s="12">
        <v>46065.666666666664</v>
      </c>
      <c r="B1026" t="s">
        <v>13</v>
      </c>
      <c r="C1026" t="s">
        <v>17</v>
      </c>
      <c r="D1026">
        <v>2</v>
      </c>
      <c r="E1026">
        <v>30</v>
      </c>
      <c r="F1026">
        <v>22.434833233766032</v>
      </c>
      <c r="G1026" t="str">
        <f>FLOOR(FinalData[[#This Row],[Temperature_C]],2)&amp;"–"&amp;(FLOOR(FinalData[[#This Row],[Temperature_C]],2)+2)&amp;"°C"</f>
        <v>22–24°C</v>
      </c>
      <c r="H1026">
        <v>1.24</v>
      </c>
      <c r="I1026">
        <v>2026</v>
      </c>
      <c r="J1026">
        <v>2</v>
      </c>
      <c r="K1026">
        <v>12</v>
      </c>
      <c r="L1026">
        <v>4</v>
      </c>
      <c r="M1026">
        <v>16</v>
      </c>
      <c r="N1026">
        <v>6.6666666666666666E-2</v>
      </c>
      <c r="O1026">
        <v>0.62</v>
      </c>
      <c r="P1026" t="s">
        <v>42</v>
      </c>
    </row>
    <row r="1027" spans="1:16" hidden="1" x14ac:dyDescent="0.25">
      <c r="A1027" s="12">
        <v>46065.708333333336</v>
      </c>
      <c r="B1027" t="s">
        <v>9</v>
      </c>
      <c r="C1027" t="s">
        <v>28</v>
      </c>
      <c r="D1027">
        <v>9</v>
      </c>
      <c r="E1027">
        <v>20</v>
      </c>
      <c r="F1027">
        <v>24.782580423577659</v>
      </c>
      <c r="G1027" t="str">
        <f>FLOOR(FinalData[[#This Row],[Temperature_C]],2)&amp;"–"&amp;(FLOOR(FinalData[[#This Row],[Temperature_C]],2)+2)&amp;"°C"</f>
        <v>24–26°C</v>
      </c>
      <c r="H1027">
        <v>3.83</v>
      </c>
      <c r="I1027">
        <v>2026</v>
      </c>
      <c r="J1027">
        <v>2</v>
      </c>
      <c r="K1027">
        <v>12</v>
      </c>
      <c r="L1027">
        <v>4</v>
      </c>
      <c r="M1027">
        <v>17</v>
      </c>
      <c r="N1027">
        <v>0.45</v>
      </c>
      <c r="O1027">
        <v>0.42555555555555558</v>
      </c>
      <c r="P1027" t="s">
        <v>43</v>
      </c>
    </row>
    <row r="1028" spans="1:16" hidden="1" x14ac:dyDescent="0.25">
      <c r="A1028" s="12">
        <v>46065.75</v>
      </c>
      <c r="B1028" t="s">
        <v>13</v>
      </c>
      <c r="C1028" t="s">
        <v>29</v>
      </c>
      <c r="D1028">
        <v>8</v>
      </c>
      <c r="E1028">
        <v>30</v>
      </c>
      <c r="F1028">
        <v>25.156250791589539</v>
      </c>
      <c r="G1028" t="str">
        <f>FLOOR(FinalData[[#This Row],[Temperature_C]],2)&amp;"–"&amp;(FLOOR(FinalData[[#This Row],[Temperature_C]],2)+2)&amp;"°C"</f>
        <v>24–26°C</v>
      </c>
      <c r="H1028">
        <v>3.25</v>
      </c>
      <c r="I1028">
        <v>2026</v>
      </c>
      <c r="J1028">
        <v>2</v>
      </c>
      <c r="K1028">
        <v>12</v>
      </c>
      <c r="L1028">
        <v>4</v>
      </c>
      <c r="M1028">
        <v>18</v>
      </c>
      <c r="N1028">
        <v>0.26666666666666666</v>
      </c>
      <c r="O1028">
        <v>0.40625</v>
      </c>
      <c r="P1028" t="s">
        <v>43</v>
      </c>
    </row>
    <row r="1029" spans="1:16" hidden="1" x14ac:dyDescent="0.25">
      <c r="A1029" s="12">
        <v>46065.791666666664</v>
      </c>
      <c r="B1029" t="s">
        <v>13</v>
      </c>
      <c r="C1029" t="s">
        <v>21</v>
      </c>
      <c r="D1029">
        <v>6</v>
      </c>
      <c r="E1029">
        <v>20</v>
      </c>
      <c r="F1029">
        <v>23.680178822927811</v>
      </c>
      <c r="G1029" t="str">
        <f>FLOOR(FinalData[[#This Row],[Temperature_C]],2)&amp;"–"&amp;(FLOOR(FinalData[[#This Row],[Temperature_C]],2)+2)&amp;"°C"</f>
        <v>22–24°C</v>
      </c>
      <c r="H1029">
        <v>2.38</v>
      </c>
      <c r="I1029">
        <v>2026</v>
      </c>
      <c r="J1029">
        <v>2</v>
      </c>
      <c r="K1029">
        <v>12</v>
      </c>
      <c r="L1029">
        <v>4</v>
      </c>
      <c r="M1029">
        <v>19</v>
      </c>
      <c r="N1029">
        <v>0.3</v>
      </c>
      <c r="O1029">
        <v>0.39666666666666667</v>
      </c>
      <c r="P1029" t="s">
        <v>43</v>
      </c>
    </row>
    <row r="1030" spans="1:16" hidden="1" x14ac:dyDescent="0.25">
      <c r="A1030" s="12">
        <v>46065.833333333336</v>
      </c>
      <c r="B1030" t="s">
        <v>18</v>
      </c>
      <c r="C1030" t="s">
        <v>22</v>
      </c>
      <c r="D1030">
        <v>2</v>
      </c>
      <c r="E1030">
        <v>20</v>
      </c>
      <c r="F1030">
        <v>22.102183225373992</v>
      </c>
      <c r="G1030" t="str">
        <f>FLOOR(FinalData[[#This Row],[Temperature_C]],2)&amp;"–"&amp;(FLOOR(FinalData[[#This Row],[Temperature_C]],2)+2)&amp;"°C"</f>
        <v>22–24°C</v>
      </c>
      <c r="H1030">
        <v>1.19</v>
      </c>
      <c r="I1030">
        <v>2026</v>
      </c>
      <c r="J1030">
        <v>2</v>
      </c>
      <c r="K1030">
        <v>12</v>
      </c>
      <c r="L1030">
        <v>4</v>
      </c>
      <c r="M1030">
        <v>20</v>
      </c>
      <c r="N1030">
        <v>0.1</v>
      </c>
      <c r="O1030">
        <v>0.59499999999999997</v>
      </c>
      <c r="P1030" t="s">
        <v>43</v>
      </c>
    </row>
    <row r="1031" spans="1:16" hidden="1" x14ac:dyDescent="0.25">
      <c r="A1031" s="12">
        <v>46065.875</v>
      </c>
      <c r="B1031" t="s">
        <v>13</v>
      </c>
      <c r="C1031" t="s">
        <v>14</v>
      </c>
      <c r="D1031">
        <v>11</v>
      </c>
      <c r="E1031">
        <v>20</v>
      </c>
      <c r="F1031">
        <v>24.019027127859371</v>
      </c>
      <c r="G1031" t="str">
        <f>FLOOR(FinalData[[#This Row],[Temperature_C]],2)&amp;"–"&amp;(FLOOR(FinalData[[#This Row],[Temperature_C]],2)+2)&amp;"°C"</f>
        <v>24–26°C</v>
      </c>
      <c r="H1031">
        <v>3.8</v>
      </c>
      <c r="I1031">
        <v>2026</v>
      </c>
      <c r="J1031">
        <v>2</v>
      </c>
      <c r="K1031">
        <v>12</v>
      </c>
      <c r="L1031">
        <v>4</v>
      </c>
      <c r="M1031">
        <v>21</v>
      </c>
      <c r="N1031">
        <v>0.55000000000000004</v>
      </c>
      <c r="O1031">
        <v>0.34545454545454546</v>
      </c>
      <c r="P1031" t="s">
        <v>40</v>
      </c>
    </row>
    <row r="1032" spans="1:16" hidden="1" x14ac:dyDescent="0.25">
      <c r="A1032" s="12">
        <v>46065.916666666664</v>
      </c>
      <c r="B1032" t="s">
        <v>11</v>
      </c>
      <c r="C1032" t="s">
        <v>21</v>
      </c>
      <c r="D1032">
        <v>7</v>
      </c>
      <c r="E1032">
        <v>25</v>
      </c>
      <c r="F1032">
        <v>25.793520354796978</v>
      </c>
      <c r="G1032" t="str">
        <f>FLOOR(FinalData[[#This Row],[Temperature_C]],2)&amp;"–"&amp;(FLOOR(FinalData[[#This Row],[Temperature_C]],2)+2)&amp;"°C"</f>
        <v>24–26°C</v>
      </c>
      <c r="H1032">
        <v>3.25</v>
      </c>
      <c r="I1032">
        <v>2026</v>
      </c>
      <c r="J1032">
        <v>2</v>
      </c>
      <c r="K1032">
        <v>12</v>
      </c>
      <c r="L1032">
        <v>4</v>
      </c>
      <c r="M1032">
        <v>22</v>
      </c>
      <c r="N1032">
        <v>0.28000000000000003</v>
      </c>
      <c r="O1032">
        <v>0.4642857142857143</v>
      </c>
      <c r="P1032" t="s">
        <v>40</v>
      </c>
    </row>
    <row r="1033" spans="1:16" hidden="1" x14ac:dyDescent="0.25">
      <c r="A1033" s="12">
        <v>46065.958333333336</v>
      </c>
      <c r="B1033" t="s">
        <v>18</v>
      </c>
      <c r="C1033" t="s">
        <v>29</v>
      </c>
      <c r="D1033">
        <v>2</v>
      </c>
      <c r="E1033">
        <v>25</v>
      </c>
      <c r="F1033">
        <v>24.85785012128369</v>
      </c>
      <c r="G1033" t="str">
        <f>FLOOR(FinalData[[#This Row],[Temperature_C]],2)&amp;"–"&amp;(FLOOR(FinalData[[#This Row],[Temperature_C]],2)+2)&amp;"°C"</f>
        <v>24–26°C</v>
      </c>
      <c r="H1033">
        <v>1.8</v>
      </c>
      <c r="I1033">
        <v>2026</v>
      </c>
      <c r="J1033">
        <v>2</v>
      </c>
      <c r="K1033">
        <v>12</v>
      </c>
      <c r="L1033">
        <v>4</v>
      </c>
      <c r="M1033">
        <v>23</v>
      </c>
      <c r="N1033">
        <v>0.08</v>
      </c>
      <c r="O1033">
        <v>0.9</v>
      </c>
      <c r="P1033" t="s">
        <v>40</v>
      </c>
    </row>
    <row r="1034" spans="1:16" hidden="1" x14ac:dyDescent="0.25">
      <c r="A1034" s="12">
        <v>46066</v>
      </c>
      <c r="B1034" t="s">
        <v>18</v>
      </c>
      <c r="C1034" t="s">
        <v>10</v>
      </c>
      <c r="D1034">
        <v>12</v>
      </c>
      <c r="E1034">
        <v>20</v>
      </c>
      <c r="F1034">
        <v>18.677392227395281</v>
      </c>
      <c r="G1034" t="str">
        <f>FLOOR(FinalData[[#This Row],[Temperature_C]],2)&amp;"–"&amp;(FLOOR(FinalData[[#This Row],[Temperature_C]],2)+2)&amp;"°C"</f>
        <v>18–20°C</v>
      </c>
      <c r="H1034">
        <v>4.4400000000000004</v>
      </c>
      <c r="I1034">
        <v>2026</v>
      </c>
      <c r="J1034">
        <v>2</v>
      </c>
      <c r="K1034">
        <v>13</v>
      </c>
      <c r="L1034">
        <v>5</v>
      </c>
      <c r="M1034">
        <v>0</v>
      </c>
      <c r="N1034">
        <v>0.6</v>
      </c>
      <c r="O1034">
        <v>0.37000000000000005</v>
      </c>
      <c r="P1034" t="s">
        <v>40</v>
      </c>
    </row>
    <row r="1035" spans="1:16" hidden="1" x14ac:dyDescent="0.25">
      <c r="A1035" s="12">
        <v>46066.041666666664</v>
      </c>
      <c r="B1035" t="s">
        <v>9</v>
      </c>
      <c r="C1035" t="s">
        <v>31</v>
      </c>
      <c r="D1035">
        <v>8</v>
      </c>
      <c r="E1035">
        <v>20</v>
      </c>
      <c r="F1035">
        <v>23.091258659975729</v>
      </c>
      <c r="G1035" t="str">
        <f>FLOOR(FinalData[[#This Row],[Temperature_C]],2)&amp;"–"&amp;(FLOOR(FinalData[[#This Row],[Temperature_C]],2)+2)&amp;"°C"</f>
        <v>22–24°C</v>
      </c>
      <c r="H1035">
        <v>2.91</v>
      </c>
      <c r="I1035">
        <v>2026</v>
      </c>
      <c r="J1035">
        <v>2</v>
      </c>
      <c r="K1035">
        <v>13</v>
      </c>
      <c r="L1035">
        <v>5</v>
      </c>
      <c r="M1035">
        <v>1</v>
      </c>
      <c r="N1035">
        <v>0.4</v>
      </c>
      <c r="O1035">
        <v>0.36375000000000002</v>
      </c>
      <c r="P1035" t="s">
        <v>40</v>
      </c>
    </row>
    <row r="1036" spans="1:16" hidden="1" x14ac:dyDescent="0.25">
      <c r="A1036" s="12">
        <v>46066.083333333336</v>
      </c>
      <c r="B1036" t="s">
        <v>7</v>
      </c>
      <c r="C1036" t="s">
        <v>12</v>
      </c>
      <c r="D1036">
        <v>13</v>
      </c>
      <c r="E1036">
        <v>30</v>
      </c>
      <c r="F1036">
        <v>22.413320270722529</v>
      </c>
      <c r="G1036" t="str">
        <f>FLOOR(FinalData[[#This Row],[Temperature_C]],2)&amp;"–"&amp;(FLOOR(FinalData[[#This Row],[Temperature_C]],2)+2)&amp;"°C"</f>
        <v>22–24°C</v>
      </c>
      <c r="H1036">
        <v>3.98</v>
      </c>
      <c r="I1036">
        <v>2026</v>
      </c>
      <c r="J1036">
        <v>2</v>
      </c>
      <c r="K1036">
        <v>13</v>
      </c>
      <c r="L1036">
        <v>5</v>
      </c>
      <c r="M1036">
        <v>2</v>
      </c>
      <c r="N1036">
        <v>0.43333333333333335</v>
      </c>
      <c r="O1036">
        <v>0.30615384615384617</v>
      </c>
      <c r="P1036" t="s">
        <v>40</v>
      </c>
    </row>
    <row r="1037" spans="1:16" hidden="1" x14ac:dyDescent="0.25">
      <c r="A1037" s="12">
        <v>46066.125</v>
      </c>
      <c r="B1037" t="s">
        <v>11</v>
      </c>
      <c r="C1037" t="s">
        <v>25</v>
      </c>
      <c r="D1037">
        <v>5</v>
      </c>
      <c r="E1037">
        <v>20</v>
      </c>
      <c r="F1037">
        <v>18.765656624009772</v>
      </c>
      <c r="G1037" t="str">
        <f>FLOOR(FinalData[[#This Row],[Temperature_C]],2)&amp;"–"&amp;(FLOOR(FinalData[[#This Row],[Temperature_C]],2)+2)&amp;"°C"</f>
        <v>18–20°C</v>
      </c>
      <c r="H1037">
        <v>2.5299999999999998</v>
      </c>
      <c r="I1037">
        <v>2026</v>
      </c>
      <c r="J1037">
        <v>2</v>
      </c>
      <c r="K1037">
        <v>13</v>
      </c>
      <c r="L1037">
        <v>5</v>
      </c>
      <c r="M1037">
        <v>3</v>
      </c>
      <c r="N1037">
        <v>0.25</v>
      </c>
      <c r="O1037">
        <v>0.50600000000000001</v>
      </c>
      <c r="P1037" t="s">
        <v>40</v>
      </c>
    </row>
    <row r="1038" spans="1:16" hidden="1" x14ac:dyDescent="0.25">
      <c r="A1038" s="12">
        <v>46066.166666666664</v>
      </c>
      <c r="B1038" t="s">
        <v>9</v>
      </c>
      <c r="C1038" t="s">
        <v>31</v>
      </c>
      <c r="D1038">
        <v>5</v>
      </c>
      <c r="E1038">
        <v>25</v>
      </c>
      <c r="F1038">
        <v>26.3733027073358</v>
      </c>
      <c r="G1038" t="str">
        <f>FLOOR(FinalData[[#This Row],[Temperature_C]],2)&amp;"–"&amp;(FLOOR(FinalData[[#This Row],[Temperature_C]],2)+2)&amp;"°C"</f>
        <v>26–28°C</v>
      </c>
      <c r="H1038">
        <v>2.5</v>
      </c>
      <c r="I1038">
        <v>2026</v>
      </c>
      <c r="J1038">
        <v>2</v>
      </c>
      <c r="K1038">
        <v>13</v>
      </c>
      <c r="L1038">
        <v>5</v>
      </c>
      <c r="M1038">
        <v>4</v>
      </c>
      <c r="N1038">
        <v>0.2</v>
      </c>
      <c r="O1038">
        <v>0.5</v>
      </c>
      <c r="P1038" t="s">
        <v>40</v>
      </c>
    </row>
    <row r="1039" spans="1:16" hidden="1" x14ac:dyDescent="0.25">
      <c r="A1039" s="12">
        <v>46066.208333333336</v>
      </c>
      <c r="B1039" t="s">
        <v>18</v>
      </c>
      <c r="C1039" t="s">
        <v>14</v>
      </c>
      <c r="D1039">
        <v>7</v>
      </c>
      <c r="E1039">
        <v>40</v>
      </c>
      <c r="F1039">
        <v>23.675651831863981</v>
      </c>
      <c r="G1039" t="str">
        <f>FLOOR(FinalData[[#This Row],[Temperature_C]],2)&amp;"–"&amp;(FLOOR(FinalData[[#This Row],[Temperature_C]],2)+2)&amp;"°C"</f>
        <v>22–24°C</v>
      </c>
      <c r="H1039">
        <v>2.91</v>
      </c>
      <c r="I1039">
        <v>2026</v>
      </c>
      <c r="J1039">
        <v>2</v>
      </c>
      <c r="K1039">
        <v>13</v>
      </c>
      <c r="L1039">
        <v>5</v>
      </c>
      <c r="M1039">
        <v>5</v>
      </c>
      <c r="N1039">
        <v>0.17499999999999999</v>
      </c>
      <c r="O1039">
        <v>0.41571428571428576</v>
      </c>
      <c r="P1039" t="s">
        <v>40</v>
      </c>
    </row>
    <row r="1040" spans="1:16" hidden="1" x14ac:dyDescent="0.25">
      <c r="A1040" s="12">
        <v>46066.25</v>
      </c>
      <c r="B1040" t="s">
        <v>9</v>
      </c>
      <c r="C1040" t="s">
        <v>24</v>
      </c>
      <c r="D1040">
        <v>5</v>
      </c>
      <c r="E1040">
        <v>20</v>
      </c>
      <c r="F1040">
        <v>22.942838496777849</v>
      </c>
      <c r="G1040" t="str">
        <f>FLOOR(FinalData[[#This Row],[Temperature_C]],2)&amp;"–"&amp;(FLOOR(FinalData[[#This Row],[Temperature_C]],2)+2)&amp;"°C"</f>
        <v>22–24°C</v>
      </c>
      <c r="H1040">
        <v>2.0699999999999998</v>
      </c>
      <c r="I1040">
        <v>2026</v>
      </c>
      <c r="J1040">
        <v>2</v>
      </c>
      <c r="K1040">
        <v>13</v>
      </c>
      <c r="L1040">
        <v>5</v>
      </c>
      <c r="M1040">
        <v>6</v>
      </c>
      <c r="N1040">
        <v>0.25</v>
      </c>
      <c r="O1040">
        <v>0.41399999999999998</v>
      </c>
      <c r="P1040" t="s">
        <v>40</v>
      </c>
    </row>
    <row r="1041" spans="1:16" hidden="1" x14ac:dyDescent="0.25">
      <c r="A1041" s="12">
        <v>46066.291666666664</v>
      </c>
      <c r="B1041" t="s">
        <v>13</v>
      </c>
      <c r="C1041" t="s">
        <v>21</v>
      </c>
      <c r="D1041">
        <v>6</v>
      </c>
      <c r="E1041">
        <v>20</v>
      </c>
      <c r="F1041">
        <v>22.221192876949249</v>
      </c>
      <c r="G1041" t="str">
        <f>FLOOR(FinalData[[#This Row],[Temperature_C]],2)&amp;"–"&amp;(FLOOR(FinalData[[#This Row],[Temperature_C]],2)+2)&amp;"°C"</f>
        <v>22–24°C</v>
      </c>
      <c r="H1041">
        <v>2.74</v>
      </c>
      <c r="I1041">
        <v>2026</v>
      </c>
      <c r="J1041">
        <v>2</v>
      </c>
      <c r="K1041">
        <v>13</v>
      </c>
      <c r="L1041">
        <v>5</v>
      </c>
      <c r="M1041">
        <v>7</v>
      </c>
      <c r="N1041">
        <v>0.3</v>
      </c>
      <c r="O1041">
        <v>0.45666666666666672</v>
      </c>
      <c r="P1041" t="s">
        <v>41</v>
      </c>
    </row>
    <row r="1042" spans="1:16" hidden="1" x14ac:dyDescent="0.25">
      <c r="A1042" s="12">
        <v>46066.333333333336</v>
      </c>
      <c r="B1042" t="s">
        <v>9</v>
      </c>
      <c r="C1042" t="s">
        <v>14</v>
      </c>
      <c r="D1042">
        <v>4</v>
      </c>
      <c r="E1042">
        <v>20</v>
      </c>
      <c r="F1042">
        <v>21.98733287493755</v>
      </c>
      <c r="G1042" t="str">
        <f>FLOOR(FinalData[[#This Row],[Temperature_C]],2)&amp;"–"&amp;(FLOOR(FinalData[[#This Row],[Temperature_C]],2)+2)&amp;"°C"</f>
        <v>20–22°C</v>
      </c>
      <c r="H1042">
        <v>2.1</v>
      </c>
      <c r="I1042">
        <v>2026</v>
      </c>
      <c r="J1042">
        <v>2</v>
      </c>
      <c r="K1042">
        <v>13</v>
      </c>
      <c r="L1042">
        <v>5</v>
      </c>
      <c r="M1042">
        <v>8</v>
      </c>
      <c r="N1042">
        <v>0.2</v>
      </c>
      <c r="O1042">
        <v>0.52500000000000002</v>
      </c>
      <c r="P1042" t="s">
        <v>41</v>
      </c>
    </row>
    <row r="1043" spans="1:16" hidden="1" x14ac:dyDescent="0.25">
      <c r="A1043" s="12">
        <v>46066.375</v>
      </c>
      <c r="B1043" t="s">
        <v>13</v>
      </c>
      <c r="C1043" t="s">
        <v>22</v>
      </c>
      <c r="D1043">
        <v>9</v>
      </c>
      <c r="E1043">
        <v>20</v>
      </c>
      <c r="F1043">
        <v>23.030060073821591</v>
      </c>
      <c r="G1043" t="str">
        <f>FLOOR(FinalData[[#This Row],[Temperature_C]],2)&amp;"–"&amp;(FLOOR(FinalData[[#This Row],[Temperature_C]],2)+2)&amp;"°C"</f>
        <v>22–24°C</v>
      </c>
      <c r="H1043">
        <v>3.39</v>
      </c>
      <c r="I1043">
        <v>2026</v>
      </c>
      <c r="J1043">
        <v>2</v>
      </c>
      <c r="K1043">
        <v>13</v>
      </c>
      <c r="L1043">
        <v>5</v>
      </c>
      <c r="M1043">
        <v>9</v>
      </c>
      <c r="N1043">
        <v>0.45</v>
      </c>
      <c r="O1043">
        <v>0.37666666666666671</v>
      </c>
      <c r="P1043" t="s">
        <v>41</v>
      </c>
    </row>
    <row r="1044" spans="1:16" hidden="1" x14ac:dyDescent="0.25">
      <c r="A1044" s="12">
        <v>46066.416666666664</v>
      </c>
      <c r="B1044" t="s">
        <v>18</v>
      </c>
      <c r="C1044" t="s">
        <v>17</v>
      </c>
      <c r="D1044">
        <v>9</v>
      </c>
      <c r="E1044">
        <v>30</v>
      </c>
      <c r="F1044">
        <v>22.261272762143509</v>
      </c>
      <c r="G1044" t="str">
        <f>FLOOR(FinalData[[#This Row],[Temperature_C]],2)&amp;"–"&amp;(FLOOR(FinalData[[#This Row],[Temperature_C]],2)+2)&amp;"°C"</f>
        <v>22–24°C</v>
      </c>
      <c r="H1044">
        <v>3.16</v>
      </c>
      <c r="I1044">
        <v>2026</v>
      </c>
      <c r="J1044">
        <v>2</v>
      </c>
      <c r="K1044">
        <v>13</v>
      </c>
      <c r="L1044">
        <v>5</v>
      </c>
      <c r="M1044">
        <v>10</v>
      </c>
      <c r="N1044">
        <v>0.3</v>
      </c>
      <c r="O1044">
        <v>0.35111111111111115</v>
      </c>
      <c r="P1044" t="s">
        <v>41</v>
      </c>
    </row>
    <row r="1045" spans="1:16" hidden="1" x14ac:dyDescent="0.25">
      <c r="A1045" s="12">
        <v>46066.458333333336</v>
      </c>
      <c r="B1045" t="s">
        <v>9</v>
      </c>
      <c r="C1045" t="s">
        <v>15</v>
      </c>
      <c r="D1045">
        <v>9</v>
      </c>
      <c r="E1045">
        <v>20</v>
      </c>
      <c r="F1045">
        <v>23.01904831586722</v>
      </c>
      <c r="G1045" t="str">
        <f>FLOOR(FinalData[[#This Row],[Temperature_C]],2)&amp;"–"&amp;(FLOOR(FinalData[[#This Row],[Temperature_C]],2)+2)&amp;"°C"</f>
        <v>22–24°C</v>
      </c>
      <c r="H1045">
        <v>3.16</v>
      </c>
      <c r="I1045">
        <v>2026</v>
      </c>
      <c r="J1045">
        <v>2</v>
      </c>
      <c r="K1045">
        <v>13</v>
      </c>
      <c r="L1045">
        <v>5</v>
      </c>
      <c r="M1045">
        <v>11</v>
      </c>
      <c r="N1045">
        <v>0.45</v>
      </c>
      <c r="O1045">
        <v>0.35111111111111115</v>
      </c>
      <c r="P1045" t="s">
        <v>41</v>
      </c>
    </row>
    <row r="1046" spans="1:16" hidden="1" x14ac:dyDescent="0.25">
      <c r="A1046" s="12">
        <v>46066.5</v>
      </c>
      <c r="B1046" t="s">
        <v>7</v>
      </c>
      <c r="C1046" t="s">
        <v>17</v>
      </c>
      <c r="D1046">
        <v>7</v>
      </c>
      <c r="E1046">
        <v>40</v>
      </c>
      <c r="F1046">
        <v>23.757767575605669</v>
      </c>
      <c r="G1046" t="str">
        <f>FLOOR(FinalData[[#This Row],[Temperature_C]],2)&amp;"–"&amp;(FLOOR(FinalData[[#This Row],[Temperature_C]],2)+2)&amp;"°C"</f>
        <v>22–24°C</v>
      </c>
      <c r="H1046">
        <v>2.76</v>
      </c>
      <c r="I1046">
        <v>2026</v>
      </c>
      <c r="J1046">
        <v>2</v>
      </c>
      <c r="K1046">
        <v>13</v>
      </c>
      <c r="L1046">
        <v>5</v>
      </c>
      <c r="M1046">
        <v>12</v>
      </c>
      <c r="N1046">
        <v>0.17499999999999999</v>
      </c>
      <c r="O1046">
        <v>0.39428571428571424</v>
      </c>
      <c r="P1046" t="s">
        <v>42</v>
      </c>
    </row>
    <row r="1047" spans="1:16" hidden="1" x14ac:dyDescent="0.25">
      <c r="A1047" s="12">
        <v>46066.541666666664</v>
      </c>
      <c r="B1047" t="s">
        <v>7</v>
      </c>
      <c r="C1047" t="s">
        <v>21</v>
      </c>
      <c r="D1047">
        <v>9</v>
      </c>
      <c r="E1047">
        <v>25</v>
      </c>
      <c r="F1047">
        <v>24.505696662400538</v>
      </c>
      <c r="G1047" t="str">
        <f>FLOOR(FinalData[[#This Row],[Temperature_C]],2)&amp;"–"&amp;(FLOOR(FinalData[[#This Row],[Temperature_C]],2)+2)&amp;"°C"</f>
        <v>24–26°C</v>
      </c>
      <c r="H1047">
        <v>3.33</v>
      </c>
      <c r="I1047">
        <v>2026</v>
      </c>
      <c r="J1047">
        <v>2</v>
      </c>
      <c r="K1047">
        <v>13</v>
      </c>
      <c r="L1047">
        <v>5</v>
      </c>
      <c r="M1047">
        <v>13</v>
      </c>
      <c r="N1047">
        <v>0.36</v>
      </c>
      <c r="O1047">
        <v>0.37</v>
      </c>
      <c r="P1047" t="s">
        <v>42</v>
      </c>
    </row>
    <row r="1048" spans="1:16" hidden="1" x14ac:dyDescent="0.25">
      <c r="A1048" s="12">
        <v>46066.583333333336</v>
      </c>
      <c r="B1048" t="s">
        <v>11</v>
      </c>
      <c r="C1048" t="s">
        <v>31</v>
      </c>
      <c r="D1048">
        <v>6</v>
      </c>
      <c r="E1048">
        <v>20</v>
      </c>
      <c r="F1048">
        <v>25.86726721763576</v>
      </c>
      <c r="G1048" t="str">
        <f>FLOOR(FinalData[[#This Row],[Temperature_C]],2)&amp;"–"&amp;(FLOOR(FinalData[[#This Row],[Temperature_C]],2)+2)&amp;"°C"</f>
        <v>24–26°C</v>
      </c>
      <c r="H1048">
        <v>2.3199999999999998</v>
      </c>
      <c r="I1048">
        <v>2026</v>
      </c>
      <c r="J1048">
        <v>2</v>
      </c>
      <c r="K1048">
        <v>13</v>
      </c>
      <c r="L1048">
        <v>5</v>
      </c>
      <c r="M1048">
        <v>14</v>
      </c>
      <c r="N1048">
        <v>0.3</v>
      </c>
      <c r="O1048">
        <v>0.38666666666666666</v>
      </c>
      <c r="P1048" t="s">
        <v>42</v>
      </c>
    </row>
    <row r="1049" spans="1:16" hidden="1" x14ac:dyDescent="0.25">
      <c r="A1049" s="12">
        <v>46066.625</v>
      </c>
      <c r="B1049" t="s">
        <v>7</v>
      </c>
      <c r="C1049" t="s">
        <v>20</v>
      </c>
      <c r="D1049">
        <v>9</v>
      </c>
      <c r="E1049">
        <v>20</v>
      </c>
      <c r="F1049">
        <v>23.54336716900006</v>
      </c>
      <c r="G1049" t="str">
        <f>FLOOR(FinalData[[#This Row],[Temperature_C]],2)&amp;"–"&amp;(FLOOR(FinalData[[#This Row],[Temperature_C]],2)+2)&amp;"°C"</f>
        <v>22–24°C</v>
      </c>
      <c r="H1049">
        <v>3.76</v>
      </c>
      <c r="I1049">
        <v>2026</v>
      </c>
      <c r="J1049">
        <v>2</v>
      </c>
      <c r="K1049">
        <v>13</v>
      </c>
      <c r="L1049">
        <v>5</v>
      </c>
      <c r="M1049">
        <v>15</v>
      </c>
      <c r="N1049">
        <v>0.45</v>
      </c>
      <c r="O1049">
        <v>0.41777777777777775</v>
      </c>
      <c r="P1049" t="s">
        <v>42</v>
      </c>
    </row>
    <row r="1050" spans="1:16" hidden="1" x14ac:dyDescent="0.25">
      <c r="A1050" s="12">
        <v>46066.666666666664</v>
      </c>
      <c r="B1050" t="s">
        <v>13</v>
      </c>
      <c r="C1050" t="s">
        <v>28</v>
      </c>
      <c r="D1050">
        <v>11</v>
      </c>
      <c r="E1050">
        <v>25</v>
      </c>
      <c r="F1050">
        <v>23.418697714669381</v>
      </c>
      <c r="G1050" t="str">
        <f>FLOOR(FinalData[[#This Row],[Temperature_C]],2)&amp;"–"&amp;(FLOOR(FinalData[[#This Row],[Temperature_C]],2)+2)&amp;"°C"</f>
        <v>22–24°C</v>
      </c>
      <c r="H1050">
        <v>3.75</v>
      </c>
      <c r="I1050">
        <v>2026</v>
      </c>
      <c r="J1050">
        <v>2</v>
      </c>
      <c r="K1050">
        <v>13</v>
      </c>
      <c r="L1050">
        <v>5</v>
      </c>
      <c r="M1050">
        <v>16</v>
      </c>
      <c r="N1050">
        <v>0.44</v>
      </c>
      <c r="O1050">
        <v>0.34090909090909088</v>
      </c>
      <c r="P1050" t="s">
        <v>42</v>
      </c>
    </row>
    <row r="1051" spans="1:16" hidden="1" x14ac:dyDescent="0.25">
      <c r="A1051" s="12">
        <v>46066.708333333336</v>
      </c>
      <c r="B1051" t="s">
        <v>18</v>
      </c>
      <c r="C1051" t="s">
        <v>20</v>
      </c>
      <c r="D1051">
        <v>10</v>
      </c>
      <c r="E1051">
        <v>20</v>
      </c>
      <c r="F1051">
        <v>24.189397059961621</v>
      </c>
      <c r="G1051" t="str">
        <f>FLOOR(FinalData[[#This Row],[Temperature_C]],2)&amp;"–"&amp;(FLOOR(FinalData[[#This Row],[Temperature_C]],2)+2)&amp;"°C"</f>
        <v>24–26°C</v>
      </c>
      <c r="H1051">
        <v>3.65</v>
      </c>
      <c r="I1051">
        <v>2026</v>
      </c>
      <c r="J1051">
        <v>2</v>
      </c>
      <c r="K1051">
        <v>13</v>
      </c>
      <c r="L1051">
        <v>5</v>
      </c>
      <c r="M1051">
        <v>17</v>
      </c>
      <c r="N1051">
        <v>0.5</v>
      </c>
      <c r="O1051">
        <v>0.36499999999999999</v>
      </c>
      <c r="P1051" t="s">
        <v>43</v>
      </c>
    </row>
    <row r="1052" spans="1:16" hidden="1" x14ac:dyDescent="0.25">
      <c r="A1052" s="12">
        <v>46066.75</v>
      </c>
      <c r="B1052" t="s">
        <v>18</v>
      </c>
      <c r="C1052" t="s">
        <v>17</v>
      </c>
      <c r="D1052">
        <v>11</v>
      </c>
      <c r="E1052">
        <v>30</v>
      </c>
      <c r="F1052">
        <v>22.788563950597801</v>
      </c>
      <c r="G1052" t="str">
        <f>FLOOR(FinalData[[#This Row],[Temperature_C]],2)&amp;"–"&amp;(FLOOR(FinalData[[#This Row],[Temperature_C]],2)+2)&amp;"°C"</f>
        <v>22–24°C</v>
      </c>
      <c r="H1052">
        <v>3.82</v>
      </c>
      <c r="I1052">
        <v>2026</v>
      </c>
      <c r="J1052">
        <v>2</v>
      </c>
      <c r="K1052">
        <v>13</v>
      </c>
      <c r="L1052">
        <v>5</v>
      </c>
      <c r="M1052">
        <v>18</v>
      </c>
      <c r="N1052">
        <v>0.36666666666666664</v>
      </c>
      <c r="O1052">
        <v>0.34727272727272723</v>
      </c>
      <c r="P1052" t="s">
        <v>43</v>
      </c>
    </row>
    <row r="1053" spans="1:16" hidden="1" x14ac:dyDescent="0.25">
      <c r="A1053" s="12">
        <v>46066.791666666664</v>
      </c>
      <c r="B1053" t="s">
        <v>9</v>
      </c>
      <c r="C1053" t="s">
        <v>25</v>
      </c>
      <c r="D1053">
        <v>7</v>
      </c>
      <c r="E1053">
        <v>40</v>
      </c>
      <c r="F1053">
        <v>24.738255074436388</v>
      </c>
      <c r="G1053" t="str">
        <f>FLOOR(FinalData[[#This Row],[Temperature_C]],2)&amp;"–"&amp;(FLOOR(FinalData[[#This Row],[Temperature_C]],2)+2)&amp;"°C"</f>
        <v>24–26°C</v>
      </c>
      <c r="H1053">
        <v>2.5299999999999998</v>
      </c>
      <c r="I1053">
        <v>2026</v>
      </c>
      <c r="J1053">
        <v>2</v>
      </c>
      <c r="K1053">
        <v>13</v>
      </c>
      <c r="L1053">
        <v>5</v>
      </c>
      <c r="M1053">
        <v>19</v>
      </c>
      <c r="N1053">
        <v>0.17499999999999999</v>
      </c>
      <c r="O1053">
        <v>0.36142857142857138</v>
      </c>
      <c r="P1053" t="s">
        <v>43</v>
      </c>
    </row>
    <row r="1054" spans="1:16" hidden="1" x14ac:dyDescent="0.25">
      <c r="A1054" s="12">
        <v>46066.833333333336</v>
      </c>
      <c r="B1054" t="s">
        <v>11</v>
      </c>
      <c r="C1054" t="s">
        <v>30</v>
      </c>
      <c r="D1054">
        <v>8</v>
      </c>
      <c r="E1054">
        <v>40</v>
      </c>
      <c r="F1054">
        <v>23.35120709960874</v>
      </c>
      <c r="G1054" t="str">
        <f>FLOOR(FinalData[[#This Row],[Temperature_C]],2)&amp;"–"&amp;(FLOOR(FinalData[[#This Row],[Temperature_C]],2)+2)&amp;"°C"</f>
        <v>22–24°C</v>
      </c>
      <c r="H1054">
        <v>2.96</v>
      </c>
      <c r="I1054">
        <v>2026</v>
      </c>
      <c r="J1054">
        <v>2</v>
      </c>
      <c r="K1054">
        <v>13</v>
      </c>
      <c r="L1054">
        <v>5</v>
      </c>
      <c r="M1054">
        <v>20</v>
      </c>
      <c r="N1054">
        <v>0.2</v>
      </c>
      <c r="O1054">
        <v>0.37</v>
      </c>
      <c r="P1054" t="s">
        <v>43</v>
      </c>
    </row>
    <row r="1055" spans="1:16" hidden="1" x14ac:dyDescent="0.25">
      <c r="A1055" s="12">
        <v>46066.875</v>
      </c>
      <c r="B1055" t="s">
        <v>7</v>
      </c>
      <c r="C1055" t="s">
        <v>20</v>
      </c>
      <c r="D1055">
        <v>11</v>
      </c>
      <c r="E1055">
        <v>25</v>
      </c>
      <c r="F1055">
        <v>23.657288051609619</v>
      </c>
      <c r="G1055" t="str">
        <f>FLOOR(FinalData[[#This Row],[Temperature_C]],2)&amp;"–"&amp;(FLOOR(FinalData[[#This Row],[Temperature_C]],2)+2)&amp;"°C"</f>
        <v>22–24°C</v>
      </c>
      <c r="H1055">
        <v>3.63</v>
      </c>
      <c r="I1055">
        <v>2026</v>
      </c>
      <c r="J1055">
        <v>2</v>
      </c>
      <c r="K1055">
        <v>13</v>
      </c>
      <c r="L1055">
        <v>5</v>
      </c>
      <c r="M1055">
        <v>21</v>
      </c>
      <c r="N1055">
        <v>0.44</v>
      </c>
      <c r="O1055">
        <v>0.33</v>
      </c>
      <c r="P1055" t="s">
        <v>40</v>
      </c>
    </row>
    <row r="1056" spans="1:16" hidden="1" x14ac:dyDescent="0.25">
      <c r="A1056" s="12">
        <v>46066.916666666664</v>
      </c>
      <c r="B1056" t="s">
        <v>7</v>
      </c>
      <c r="C1056" t="s">
        <v>12</v>
      </c>
      <c r="D1056">
        <v>12</v>
      </c>
      <c r="E1056">
        <v>20</v>
      </c>
      <c r="F1056">
        <v>22.632612067246811</v>
      </c>
      <c r="G1056" t="str">
        <f>FLOOR(FinalData[[#This Row],[Temperature_C]],2)&amp;"–"&amp;(FLOOR(FinalData[[#This Row],[Temperature_C]],2)+2)&amp;"°C"</f>
        <v>22–24°C</v>
      </c>
      <c r="H1056">
        <v>4</v>
      </c>
      <c r="I1056">
        <v>2026</v>
      </c>
      <c r="J1056">
        <v>2</v>
      </c>
      <c r="K1056">
        <v>13</v>
      </c>
      <c r="L1056">
        <v>5</v>
      </c>
      <c r="M1056">
        <v>22</v>
      </c>
      <c r="N1056">
        <v>0.6</v>
      </c>
      <c r="O1056">
        <v>0.33333333333333331</v>
      </c>
      <c r="P1056" t="s">
        <v>40</v>
      </c>
    </row>
    <row r="1057" spans="1:16" hidden="1" x14ac:dyDescent="0.25">
      <c r="A1057" s="12">
        <v>46066.958333333336</v>
      </c>
      <c r="B1057" t="s">
        <v>13</v>
      </c>
      <c r="C1057" t="s">
        <v>20</v>
      </c>
      <c r="D1057">
        <v>7</v>
      </c>
      <c r="E1057">
        <v>30</v>
      </c>
      <c r="F1057">
        <v>25.442847186783901</v>
      </c>
      <c r="G1057" t="str">
        <f>FLOOR(FinalData[[#This Row],[Temperature_C]],2)&amp;"–"&amp;(FLOOR(FinalData[[#This Row],[Temperature_C]],2)+2)&amp;"°C"</f>
        <v>24–26°C</v>
      </c>
      <c r="H1057">
        <v>2.85</v>
      </c>
      <c r="I1057">
        <v>2026</v>
      </c>
      <c r="J1057">
        <v>2</v>
      </c>
      <c r="K1057">
        <v>13</v>
      </c>
      <c r="L1057">
        <v>5</v>
      </c>
      <c r="M1057">
        <v>23</v>
      </c>
      <c r="N1057">
        <v>0.23333333333333334</v>
      </c>
      <c r="O1057">
        <v>0.40714285714285714</v>
      </c>
      <c r="P1057" t="s">
        <v>40</v>
      </c>
    </row>
    <row r="1058" spans="1:16" hidden="1" x14ac:dyDescent="0.25">
      <c r="A1058" s="12">
        <v>46067</v>
      </c>
      <c r="B1058" t="s">
        <v>11</v>
      </c>
      <c r="C1058" t="s">
        <v>8</v>
      </c>
      <c r="D1058">
        <v>9</v>
      </c>
      <c r="E1058">
        <v>20</v>
      </c>
      <c r="F1058">
        <v>22.112353040617339</v>
      </c>
      <c r="G1058" t="str">
        <f>FLOOR(FinalData[[#This Row],[Temperature_C]],2)&amp;"–"&amp;(FLOOR(FinalData[[#This Row],[Temperature_C]],2)+2)&amp;"°C"</f>
        <v>22–24°C</v>
      </c>
      <c r="H1058">
        <v>2.6</v>
      </c>
      <c r="I1058">
        <v>2026</v>
      </c>
      <c r="J1058">
        <v>2</v>
      </c>
      <c r="K1058">
        <v>14</v>
      </c>
      <c r="L1058">
        <v>6</v>
      </c>
      <c r="M1058">
        <v>0</v>
      </c>
      <c r="N1058">
        <v>0.45</v>
      </c>
      <c r="O1058">
        <v>0.28888888888888892</v>
      </c>
      <c r="P1058" t="s">
        <v>40</v>
      </c>
    </row>
    <row r="1059" spans="1:16" hidden="1" x14ac:dyDescent="0.25">
      <c r="A1059" s="12">
        <v>46067.041666666664</v>
      </c>
      <c r="B1059" t="s">
        <v>9</v>
      </c>
      <c r="C1059" t="s">
        <v>30</v>
      </c>
      <c r="D1059">
        <v>5</v>
      </c>
      <c r="E1059">
        <v>30</v>
      </c>
      <c r="F1059">
        <v>22.632338839359761</v>
      </c>
      <c r="G1059" t="str">
        <f>FLOOR(FinalData[[#This Row],[Temperature_C]],2)&amp;"–"&amp;(FLOOR(FinalData[[#This Row],[Temperature_C]],2)+2)&amp;"°C"</f>
        <v>22–24°C</v>
      </c>
      <c r="H1059">
        <v>1.93</v>
      </c>
      <c r="I1059">
        <v>2026</v>
      </c>
      <c r="J1059">
        <v>2</v>
      </c>
      <c r="K1059">
        <v>14</v>
      </c>
      <c r="L1059">
        <v>6</v>
      </c>
      <c r="M1059">
        <v>1</v>
      </c>
      <c r="N1059">
        <v>0.16666666666666666</v>
      </c>
      <c r="O1059">
        <v>0.38600000000000001</v>
      </c>
      <c r="P1059" t="s">
        <v>40</v>
      </c>
    </row>
    <row r="1060" spans="1:16" hidden="1" x14ac:dyDescent="0.25">
      <c r="A1060" s="12">
        <v>46067.083333333336</v>
      </c>
      <c r="B1060" t="s">
        <v>11</v>
      </c>
      <c r="C1060" t="s">
        <v>31</v>
      </c>
      <c r="D1060">
        <v>10</v>
      </c>
      <c r="E1060">
        <v>25</v>
      </c>
      <c r="F1060">
        <v>24.753211759684358</v>
      </c>
      <c r="G1060" t="str">
        <f>FLOOR(FinalData[[#This Row],[Temperature_C]],2)&amp;"–"&amp;(FLOOR(FinalData[[#This Row],[Temperature_C]],2)+2)&amp;"°C"</f>
        <v>24–26°C</v>
      </c>
      <c r="H1060">
        <v>3.62</v>
      </c>
      <c r="I1060">
        <v>2026</v>
      </c>
      <c r="J1060">
        <v>2</v>
      </c>
      <c r="K1060">
        <v>14</v>
      </c>
      <c r="L1060">
        <v>6</v>
      </c>
      <c r="M1060">
        <v>2</v>
      </c>
      <c r="N1060">
        <v>0.4</v>
      </c>
      <c r="O1060">
        <v>0.36199999999999999</v>
      </c>
      <c r="P1060" t="s">
        <v>40</v>
      </c>
    </row>
    <row r="1061" spans="1:16" hidden="1" x14ac:dyDescent="0.25">
      <c r="A1061" s="12">
        <v>46067.125</v>
      </c>
      <c r="B1061" t="s">
        <v>11</v>
      </c>
      <c r="C1061" t="s">
        <v>29</v>
      </c>
      <c r="D1061">
        <v>6</v>
      </c>
      <c r="E1061">
        <v>25</v>
      </c>
      <c r="F1061">
        <v>22.379515883628152</v>
      </c>
      <c r="G1061" t="str">
        <f>FLOOR(FinalData[[#This Row],[Temperature_C]],2)&amp;"–"&amp;(FLOOR(FinalData[[#This Row],[Temperature_C]],2)+2)&amp;"°C"</f>
        <v>22–24°C</v>
      </c>
      <c r="H1061">
        <v>2.19</v>
      </c>
      <c r="I1061">
        <v>2026</v>
      </c>
      <c r="J1061">
        <v>2</v>
      </c>
      <c r="K1061">
        <v>14</v>
      </c>
      <c r="L1061">
        <v>6</v>
      </c>
      <c r="M1061">
        <v>3</v>
      </c>
      <c r="N1061">
        <v>0.24</v>
      </c>
      <c r="O1061">
        <v>0.36499999999999999</v>
      </c>
      <c r="P1061" t="s">
        <v>40</v>
      </c>
    </row>
    <row r="1062" spans="1:16" hidden="1" x14ac:dyDescent="0.25">
      <c r="A1062" s="12">
        <v>46067.166666666664</v>
      </c>
      <c r="B1062" t="s">
        <v>13</v>
      </c>
      <c r="C1062" t="s">
        <v>14</v>
      </c>
      <c r="D1062">
        <v>10</v>
      </c>
      <c r="E1062">
        <v>20</v>
      </c>
      <c r="F1062">
        <v>23.255854404749162</v>
      </c>
      <c r="G1062" t="str">
        <f>FLOOR(FinalData[[#This Row],[Temperature_C]],2)&amp;"–"&amp;(FLOOR(FinalData[[#This Row],[Temperature_C]],2)+2)&amp;"°C"</f>
        <v>22–24°C</v>
      </c>
      <c r="H1062">
        <v>3.68</v>
      </c>
      <c r="I1062">
        <v>2026</v>
      </c>
      <c r="J1062">
        <v>2</v>
      </c>
      <c r="K1062">
        <v>14</v>
      </c>
      <c r="L1062">
        <v>6</v>
      </c>
      <c r="M1062">
        <v>4</v>
      </c>
      <c r="N1062">
        <v>0.5</v>
      </c>
      <c r="O1062">
        <v>0.36799999999999999</v>
      </c>
      <c r="P1062" t="s">
        <v>40</v>
      </c>
    </row>
    <row r="1063" spans="1:16" hidden="1" x14ac:dyDescent="0.25">
      <c r="A1063" s="12">
        <v>46067.208333333336</v>
      </c>
      <c r="B1063" t="s">
        <v>11</v>
      </c>
      <c r="C1063" t="s">
        <v>14</v>
      </c>
      <c r="D1063">
        <v>8</v>
      </c>
      <c r="E1063">
        <v>25</v>
      </c>
      <c r="F1063">
        <v>19.348388516214019</v>
      </c>
      <c r="G1063" t="str">
        <f>FLOOR(FinalData[[#This Row],[Temperature_C]],2)&amp;"–"&amp;(FLOOR(FinalData[[#This Row],[Temperature_C]],2)+2)&amp;"°C"</f>
        <v>18–20°C</v>
      </c>
      <c r="H1063">
        <v>3.5</v>
      </c>
      <c r="I1063">
        <v>2026</v>
      </c>
      <c r="J1063">
        <v>2</v>
      </c>
      <c r="K1063">
        <v>14</v>
      </c>
      <c r="L1063">
        <v>6</v>
      </c>
      <c r="M1063">
        <v>5</v>
      </c>
      <c r="N1063">
        <v>0.32</v>
      </c>
      <c r="O1063">
        <v>0.4375</v>
      </c>
      <c r="P1063" t="s">
        <v>40</v>
      </c>
    </row>
    <row r="1064" spans="1:16" hidden="1" x14ac:dyDescent="0.25">
      <c r="A1064" s="12">
        <v>46067.25</v>
      </c>
      <c r="B1064" t="s">
        <v>11</v>
      </c>
      <c r="C1064" t="s">
        <v>23</v>
      </c>
      <c r="D1064">
        <v>10</v>
      </c>
      <c r="E1064">
        <v>40</v>
      </c>
      <c r="F1064">
        <v>22.863594939334661</v>
      </c>
      <c r="G1064" t="str">
        <f>FLOOR(FinalData[[#This Row],[Temperature_C]],2)&amp;"–"&amp;(FLOOR(FinalData[[#This Row],[Temperature_C]],2)+2)&amp;"°C"</f>
        <v>22–24°C</v>
      </c>
      <c r="H1064">
        <v>3.01</v>
      </c>
      <c r="I1064">
        <v>2026</v>
      </c>
      <c r="J1064">
        <v>2</v>
      </c>
      <c r="K1064">
        <v>14</v>
      </c>
      <c r="L1064">
        <v>6</v>
      </c>
      <c r="M1064">
        <v>6</v>
      </c>
      <c r="N1064">
        <v>0.25</v>
      </c>
      <c r="O1064">
        <v>0.30099999999999999</v>
      </c>
      <c r="P1064" t="s">
        <v>40</v>
      </c>
    </row>
    <row r="1065" spans="1:16" hidden="1" x14ac:dyDescent="0.25">
      <c r="A1065" s="12">
        <v>46067.291666666664</v>
      </c>
      <c r="B1065" t="s">
        <v>18</v>
      </c>
      <c r="C1065" t="s">
        <v>17</v>
      </c>
      <c r="D1065">
        <v>8</v>
      </c>
      <c r="E1065">
        <v>30</v>
      </c>
      <c r="F1065">
        <v>22.72451780188484</v>
      </c>
      <c r="G1065" t="str">
        <f>FLOOR(FinalData[[#This Row],[Temperature_C]],2)&amp;"–"&amp;(FLOOR(FinalData[[#This Row],[Temperature_C]],2)+2)&amp;"°C"</f>
        <v>22–24°C</v>
      </c>
      <c r="H1065">
        <v>2.4700000000000002</v>
      </c>
      <c r="I1065">
        <v>2026</v>
      </c>
      <c r="J1065">
        <v>2</v>
      </c>
      <c r="K1065">
        <v>14</v>
      </c>
      <c r="L1065">
        <v>6</v>
      </c>
      <c r="M1065">
        <v>7</v>
      </c>
      <c r="N1065">
        <v>0.26666666666666666</v>
      </c>
      <c r="O1065">
        <v>0.30875000000000002</v>
      </c>
      <c r="P1065" t="s">
        <v>41</v>
      </c>
    </row>
    <row r="1066" spans="1:16" hidden="1" x14ac:dyDescent="0.25">
      <c r="A1066" s="12">
        <v>46067.333333333336</v>
      </c>
      <c r="B1066" t="s">
        <v>7</v>
      </c>
      <c r="C1066" t="s">
        <v>30</v>
      </c>
      <c r="D1066">
        <v>9</v>
      </c>
      <c r="E1066">
        <v>20</v>
      </c>
      <c r="F1066">
        <v>22.67664014557101</v>
      </c>
      <c r="G1066" t="str">
        <f>FLOOR(FinalData[[#This Row],[Temperature_C]],2)&amp;"–"&amp;(FLOOR(FinalData[[#This Row],[Temperature_C]],2)+2)&amp;"°C"</f>
        <v>22–24°C</v>
      </c>
      <c r="H1066">
        <v>3.09</v>
      </c>
      <c r="I1066">
        <v>2026</v>
      </c>
      <c r="J1066">
        <v>2</v>
      </c>
      <c r="K1066">
        <v>14</v>
      </c>
      <c r="L1066">
        <v>6</v>
      </c>
      <c r="M1066">
        <v>8</v>
      </c>
      <c r="N1066">
        <v>0.45</v>
      </c>
      <c r="O1066">
        <v>0.34333333333333332</v>
      </c>
      <c r="P1066" t="s">
        <v>41</v>
      </c>
    </row>
    <row r="1067" spans="1:16" hidden="1" x14ac:dyDescent="0.25">
      <c r="A1067" s="12">
        <v>46067.375</v>
      </c>
      <c r="B1067" t="s">
        <v>18</v>
      </c>
      <c r="C1067" t="s">
        <v>22</v>
      </c>
      <c r="D1067">
        <v>14</v>
      </c>
      <c r="E1067">
        <v>30</v>
      </c>
      <c r="F1067">
        <v>21.81624786731382</v>
      </c>
      <c r="G1067" t="str">
        <f>FLOOR(FinalData[[#This Row],[Temperature_C]],2)&amp;"–"&amp;(FLOOR(FinalData[[#This Row],[Temperature_C]],2)+2)&amp;"°C"</f>
        <v>20–22°C</v>
      </c>
      <c r="H1067">
        <v>4.71</v>
      </c>
      <c r="I1067">
        <v>2026</v>
      </c>
      <c r="J1067">
        <v>2</v>
      </c>
      <c r="K1067">
        <v>14</v>
      </c>
      <c r="L1067">
        <v>6</v>
      </c>
      <c r="M1067">
        <v>9</v>
      </c>
      <c r="N1067">
        <v>0.46666666666666667</v>
      </c>
      <c r="O1067">
        <v>0.33642857142857141</v>
      </c>
      <c r="P1067" t="s">
        <v>41</v>
      </c>
    </row>
    <row r="1068" spans="1:16" hidden="1" x14ac:dyDescent="0.25">
      <c r="A1068" s="12">
        <v>46067.416666666664</v>
      </c>
      <c r="B1068" t="s">
        <v>18</v>
      </c>
      <c r="C1068" t="s">
        <v>19</v>
      </c>
      <c r="D1068">
        <v>5</v>
      </c>
      <c r="E1068">
        <v>25</v>
      </c>
      <c r="F1068">
        <v>23.374214200250179</v>
      </c>
      <c r="G1068" t="str">
        <f>FLOOR(FinalData[[#This Row],[Temperature_C]],2)&amp;"–"&amp;(FLOOR(FinalData[[#This Row],[Temperature_C]],2)+2)&amp;"°C"</f>
        <v>22–24°C</v>
      </c>
      <c r="H1068">
        <v>2.37</v>
      </c>
      <c r="I1068">
        <v>2026</v>
      </c>
      <c r="J1068">
        <v>2</v>
      </c>
      <c r="K1068">
        <v>14</v>
      </c>
      <c r="L1068">
        <v>6</v>
      </c>
      <c r="M1068">
        <v>10</v>
      </c>
      <c r="N1068">
        <v>0.2</v>
      </c>
      <c r="O1068">
        <v>0.47400000000000003</v>
      </c>
      <c r="P1068" t="s">
        <v>41</v>
      </c>
    </row>
    <row r="1069" spans="1:16" hidden="1" x14ac:dyDescent="0.25">
      <c r="A1069" s="12">
        <v>46067.458333333336</v>
      </c>
      <c r="B1069" t="s">
        <v>7</v>
      </c>
      <c r="C1069" t="s">
        <v>8</v>
      </c>
      <c r="D1069">
        <v>10</v>
      </c>
      <c r="E1069">
        <v>20</v>
      </c>
      <c r="F1069">
        <v>24.519873963919661</v>
      </c>
      <c r="G1069" t="str">
        <f>FLOOR(FinalData[[#This Row],[Temperature_C]],2)&amp;"–"&amp;(FLOOR(FinalData[[#This Row],[Temperature_C]],2)+2)&amp;"°C"</f>
        <v>24–26°C</v>
      </c>
      <c r="H1069">
        <v>3.91</v>
      </c>
      <c r="I1069">
        <v>2026</v>
      </c>
      <c r="J1069">
        <v>2</v>
      </c>
      <c r="K1069">
        <v>14</v>
      </c>
      <c r="L1069">
        <v>6</v>
      </c>
      <c r="M1069">
        <v>11</v>
      </c>
      <c r="N1069">
        <v>0.5</v>
      </c>
      <c r="O1069">
        <v>0.39100000000000001</v>
      </c>
      <c r="P1069" t="s">
        <v>41</v>
      </c>
    </row>
    <row r="1070" spans="1:16" hidden="1" x14ac:dyDescent="0.25">
      <c r="A1070" s="12">
        <v>46067.5</v>
      </c>
      <c r="B1070" t="s">
        <v>9</v>
      </c>
      <c r="C1070" t="s">
        <v>25</v>
      </c>
      <c r="D1070">
        <v>2</v>
      </c>
      <c r="E1070">
        <v>40</v>
      </c>
      <c r="F1070">
        <v>19.23403310665655</v>
      </c>
      <c r="G1070" t="str">
        <f>FLOOR(FinalData[[#This Row],[Temperature_C]],2)&amp;"–"&amp;(FLOOR(FinalData[[#This Row],[Temperature_C]],2)+2)&amp;"°C"</f>
        <v>18–20°C</v>
      </c>
      <c r="H1070">
        <v>1.26</v>
      </c>
      <c r="I1070">
        <v>2026</v>
      </c>
      <c r="J1070">
        <v>2</v>
      </c>
      <c r="K1070">
        <v>14</v>
      </c>
      <c r="L1070">
        <v>6</v>
      </c>
      <c r="M1070">
        <v>12</v>
      </c>
      <c r="N1070">
        <v>0.05</v>
      </c>
      <c r="O1070">
        <v>0.63</v>
      </c>
      <c r="P1070" t="s">
        <v>42</v>
      </c>
    </row>
    <row r="1071" spans="1:16" hidden="1" x14ac:dyDescent="0.25">
      <c r="A1071" s="12">
        <v>46067.541666666664</v>
      </c>
      <c r="B1071" t="s">
        <v>9</v>
      </c>
      <c r="C1071" t="s">
        <v>28</v>
      </c>
      <c r="D1071">
        <v>10</v>
      </c>
      <c r="E1071">
        <v>30</v>
      </c>
      <c r="F1071">
        <v>24.49428246405321</v>
      </c>
      <c r="G1071" t="str">
        <f>FLOOR(FinalData[[#This Row],[Temperature_C]],2)&amp;"–"&amp;(FLOOR(FinalData[[#This Row],[Temperature_C]],2)+2)&amp;"°C"</f>
        <v>24–26°C</v>
      </c>
      <c r="H1071">
        <v>3.74</v>
      </c>
      <c r="I1071">
        <v>2026</v>
      </c>
      <c r="J1071">
        <v>2</v>
      </c>
      <c r="K1071">
        <v>14</v>
      </c>
      <c r="L1071">
        <v>6</v>
      </c>
      <c r="M1071">
        <v>13</v>
      </c>
      <c r="N1071">
        <v>0.33333333333333331</v>
      </c>
      <c r="O1071">
        <v>0.374</v>
      </c>
      <c r="P1071" t="s">
        <v>42</v>
      </c>
    </row>
    <row r="1072" spans="1:16" hidden="1" x14ac:dyDescent="0.25">
      <c r="A1072" s="12">
        <v>46067.583333333336</v>
      </c>
      <c r="B1072" t="s">
        <v>18</v>
      </c>
      <c r="C1072" t="s">
        <v>14</v>
      </c>
      <c r="D1072">
        <v>10</v>
      </c>
      <c r="E1072">
        <v>40</v>
      </c>
      <c r="F1072">
        <v>20.43054446716507</v>
      </c>
      <c r="G1072" t="str">
        <f>FLOOR(FinalData[[#This Row],[Temperature_C]],2)&amp;"–"&amp;(FLOOR(FinalData[[#This Row],[Temperature_C]],2)+2)&amp;"°C"</f>
        <v>20–22°C</v>
      </c>
      <c r="H1072">
        <v>3.44</v>
      </c>
      <c r="I1072">
        <v>2026</v>
      </c>
      <c r="J1072">
        <v>2</v>
      </c>
      <c r="K1072">
        <v>14</v>
      </c>
      <c r="L1072">
        <v>6</v>
      </c>
      <c r="M1072">
        <v>14</v>
      </c>
      <c r="N1072">
        <v>0.25</v>
      </c>
      <c r="O1072">
        <v>0.34399999999999997</v>
      </c>
      <c r="P1072" t="s">
        <v>42</v>
      </c>
    </row>
    <row r="1073" spans="1:16" hidden="1" x14ac:dyDescent="0.25">
      <c r="A1073" s="12">
        <v>46067.625</v>
      </c>
      <c r="B1073" t="s">
        <v>11</v>
      </c>
      <c r="C1073" t="s">
        <v>17</v>
      </c>
      <c r="D1073">
        <v>5</v>
      </c>
      <c r="E1073">
        <v>20</v>
      </c>
      <c r="F1073">
        <v>24.189708746794491</v>
      </c>
      <c r="G1073" t="str">
        <f>FLOOR(FinalData[[#This Row],[Temperature_C]],2)&amp;"–"&amp;(FLOOR(FinalData[[#This Row],[Temperature_C]],2)+2)&amp;"°C"</f>
        <v>24–26°C</v>
      </c>
      <c r="H1073">
        <v>2.19</v>
      </c>
      <c r="I1073">
        <v>2026</v>
      </c>
      <c r="J1073">
        <v>2</v>
      </c>
      <c r="K1073">
        <v>14</v>
      </c>
      <c r="L1073">
        <v>6</v>
      </c>
      <c r="M1073">
        <v>15</v>
      </c>
      <c r="N1073">
        <v>0.25</v>
      </c>
      <c r="O1073">
        <v>0.438</v>
      </c>
      <c r="P1073" t="s">
        <v>42</v>
      </c>
    </row>
    <row r="1074" spans="1:16" hidden="1" x14ac:dyDescent="0.25">
      <c r="A1074" s="12">
        <v>46067.666666666664</v>
      </c>
      <c r="B1074" t="s">
        <v>18</v>
      </c>
      <c r="C1074" t="s">
        <v>26</v>
      </c>
      <c r="D1074">
        <v>9</v>
      </c>
      <c r="E1074">
        <v>40</v>
      </c>
      <c r="F1074">
        <v>23.00436718167407</v>
      </c>
      <c r="G1074" t="str">
        <f>FLOOR(FinalData[[#This Row],[Temperature_C]],2)&amp;"–"&amp;(FLOOR(FinalData[[#This Row],[Temperature_C]],2)+2)&amp;"°C"</f>
        <v>22–24°C</v>
      </c>
      <c r="H1074">
        <v>2.79</v>
      </c>
      <c r="I1074">
        <v>2026</v>
      </c>
      <c r="J1074">
        <v>2</v>
      </c>
      <c r="K1074">
        <v>14</v>
      </c>
      <c r="L1074">
        <v>6</v>
      </c>
      <c r="M1074">
        <v>16</v>
      </c>
      <c r="N1074">
        <v>0.22500000000000001</v>
      </c>
      <c r="O1074">
        <v>0.31</v>
      </c>
      <c r="P1074" t="s">
        <v>42</v>
      </c>
    </row>
    <row r="1075" spans="1:16" hidden="1" x14ac:dyDescent="0.25">
      <c r="A1075" s="12">
        <v>46067.708333333336</v>
      </c>
      <c r="B1075" t="s">
        <v>13</v>
      </c>
      <c r="C1075" t="s">
        <v>26</v>
      </c>
      <c r="D1075">
        <v>9</v>
      </c>
      <c r="E1075">
        <v>40</v>
      </c>
      <c r="F1075">
        <v>24.846089654453529</v>
      </c>
      <c r="G1075" t="str">
        <f>FLOOR(FinalData[[#This Row],[Temperature_C]],2)&amp;"–"&amp;(FLOOR(FinalData[[#This Row],[Temperature_C]],2)+2)&amp;"°C"</f>
        <v>24–26°C</v>
      </c>
      <c r="H1075">
        <v>3.6</v>
      </c>
      <c r="I1075">
        <v>2026</v>
      </c>
      <c r="J1075">
        <v>2</v>
      </c>
      <c r="K1075">
        <v>14</v>
      </c>
      <c r="L1075">
        <v>6</v>
      </c>
      <c r="M1075">
        <v>17</v>
      </c>
      <c r="N1075">
        <v>0.22500000000000001</v>
      </c>
      <c r="O1075">
        <v>0.4</v>
      </c>
      <c r="P1075" t="s">
        <v>43</v>
      </c>
    </row>
    <row r="1076" spans="1:16" hidden="1" x14ac:dyDescent="0.25">
      <c r="A1076" s="12">
        <v>46067.75</v>
      </c>
      <c r="B1076" t="s">
        <v>9</v>
      </c>
      <c r="C1076" t="s">
        <v>28</v>
      </c>
      <c r="D1076">
        <v>8</v>
      </c>
      <c r="E1076">
        <v>25</v>
      </c>
      <c r="F1076">
        <v>25.35810043107853</v>
      </c>
      <c r="G1076" t="str">
        <f>FLOOR(FinalData[[#This Row],[Temperature_C]],2)&amp;"–"&amp;(FLOOR(FinalData[[#This Row],[Temperature_C]],2)+2)&amp;"°C"</f>
        <v>24–26°C</v>
      </c>
      <c r="H1076">
        <v>2.87</v>
      </c>
      <c r="I1076">
        <v>2026</v>
      </c>
      <c r="J1076">
        <v>2</v>
      </c>
      <c r="K1076">
        <v>14</v>
      </c>
      <c r="L1076">
        <v>6</v>
      </c>
      <c r="M1076">
        <v>18</v>
      </c>
      <c r="N1076">
        <v>0.32</v>
      </c>
      <c r="O1076">
        <v>0.35875000000000001</v>
      </c>
      <c r="P1076" t="s">
        <v>43</v>
      </c>
    </row>
    <row r="1077" spans="1:16" hidden="1" x14ac:dyDescent="0.25">
      <c r="A1077" s="12">
        <v>46067.791666666664</v>
      </c>
      <c r="B1077" t="s">
        <v>7</v>
      </c>
      <c r="C1077" t="s">
        <v>20</v>
      </c>
      <c r="D1077">
        <v>6</v>
      </c>
      <c r="E1077">
        <v>30</v>
      </c>
      <c r="F1077">
        <v>22.746671945304669</v>
      </c>
      <c r="G1077" t="str">
        <f>FLOOR(FinalData[[#This Row],[Temperature_C]],2)&amp;"–"&amp;(FLOOR(FinalData[[#This Row],[Temperature_C]],2)+2)&amp;"°C"</f>
        <v>22–24°C</v>
      </c>
      <c r="H1077">
        <v>2.25</v>
      </c>
      <c r="I1077">
        <v>2026</v>
      </c>
      <c r="J1077">
        <v>2</v>
      </c>
      <c r="K1077">
        <v>14</v>
      </c>
      <c r="L1077">
        <v>6</v>
      </c>
      <c r="M1077">
        <v>19</v>
      </c>
      <c r="N1077">
        <v>0.2</v>
      </c>
      <c r="O1077">
        <v>0.375</v>
      </c>
      <c r="P1077" t="s">
        <v>43</v>
      </c>
    </row>
    <row r="1078" spans="1:16" hidden="1" x14ac:dyDescent="0.25">
      <c r="A1078" s="12">
        <v>46067.833333333336</v>
      </c>
      <c r="B1078" t="s">
        <v>7</v>
      </c>
      <c r="C1078" t="s">
        <v>12</v>
      </c>
      <c r="D1078">
        <v>9</v>
      </c>
      <c r="E1078">
        <v>20</v>
      </c>
      <c r="F1078">
        <v>15.15519949676332</v>
      </c>
      <c r="G1078" t="str">
        <f>FLOOR(FinalData[[#This Row],[Temperature_C]],2)&amp;"–"&amp;(FLOOR(FinalData[[#This Row],[Temperature_C]],2)+2)&amp;"°C"</f>
        <v>14–16°C</v>
      </c>
      <c r="H1078">
        <v>4.16</v>
      </c>
      <c r="I1078">
        <v>2026</v>
      </c>
      <c r="J1078">
        <v>2</v>
      </c>
      <c r="K1078">
        <v>14</v>
      </c>
      <c r="L1078">
        <v>6</v>
      </c>
      <c r="M1078">
        <v>20</v>
      </c>
      <c r="N1078">
        <v>0.45</v>
      </c>
      <c r="O1078">
        <v>0.46222222222222226</v>
      </c>
      <c r="P1078" t="s">
        <v>43</v>
      </c>
    </row>
    <row r="1079" spans="1:16" hidden="1" x14ac:dyDescent="0.25">
      <c r="A1079" s="12">
        <v>46067.875</v>
      </c>
      <c r="B1079" t="s">
        <v>18</v>
      </c>
      <c r="C1079" t="s">
        <v>19</v>
      </c>
      <c r="D1079">
        <v>13</v>
      </c>
      <c r="E1079">
        <v>25</v>
      </c>
      <c r="F1079">
        <v>19.90486041172738</v>
      </c>
      <c r="G1079" t="str">
        <f>FLOOR(FinalData[[#This Row],[Temperature_C]],2)&amp;"–"&amp;(FLOOR(FinalData[[#This Row],[Temperature_C]],2)+2)&amp;"°C"</f>
        <v>18–20°C</v>
      </c>
      <c r="H1079">
        <v>4.43</v>
      </c>
      <c r="I1079">
        <v>2026</v>
      </c>
      <c r="J1079">
        <v>2</v>
      </c>
      <c r="K1079">
        <v>14</v>
      </c>
      <c r="L1079">
        <v>6</v>
      </c>
      <c r="M1079">
        <v>21</v>
      </c>
      <c r="N1079">
        <v>0.52</v>
      </c>
      <c r="O1079">
        <v>0.34076923076923077</v>
      </c>
      <c r="P1079" t="s">
        <v>40</v>
      </c>
    </row>
    <row r="1080" spans="1:16" hidden="1" x14ac:dyDescent="0.25">
      <c r="A1080" s="12">
        <v>46067.916666666664</v>
      </c>
      <c r="B1080" t="s">
        <v>9</v>
      </c>
      <c r="C1080" t="s">
        <v>27</v>
      </c>
      <c r="D1080">
        <v>6</v>
      </c>
      <c r="E1080">
        <v>40</v>
      </c>
      <c r="F1080">
        <v>22.463257412082061</v>
      </c>
      <c r="G1080" t="str">
        <f>FLOOR(FinalData[[#This Row],[Temperature_C]],2)&amp;"–"&amp;(FLOOR(FinalData[[#This Row],[Temperature_C]],2)+2)&amp;"°C"</f>
        <v>22–24°C</v>
      </c>
      <c r="H1080">
        <v>2.48</v>
      </c>
      <c r="I1080">
        <v>2026</v>
      </c>
      <c r="J1080">
        <v>2</v>
      </c>
      <c r="K1080">
        <v>14</v>
      </c>
      <c r="L1080">
        <v>6</v>
      </c>
      <c r="M1080">
        <v>22</v>
      </c>
      <c r="N1080">
        <v>0.15</v>
      </c>
      <c r="O1080">
        <v>0.41333333333333333</v>
      </c>
      <c r="P1080" t="s">
        <v>40</v>
      </c>
    </row>
    <row r="1081" spans="1:16" hidden="1" x14ac:dyDescent="0.25">
      <c r="A1081" s="12">
        <v>46067.958333333336</v>
      </c>
      <c r="B1081" t="s">
        <v>13</v>
      </c>
      <c r="C1081" t="s">
        <v>24</v>
      </c>
      <c r="D1081">
        <v>6</v>
      </c>
      <c r="E1081">
        <v>30</v>
      </c>
      <c r="F1081">
        <v>22.896981612492141</v>
      </c>
      <c r="G1081" t="str">
        <f>FLOOR(FinalData[[#This Row],[Temperature_C]],2)&amp;"–"&amp;(FLOOR(FinalData[[#This Row],[Temperature_C]],2)+2)&amp;"°C"</f>
        <v>22–24°C</v>
      </c>
      <c r="H1081">
        <v>2.5499999999999998</v>
      </c>
      <c r="I1081">
        <v>2026</v>
      </c>
      <c r="J1081">
        <v>2</v>
      </c>
      <c r="K1081">
        <v>14</v>
      </c>
      <c r="L1081">
        <v>6</v>
      </c>
      <c r="M1081">
        <v>23</v>
      </c>
      <c r="N1081">
        <v>0.2</v>
      </c>
      <c r="O1081">
        <v>0.42499999999999999</v>
      </c>
      <c r="P1081" t="s">
        <v>40</v>
      </c>
    </row>
    <row r="1082" spans="1:16" hidden="1" x14ac:dyDescent="0.25">
      <c r="A1082" s="12">
        <v>46068</v>
      </c>
      <c r="B1082" t="s">
        <v>18</v>
      </c>
      <c r="C1082" t="s">
        <v>14</v>
      </c>
      <c r="D1082">
        <v>9</v>
      </c>
      <c r="E1082">
        <v>25</v>
      </c>
      <c r="F1082">
        <v>23.31469313534615</v>
      </c>
      <c r="G1082" t="str">
        <f>FLOOR(FinalData[[#This Row],[Temperature_C]],2)&amp;"–"&amp;(FLOOR(FinalData[[#This Row],[Temperature_C]],2)+2)&amp;"°C"</f>
        <v>22–24°C</v>
      </c>
      <c r="H1082">
        <v>3.54</v>
      </c>
      <c r="I1082">
        <v>2026</v>
      </c>
      <c r="J1082">
        <v>2</v>
      </c>
      <c r="K1082">
        <v>15</v>
      </c>
      <c r="L1082">
        <v>0</v>
      </c>
      <c r="M1082">
        <v>0</v>
      </c>
      <c r="N1082">
        <v>0.36</v>
      </c>
      <c r="O1082">
        <v>0.39333333333333331</v>
      </c>
      <c r="P1082" t="s">
        <v>40</v>
      </c>
    </row>
    <row r="1083" spans="1:16" hidden="1" x14ac:dyDescent="0.25">
      <c r="A1083" s="12">
        <v>46068.041666666664</v>
      </c>
      <c r="B1083" t="s">
        <v>13</v>
      </c>
      <c r="C1083" t="s">
        <v>8</v>
      </c>
      <c r="D1083">
        <v>9</v>
      </c>
      <c r="E1083">
        <v>40</v>
      </c>
      <c r="F1083">
        <v>23.2286175061185</v>
      </c>
      <c r="G1083" t="str">
        <f>FLOOR(FinalData[[#This Row],[Temperature_C]],2)&amp;"–"&amp;(FLOOR(FinalData[[#This Row],[Temperature_C]],2)+2)&amp;"°C"</f>
        <v>22–24°C</v>
      </c>
      <c r="H1083">
        <v>3.23</v>
      </c>
      <c r="I1083">
        <v>2026</v>
      </c>
      <c r="J1083">
        <v>2</v>
      </c>
      <c r="K1083">
        <v>15</v>
      </c>
      <c r="L1083">
        <v>0</v>
      </c>
      <c r="M1083">
        <v>1</v>
      </c>
      <c r="N1083">
        <v>0.22500000000000001</v>
      </c>
      <c r="O1083">
        <v>0.35888888888888887</v>
      </c>
      <c r="P1083" t="s">
        <v>40</v>
      </c>
    </row>
    <row r="1084" spans="1:16" hidden="1" x14ac:dyDescent="0.25">
      <c r="A1084" s="12">
        <v>46068.083333333336</v>
      </c>
      <c r="B1084" t="s">
        <v>13</v>
      </c>
      <c r="C1084" t="s">
        <v>15</v>
      </c>
      <c r="D1084">
        <v>7</v>
      </c>
      <c r="E1084">
        <v>40</v>
      </c>
      <c r="F1084">
        <v>22.647731604578439</v>
      </c>
      <c r="G1084" t="str">
        <f>FLOOR(FinalData[[#This Row],[Temperature_C]],2)&amp;"–"&amp;(FLOOR(FinalData[[#This Row],[Temperature_C]],2)+2)&amp;"°C"</f>
        <v>22–24°C</v>
      </c>
      <c r="H1084">
        <v>2.19</v>
      </c>
      <c r="I1084">
        <v>2026</v>
      </c>
      <c r="J1084">
        <v>2</v>
      </c>
      <c r="K1084">
        <v>15</v>
      </c>
      <c r="L1084">
        <v>0</v>
      </c>
      <c r="M1084">
        <v>2</v>
      </c>
      <c r="N1084">
        <v>0.17499999999999999</v>
      </c>
      <c r="O1084">
        <v>0.31285714285714283</v>
      </c>
      <c r="P1084" t="s">
        <v>40</v>
      </c>
    </row>
    <row r="1085" spans="1:16" hidden="1" x14ac:dyDescent="0.25">
      <c r="A1085" s="12">
        <v>46068.125</v>
      </c>
      <c r="B1085" t="s">
        <v>9</v>
      </c>
      <c r="C1085" t="s">
        <v>17</v>
      </c>
      <c r="D1085">
        <v>8</v>
      </c>
      <c r="E1085">
        <v>30</v>
      </c>
      <c r="F1085">
        <v>23.311308394199461</v>
      </c>
      <c r="G1085" t="str">
        <f>FLOOR(FinalData[[#This Row],[Temperature_C]],2)&amp;"–"&amp;(FLOOR(FinalData[[#This Row],[Temperature_C]],2)+2)&amp;"°C"</f>
        <v>22–24°C</v>
      </c>
      <c r="H1085">
        <v>2.67</v>
      </c>
      <c r="I1085">
        <v>2026</v>
      </c>
      <c r="J1085">
        <v>2</v>
      </c>
      <c r="K1085">
        <v>15</v>
      </c>
      <c r="L1085">
        <v>0</v>
      </c>
      <c r="M1085">
        <v>3</v>
      </c>
      <c r="N1085">
        <v>0.26666666666666666</v>
      </c>
      <c r="O1085">
        <v>0.33374999999999999</v>
      </c>
      <c r="P1085" t="s">
        <v>40</v>
      </c>
    </row>
    <row r="1086" spans="1:16" hidden="1" x14ac:dyDescent="0.25">
      <c r="A1086" s="12">
        <v>46068.166666666664</v>
      </c>
      <c r="B1086" t="s">
        <v>13</v>
      </c>
      <c r="C1086" t="s">
        <v>17</v>
      </c>
      <c r="D1086">
        <v>9</v>
      </c>
      <c r="E1086">
        <v>25</v>
      </c>
      <c r="F1086">
        <v>22.199750830562511</v>
      </c>
      <c r="G1086" t="str">
        <f>FLOOR(FinalData[[#This Row],[Temperature_C]],2)&amp;"–"&amp;(FLOOR(FinalData[[#This Row],[Temperature_C]],2)+2)&amp;"°C"</f>
        <v>22–24°C</v>
      </c>
      <c r="H1086">
        <v>3.23</v>
      </c>
      <c r="I1086">
        <v>2026</v>
      </c>
      <c r="J1086">
        <v>2</v>
      </c>
      <c r="K1086">
        <v>15</v>
      </c>
      <c r="L1086">
        <v>0</v>
      </c>
      <c r="M1086">
        <v>4</v>
      </c>
      <c r="N1086">
        <v>0.36</v>
      </c>
      <c r="O1086">
        <v>0.35888888888888887</v>
      </c>
      <c r="P1086" t="s">
        <v>40</v>
      </c>
    </row>
    <row r="1087" spans="1:16" hidden="1" x14ac:dyDescent="0.25">
      <c r="A1087" s="12">
        <v>46068.208333333336</v>
      </c>
      <c r="B1087" t="s">
        <v>18</v>
      </c>
      <c r="C1087" t="s">
        <v>23</v>
      </c>
      <c r="D1087">
        <v>4</v>
      </c>
      <c r="E1087">
        <v>20</v>
      </c>
      <c r="F1087">
        <v>24.373548141006712</v>
      </c>
      <c r="G1087" t="str">
        <f>FLOOR(FinalData[[#This Row],[Temperature_C]],2)&amp;"–"&amp;(FLOOR(FinalData[[#This Row],[Temperature_C]],2)+2)&amp;"°C"</f>
        <v>24–26°C</v>
      </c>
      <c r="H1087">
        <v>1.96</v>
      </c>
      <c r="I1087">
        <v>2026</v>
      </c>
      <c r="J1087">
        <v>2</v>
      </c>
      <c r="K1087">
        <v>15</v>
      </c>
      <c r="L1087">
        <v>0</v>
      </c>
      <c r="M1087">
        <v>5</v>
      </c>
      <c r="N1087">
        <v>0.2</v>
      </c>
      <c r="O1087">
        <v>0.49</v>
      </c>
      <c r="P1087" t="s">
        <v>40</v>
      </c>
    </row>
    <row r="1088" spans="1:16" hidden="1" x14ac:dyDescent="0.25">
      <c r="A1088" s="12">
        <v>46068.25</v>
      </c>
      <c r="B1088" t="s">
        <v>11</v>
      </c>
      <c r="C1088" t="s">
        <v>30</v>
      </c>
      <c r="D1088">
        <v>7</v>
      </c>
      <c r="E1088">
        <v>40</v>
      </c>
      <c r="F1088">
        <v>24.210809009525491</v>
      </c>
      <c r="G1088" t="str">
        <f>FLOOR(FinalData[[#This Row],[Temperature_C]],2)&amp;"–"&amp;(FLOOR(FinalData[[#This Row],[Temperature_C]],2)+2)&amp;"°C"</f>
        <v>24–26°C</v>
      </c>
      <c r="H1088">
        <v>3.02</v>
      </c>
      <c r="I1088">
        <v>2026</v>
      </c>
      <c r="J1088">
        <v>2</v>
      </c>
      <c r="K1088">
        <v>15</v>
      </c>
      <c r="L1088">
        <v>0</v>
      </c>
      <c r="M1088">
        <v>6</v>
      </c>
      <c r="N1088">
        <v>0.17499999999999999</v>
      </c>
      <c r="O1088">
        <v>0.43142857142857144</v>
      </c>
      <c r="P1088" t="s">
        <v>40</v>
      </c>
    </row>
    <row r="1089" spans="1:16" hidden="1" x14ac:dyDescent="0.25">
      <c r="A1089" s="12">
        <v>46068.291666666664</v>
      </c>
      <c r="B1089" t="s">
        <v>7</v>
      </c>
      <c r="C1089" t="s">
        <v>10</v>
      </c>
      <c r="D1089">
        <v>8</v>
      </c>
      <c r="E1089">
        <v>40</v>
      </c>
      <c r="F1089">
        <v>22.19300413411154</v>
      </c>
      <c r="G1089" t="str">
        <f>FLOOR(FinalData[[#This Row],[Temperature_C]],2)&amp;"–"&amp;(FLOOR(FinalData[[#This Row],[Temperature_C]],2)+2)&amp;"°C"</f>
        <v>22–24°C</v>
      </c>
      <c r="H1089">
        <v>3.08</v>
      </c>
      <c r="I1089">
        <v>2026</v>
      </c>
      <c r="J1089">
        <v>2</v>
      </c>
      <c r="K1089">
        <v>15</v>
      </c>
      <c r="L1089">
        <v>0</v>
      </c>
      <c r="M1089">
        <v>7</v>
      </c>
      <c r="N1089">
        <v>0.2</v>
      </c>
      <c r="O1089">
        <v>0.38500000000000001</v>
      </c>
      <c r="P1089" t="s">
        <v>41</v>
      </c>
    </row>
    <row r="1090" spans="1:16" hidden="1" x14ac:dyDescent="0.25">
      <c r="A1090" s="12">
        <v>46068.333333333336</v>
      </c>
      <c r="B1090" t="s">
        <v>7</v>
      </c>
      <c r="C1090" t="s">
        <v>17</v>
      </c>
      <c r="D1090">
        <v>9</v>
      </c>
      <c r="E1090">
        <v>20</v>
      </c>
      <c r="F1090">
        <v>23.860689676342119</v>
      </c>
      <c r="G1090" t="str">
        <f>FLOOR(FinalData[[#This Row],[Temperature_C]],2)&amp;"–"&amp;(FLOOR(FinalData[[#This Row],[Temperature_C]],2)+2)&amp;"°C"</f>
        <v>22–24°C</v>
      </c>
      <c r="H1090">
        <v>3.63</v>
      </c>
      <c r="I1090">
        <v>2026</v>
      </c>
      <c r="J1090">
        <v>2</v>
      </c>
      <c r="K1090">
        <v>15</v>
      </c>
      <c r="L1090">
        <v>0</v>
      </c>
      <c r="M1090">
        <v>8</v>
      </c>
      <c r="N1090">
        <v>0.45</v>
      </c>
      <c r="O1090">
        <v>0.40333333333333332</v>
      </c>
      <c r="P1090" t="s">
        <v>41</v>
      </c>
    </row>
    <row r="1091" spans="1:16" hidden="1" x14ac:dyDescent="0.25">
      <c r="A1091" s="12">
        <v>46068.375</v>
      </c>
      <c r="B1091" t="s">
        <v>18</v>
      </c>
      <c r="C1091" t="s">
        <v>21</v>
      </c>
      <c r="D1091">
        <v>3</v>
      </c>
      <c r="E1091">
        <v>40</v>
      </c>
      <c r="F1091">
        <v>21.973631238152269</v>
      </c>
      <c r="G1091" t="str">
        <f>FLOOR(FinalData[[#This Row],[Temperature_C]],2)&amp;"–"&amp;(FLOOR(FinalData[[#This Row],[Temperature_C]],2)+2)&amp;"°C"</f>
        <v>20–22°C</v>
      </c>
      <c r="H1091">
        <v>1.4</v>
      </c>
      <c r="I1091">
        <v>2026</v>
      </c>
      <c r="J1091">
        <v>2</v>
      </c>
      <c r="K1091">
        <v>15</v>
      </c>
      <c r="L1091">
        <v>0</v>
      </c>
      <c r="M1091">
        <v>9</v>
      </c>
      <c r="N1091">
        <v>7.4999999999999997E-2</v>
      </c>
      <c r="O1091">
        <v>0.46666666666666662</v>
      </c>
      <c r="P1091" t="s">
        <v>41</v>
      </c>
    </row>
    <row r="1092" spans="1:16" hidden="1" x14ac:dyDescent="0.25">
      <c r="A1092" s="12">
        <v>46068.416666666664</v>
      </c>
      <c r="B1092" t="s">
        <v>7</v>
      </c>
      <c r="C1092" t="s">
        <v>20</v>
      </c>
      <c r="D1092">
        <v>7</v>
      </c>
      <c r="E1092">
        <v>30</v>
      </c>
      <c r="F1092">
        <v>24.254784148167371</v>
      </c>
      <c r="G1092" t="str">
        <f>FLOOR(FinalData[[#This Row],[Temperature_C]],2)&amp;"–"&amp;(FLOOR(FinalData[[#This Row],[Temperature_C]],2)+2)&amp;"°C"</f>
        <v>24–26°C</v>
      </c>
      <c r="H1092">
        <v>2.86</v>
      </c>
      <c r="I1092">
        <v>2026</v>
      </c>
      <c r="J1092">
        <v>2</v>
      </c>
      <c r="K1092">
        <v>15</v>
      </c>
      <c r="L1092">
        <v>0</v>
      </c>
      <c r="M1092">
        <v>10</v>
      </c>
      <c r="N1092">
        <v>0.23333333333333334</v>
      </c>
      <c r="O1092">
        <v>0.40857142857142853</v>
      </c>
      <c r="P1092" t="s">
        <v>41</v>
      </c>
    </row>
    <row r="1093" spans="1:16" hidden="1" x14ac:dyDescent="0.25">
      <c r="A1093" s="12">
        <v>46068.458333333336</v>
      </c>
      <c r="B1093" t="s">
        <v>9</v>
      </c>
      <c r="C1093" t="s">
        <v>14</v>
      </c>
      <c r="D1093">
        <v>8</v>
      </c>
      <c r="E1093">
        <v>30</v>
      </c>
      <c r="F1093">
        <v>24.94097691922676</v>
      </c>
      <c r="G1093" t="str">
        <f>FLOOR(FinalData[[#This Row],[Temperature_C]],2)&amp;"–"&amp;(FLOOR(FinalData[[#This Row],[Temperature_C]],2)+2)&amp;"°C"</f>
        <v>24–26°C</v>
      </c>
      <c r="H1093">
        <v>2.86</v>
      </c>
      <c r="I1093">
        <v>2026</v>
      </c>
      <c r="J1093">
        <v>2</v>
      </c>
      <c r="K1093">
        <v>15</v>
      </c>
      <c r="L1093">
        <v>0</v>
      </c>
      <c r="M1093">
        <v>11</v>
      </c>
      <c r="N1093">
        <v>0.26666666666666666</v>
      </c>
      <c r="O1093">
        <v>0.35749999999999998</v>
      </c>
      <c r="P1093" t="s">
        <v>41</v>
      </c>
    </row>
    <row r="1094" spans="1:16" hidden="1" x14ac:dyDescent="0.25">
      <c r="A1094" s="12">
        <v>46068.5</v>
      </c>
      <c r="B1094" t="s">
        <v>7</v>
      </c>
      <c r="C1094" t="s">
        <v>23</v>
      </c>
      <c r="D1094">
        <v>13</v>
      </c>
      <c r="E1094">
        <v>30</v>
      </c>
      <c r="F1094">
        <v>20.940778057821198</v>
      </c>
      <c r="G1094" t="str">
        <f>FLOOR(FinalData[[#This Row],[Temperature_C]],2)&amp;"–"&amp;(FLOOR(FinalData[[#This Row],[Temperature_C]],2)+2)&amp;"°C"</f>
        <v>20–22°C</v>
      </c>
      <c r="H1094">
        <v>4.28</v>
      </c>
      <c r="I1094">
        <v>2026</v>
      </c>
      <c r="J1094">
        <v>2</v>
      </c>
      <c r="K1094">
        <v>15</v>
      </c>
      <c r="L1094">
        <v>0</v>
      </c>
      <c r="M1094">
        <v>12</v>
      </c>
      <c r="N1094">
        <v>0.43333333333333335</v>
      </c>
      <c r="O1094">
        <v>0.32923076923076927</v>
      </c>
      <c r="P1094" t="s">
        <v>42</v>
      </c>
    </row>
    <row r="1095" spans="1:16" hidden="1" x14ac:dyDescent="0.25">
      <c r="A1095" s="12">
        <v>46068.541666666664</v>
      </c>
      <c r="B1095" t="s">
        <v>18</v>
      </c>
      <c r="C1095" t="s">
        <v>29</v>
      </c>
      <c r="D1095">
        <v>6</v>
      </c>
      <c r="E1095">
        <v>30</v>
      </c>
      <c r="F1095">
        <v>18.515556682511939</v>
      </c>
      <c r="G1095" t="str">
        <f>FLOOR(FinalData[[#This Row],[Temperature_C]],2)&amp;"–"&amp;(FLOOR(FinalData[[#This Row],[Temperature_C]],2)+2)&amp;"°C"</f>
        <v>18–20°C</v>
      </c>
      <c r="H1095">
        <v>3.07</v>
      </c>
      <c r="I1095">
        <v>2026</v>
      </c>
      <c r="J1095">
        <v>2</v>
      </c>
      <c r="K1095">
        <v>15</v>
      </c>
      <c r="L1095">
        <v>0</v>
      </c>
      <c r="M1095">
        <v>13</v>
      </c>
      <c r="N1095">
        <v>0.2</v>
      </c>
      <c r="O1095">
        <v>0.5116666666666666</v>
      </c>
      <c r="P1095" t="s">
        <v>42</v>
      </c>
    </row>
    <row r="1096" spans="1:16" hidden="1" x14ac:dyDescent="0.25">
      <c r="A1096" s="12">
        <v>46068.583333333336</v>
      </c>
      <c r="B1096" t="s">
        <v>7</v>
      </c>
      <c r="C1096" t="s">
        <v>16</v>
      </c>
      <c r="D1096">
        <v>10</v>
      </c>
      <c r="E1096">
        <v>40</v>
      </c>
      <c r="F1096">
        <v>23.624124263453481</v>
      </c>
      <c r="G1096" t="str">
        <f>FLOOR(FinalData[[#This Row],[Temperature_C]],2)&amp;"–"&amp;(FLOOR(FinalData[[#This Row],[Temperature_C]],2)+2)&amp;"°C"</f>
        <v>22–24°C</v>
      </c>
      <c r="H1096">
        <v>3.8</v>
      </c>
      <c r="I1096">
        <v>2026</v>
      </c>
      <c r="J1096">
        <v>2</v>
      </c>
      <c r="K1096">
        <v>15</v>
      </c>
      <c r="L1096">
        <v>0</v>
      </c>
      <c r="M1096">
        <v>14</v>
      </c>
      <c r="N1096">
        <v>0.25</v>
      </c>
      <c r="O1096">
        <v>0.38</v>
      </c>
      <c r="P1096" t="s">
        <v>42</v>
      </c>
    </row>
    <row r="1097" spans="1:16" hidden="1" x14ac:dyDescent="0.25">
      <c r="A1097" s="12">
        <v>46068.625</v>
      </c>
      <c r="B1097" t="s">
        <v>9</v>
      </c>
      <c r="C1097" t="s">
        <v>15</v>
      </c>
      <c r="D1097">
        <v>4</v>
      </c>
      <c r="E1097">
        <v>30</v>
      </c>
      <c r="F1097">
        <v>26.4935747732039</v>
      </c>
      <c r="G1097" t="str">
        <f>FLOOR(FinalData[[#This Row],[Temperature_C]],2)&amp;"–"&amp;(FLOOR(FinalData[[#This Row],[Temperature_C]],2)+2)&amp;"°C"</f>
        <v>26–28°C</v>
      </c>
      <c r="H1097">
        <v>1.86</v>
      </c>
      <c r="I1097">
        <v>2026</v>
      </c>
      <c r="J1097">
        <v>2</v>
      </c>
      <c r="K1097">
        <v>15</v>
      </c>
      <c r="L1097">
        <v>0</v>
      </c>
      <c r="M1097">
        <v>15</v>
      </c>
      <c r="N1097">
        <v>0.13333333333333333</v>
      </c>
      <c r="O1097">
        <v>0.46500000000000002</v>
      </c>
      <c r="P1097" t="s">
        <v>42</v>
      </c>
    </row>
    <row r="1098" spans="1:16" hidden="1" x14ac:dyDescent="0.25">
      <c r="A1098" s="12">
        <v>46068.666666666664</v>
      </c>
      <c r="B1098" t="s">
        <v>9</v>
      </c>
      <c r="C1098" t="s">
        <v>27</v>
      </c>
      <c r="D1098">
        <v>12</v>
      </c>
      <c r="E1098">
        <v>25</v>
      </c>
      <c r="F1098">
        <v>21.220310458117719</v>
      </c>
      <c r="G1098" t="str">
        <f>FLOOR(FinalData[[#This Row],[Temperature_C]],2)&amp;"–"&amp;(FLOOR(FinalData[[#This Row],[Temperature_C]],2)+2)&amp;"°C"</f>
        <v>20–22°C</v>
      </c>
      <c r="H1098">
        <v>3.63</v>
      </c>
      <c r="I1098">
        <v>2026</v>
      </c>
      <c r="J1098">
        <v>2</v>
      </c>
      <c r="K1098">
        <v>15</v>
      </c>
      <c r="L1098">
        <v>0</v>
      </c>
      <c r="M1098">
        <v>16</v>
      </c>
      <c r="N1098">
        <v>0.48</v>
      </c>
      <c r="O1098">
        <v>0.30249999999999999</v>
      </c>
      <c r="P1098" t="s">
        <v>42</v>
      </c>
    </row>
    <row r="1099" spans="1:16" hidden="1" x14ac:dyDescent="0.25">
      <c r="A1099" s="12">
        <v>46068.708333333336</v>
      </c>
      <c r="B1099" t="s">
        <v>11</v>
      </c>
      <c r="C1099" t="s">
        <v>29</v>
      </c>
      <c r="D1099">
        <v>9</v>
      </c>
      <c r="E1099">
        <v>25</v>
      </c>
      <c r="F1099">
        <v>20.858667187619641</v>
      </c>
      <c r="G1099" t="str">
        <f>FLOOR(FinalData[[#This Row],[Temperature_C]],2)&amp;"–"&amp;(FLOOR(FinalData[[#This Row],[Temperature_C]],2)+2)&amp;"°C"</f>
        <v>20–22°C</v>
      </c>
      <c r="H1099">
        <v>2.99</v>
      </c>
      <c r="I1099">
        <v>2026</v>
      </c>
      <c r="J1099">
        <v>2</v>
      </c>
      <c r="K1099">
        <v>15</v>
      </c>
      <c r="L1099">
        <v>0</v>
      </c>
      <c r="M1099">
        <v>17</v>
      </c>
      <c r="N1099">
        <v>0.36</v>
      </c>
      <c r="O1099">
        <v>0.33222222222222225</v>
      </c>
      <c r="P1099" t="s">
        <v>43</v>
      </c>
    </row>
    <row r="1100" spans="1:16" hidden="1" x14ac:dyDescent="0.25">
      <c r="A1100" s="12">
        <v>46068.75</v>
      </c>
      <c r="B1100" t="s">
        <v>7</v>
      </c>
      <c r="C1100" t="s">
        <v>24</v>
      </c>
      <c r="D1100">
        <v>6</v>
      </c>
      <c r="E1100">
        <v>20</v>
      </c>
      <c r="F1100">
        <v>26.550829150309379</v>
      </c>
      <c r="G1100" t="str">
        <f>FLOOR(FinalData[[#This Row],[Temperature_C]],2)&amp;"–"&amp;(FLOOR(FinalData[[#This Row],[Temperature_C]],2)+2)&amp;"°C"</f>
        <v>26–28°C</v>
      </c>
      <c r="H1100">
        <v>3.07</v>
      </c>
      <c r="I1100">
        <v>2026</v>
      </c>
      <c r="J1100">
        <v>2</v>
      </c>
      <c r="K1100">
        <v>15</v>
      </c>
      <c r="L1100">
        <v>0</v>
      </c>
      <c r="M1100">
        <v>18</v>
      </c>
      <c r="N1100">
        <v>0.3</v>
      </c>
      <c r="O1100">
        <v>0.5116666666666666</v>
      </c>
      <c r="P1100" t="s">
        <v>43</v>
      </c>
    </row>
    <row r="1101" spans="1:16" hidden="1" x14ac:dyDescent="0.25">
      <c r="A1101" s="12">
        <v>46068.791666666664</v>
      </c>
      <c r="B1101" t="s">
        <v>18</v>
      </c>
      <c r="C1101" t="s">
        <v>16</v>
      </c>
      <c r="D1101">
        <v>11</v>
      </c>
      <c r="E1101">
        <v>30</v>
      </c>
      <c r="F1101">
        <v>24.288417677688251</v>
      </c>
      <c r="G1101" t="str">
        <f>FLOOR(FinalData[[#This Row],[Temperature_C]],2)&amp;"–"&amp;(FLOOR(FinalData[[#This Row],[Temperature_C]],2)+2)&amp;"°C"</f>
        <v>24–26°C</v>
      </c>
      <c r="H1101">
        <v>3.6</v>
      </c>
      <c r="I1101">
        <v>2026</v>
      </c>
      <c r="J1101">
        <v>2</v>
      </c>
      <c r="K1101">
        <v>15</v>
      </c>
      <c r="L1101">
        <v>0</v>
      </c>
      <c r="M1101">
        <v>19</v>
      </c>
      <c r="N1101">
        <v>0.36666666666666664</v>
      </c>
      <c r="O1101">
        <v>0.32727272727272727</v>
      </c>
      <c r="P1101" t="s">
        <v>43</v>
      </c>
    </row>
    <row r="1102" spans="1:16" hidden="1" x14ac:dyDescent="0.25">
      <c r="A1102" s="12">
        <v>46068.833333333336</v>
      </c>
      <c r="B1102" t="s">
        <v>18</v>
      </c>
      <c r="C1102" t="s">
        <v>10</v>
      </c>
      <c r="D1102">
        <v>8</v>
      </c>
      <c r="E1102">
        <v>40</v>
      </c>
      <c r="F1102">
        <v>25.867250039641888</v>
      </c>
      <c r="G1102" t="str">
        <f>FLOOR(FinalData[[#This Row],[Temperature_C]],2)&amp;"–"&amp;(FLOOR(FinalData[[#This Row],[Temperature_C]],2)+2)&amp;"°C"</f>
        <v>24–26°C</v>
      </c>
      <c r="H1102">
        <v>3.44</v>
      </c>
      <c r="I1102">
        <v>2026</v>
      </c>
      <c r="J1102">
        <v>2</v>
      </c>
      <c r="K1102">
        <v>15</v>
      </c>
      <c r="L1102">
        <v>0</v>
      </c>
      <c r="M1102">
        <v>20</v>
      </c>
      <c r="N1102">
        <v>0.2</v>
      </c>
      <c r="O1102">
        <v>0.43</v>
      </c>
      <c r="P1102" t="s">
        <v>43</v>
      </c>
    </row>
    <row r="1103" spans="1:16" hidden="1" x14ac:dyDescent="0.25">
      <c r="A1103" s="12">
        <v>46068.875</v>
      </c>
      <c r="B1103" t="s">
        <v>7</v>
      </c>
      <c r="C1103" t="s">
        <v>12</v>
      </c>
      <c r="D1103">
        <v>9</v>
      </c>
      <c r="E1103">
        <v>20</v>
      </c>
      <c r="F1103">
        <v>21.805237877909711</v>
      </c>
      <c r="G1103" t="str">
        <f>FLOOR(FinalData[[#This Row],[Temperature_C]],2)&amp;"–"&amp;(FLOOR(FinalData[[#This Row],[Temperature_C]],2)+2)&amp;"°C"</f>
        <v>20–22°C</v>
      </c>
      <c r="H1103">
        <v>3.11</v>
      </c>
      <c r="I1103">
        <v>2026</v>
      </c>
      <c r="J1103">
        <v>2</v>
      </c>
      <c r="K1103">
        <v>15</v>
      </c>
      <c r="L1103">
        <v>0</v>
      </c>
      <c r="M1103">
        <v>21</v>
      </c>
      <c r="N1103">
        <v>0.45</v>
      </c>
      <c r="O1103">
        <v>0.34555555555555556</v>
      </c>
      <c r="P1103" t="s">
        <v>40</v>
      </c>
    </row>
    <row r="1104" spans="1:16" hidden="1" x14ac:dyDescent="0.25">
      <c r="A1104" s="12">
        <v>46068.916666666664</v>
      </c>
      <c r="B1104" t="s">
        <v>9</v>
      </c>
      <c r="C1104" t="s">
        <v>24</v>
      </c>
      <c r="D1104">
        <v>10</v>
      </c>
      <c r="E1104">
        <v>40</v>
      </c>
      <c r="F1104">
        <v>23.433888655191488</v>
      </c>
      <c r="G1104" t="str">
        <f>FLOOR(FinalData[[#This Row],[Temperature_C]],2)&amp;"–"&amp;(FLOOR(FinalData[[#This Row],[Temperature_C]],2)+2)&amp;"°C"</f>
        <v>22–24°C</v>
      </c>
      <c r="H1104">
        <v>3.71</v>
      </c>
      <c r="I1104">
        <v>2026</v>
      </c>
      <c r="J1104">
        <v>2</v>
      </c>
      <c r="K1104">
        <v>15</v>
      </c>
      <c r="L1104">
        <v>0</v>
      </c>
      <c r="M1104">
        <v>22</v>
      </c>
      <c r="N1104">
        <v>0.25</v>
      </c>
      <c r="O1104">
        <v>0.371</v>
      </c>
      <c r="P1104" t="s">
        <v>40</v>
      </c>
    </row>
    <row r="1105" spans="1:16" hidden="1" x14ac:dyDescent="0.25">
      <c r="A1105" s="12">
        <v>46068.958333333336</v>
      </c>
      <c r="B1105" t="s">
        <v>13</v>
      </c>
      <c r="C1105" t="s">
        <v>14</v>
      </c>
      <c r="D1105">
        <v>12</v>
      </c>
      <c r="E1105">
        <v>20</v>
      </c>
      <c r="F1105">
        <v>19.590756083645768</v>
      </c>
      <c r="G1105" t="str">
        <f>FLOOR(FinalData[[#This Row],[Temperature_C]],2)&amp;"–"&amp;(FLOOR(FinalData[[#This Row],[Temperature_C]],2)+2)&amp;"°C"</f>
        <v>18–20°C</v>
      </c>
      <c r="H1105">
        <v>4.1399999999999997</v>
      </c>
      <c r="I1105">
        <v>2026</v>
      </c>
      <c r="J1105">
        <v>2</v>
      </c>
      <c r="K1105">
        <v>15</v>
      </c>
      <c r="L1105">
        <v>0</v>
      </c>
      <c r="M1105">
        <v>23</v>
      </c>
      <c r="N1105">
        <v>0.6</v>
      </c>
      <c r="O1105">
        <v>0.34499999999999997</v>
      </c>
      <c r="P1105" t="s">
        <v>40</v>
      </c>
    </row>
    <row r="1106" spans="1:16" hidden="1" x14ac:dyDescent="0.25">
      <c r="A1106" s="12">
        <v>46069</v>
      </c>
      <c r="B1106" t="s">
        <v>18</v>
      </c>
      <c r="C1106" t="s">
        <v>23</v>
      </c>
      <c r="D1106">
        <v>8</v>
      </c>
      <c r="E1106">
        <v>40</v>
      </c>
      <c r="F1106">
        <v>23.962343115158451</v>
      </c>
      <c r="G1106" t="str">
        <f>FLOOR(FinalData[[#This Row],[Temperature_C]],2)&amp;"–"&amp;(FLOOR(FinalData[[#This Row],[Temperature_C]],2)+2)&amp;"°C"</f>
        <v>22–24°C</v>
      </c>
      <c r="H1106">
        <v>2.8</v>
      </c>
      <c r="I1106">
        <v>2026</v>
      </c>
      <c r="J1106">
        <v>2</v>
      </c>
      <c r="K1106">
        <v>16</v>
      </c>
      <c r="L1106">
        <v>1</v>
      </c>
      <c r="M1106">
        <v>0</v>
      </c>
      <c r="N1106">
        <v>0.2</v>
      </c>
      <c r="O1106">
        <v>0.35</v>
      </c>
      <c r="P1106" t="s">
        <v>40</v>
      </c>
    </row>
    <row r="1107" spans="1:16" hidden="1" x14ac:dyDescent="0.25">
      <c r="A1107" s="12">
        <v>46069.041666666664</v>
      </c>
      <c r="B1107" t="s">
        <v>11</v>
      </c>
      <c r="C1107" t="s">
        <v>8</v>
      </c>
      <c r="D1107">
        <v>5</v>
      </c>
      <c r="E1107">
        <v>40</v>
      </c>
      <c r="F1107">
        <v>23.183479751974559</v>
      </c>
      <c r="G1107" t="str">
        <f>FLOOR(FinalData[[#This Row],[Temperature_C]],2)&amp;"–"&amp;(FLOOR(FinalData[[#This Row],[Temperature_C]],2)+2)&amp;"°C"</f>
        <v>22–24°C</v>
      </c>
      <c r="H1107">
        <v>2.0299999999999998</v>
      </c>
      <c r="I1107">
        <v>2026</v>
      </c>
      <c r="J1107">
        <v>2</v>
      </c>
      <c r="K1107">
        <v>16</v>
      </c>
      <c r="L1107">
        <v>1</v>
      </c>
      <c r="M1107">
        <v>1</v>
      </c>
      <c r="N1107">
        <v>0.125</v>
      </c>
      <c r="O1107">
        <v>0.40599999999999997</v>
      </c>
      <c r="P1107" t="s">
        <v>40</v>
      </c>
    </row>
    <row r="1108" spans="1:16" hidden="1" x14ac:dyDescent="0.25">
      <c r="A1108" s="12">
        <v>46069.083333333336</v>
      </c>
      <c r="B1108" t="s">
        <v>9</v>
      </c>
      <c r="C1108" t="s">
        <v>31</v>
      </c>
      <c r="D1108">
        <v>11</v>
      </c>
      <c r="E1108">
        <v>25</v>
      </c>
      <c r="F1108">
        <v>21.921228545837</v>
      </c>
      <c r="G1108" t="str">
        <f>FLOOR(FinalData[[#This Row],[Temperature_C]],2)&amp;"–"&amp;(FLOOR(FinalData[[#This Row],[Temperature_C]],2)+2)&amp;"°C"</f>
        <v>20–22°C</v>
      </c>
      <c r="H1108">
        <v>3.34</v>
      </c>
      <c r="I1108">
        <v>2026</v>
      </c>
      <c r="J1108">
        <v>2</v>
      </c>
      <c r="K1108">
        <v>16</v>
      </c>
      <c r="L1108">
        <v>1</v>
      </c>
      <c r="M1108">
        <v>2</v>
      </c>
      <c r="N1108">
        <v>0.44</v>
      </c>
      <c r="O1108">
        <v>0.30363636363636365</v>
      </c>
      <c r="P1108" t="s">
        <v>40</v>
      </c>
    </row>
    <row r="1109" spans="1:16" hidden="1" x14ac:dyDescent="0.25">
      <c r="A1109" s="12">
        <v>46069.125</v>
      </c>
      <c r="B1109" t="s">
        <v>11</v>
      </c>
      <c r="C1109" t="s">
        <v>24</v>
      </c>
      <c r="D1109">
        <v>11</v>
      </c>
      <c r="E1109">
        <v>25</v>
      </c>
      <c r="F1109">
        <v>21.584758926262449</v>
      </c>
      <c r="G1109" t="str">
        <f>FLOOR(FinalData[[#This Row],[Temperature_C]],2)&amp;"–"&amp;(FLOOR(FinalData[[#This Row],[Temperature_C]],2)+2)&amp;"°C"</f>
        <v>20–22°C</v>
      </c>
      <c r="H1109">
        <v>3.78</v>
      </c>
      <c r="I1109">
        <v>2026</v>
      </c>
      <c r="J1109">
        <v>2</v>
      </c>
      <c r="K1109">
        <v>16</v>
      </c>
      <c r="L1109">
        <v>1</v>
      </c>
      <c r="M1109">
        <v>3</v>
      </c>
      <c r="N1109">
        <v>0.44</v>
      </c>
      <c r="O1109">
        <v>0.34363636363636363</v>
      </c>
      <c r="P1109" t="s">
        <v>40</v>
      </c>
    </row>
    <row r="1110" spans="1:16" hidden="1" x14ac:dyDescent="0.25">
      <c r="A1110" s="12">
        <v>46069.166666666664</v>
      </c>
      <c r="B1110" t="s">
        <v>7</v>
      </c>
      <c r="C1110" t="s">
        <v>10</v>
      </c>
      <c r="D1110">
        <v>3</v>
      </c>
      <c r="E1110">
        <v>30</v>
      </c>
      <c r="F1110">
        <v>23.316572058797149</v>
      </c>
      <c r="G1110" t="str">
        <f>FLOOR(FinalData[[#This Row],[Temperature_C]],2)&amp;"–"&amp;(FLOOR(FinalData[[#This Row],[Temperature_C]],2)+2)&amp;"°C"</f>
        <v>22–24°C</v>
      </c>
      <c r="H1110">
        <v>1.61</v>
      </c>
      <c r="I1110">
        <v>2026</v>
      </c>
      <c r="J1110">
        <v>2</v>
      </c>
      <c r="K1110">
        <v>16</v>
      </c>
      <c r="L1110">
        <v>1</v>
      </c>
      <c r="M1110">
        <v>4</v>
      </c>
      <c r="N1110">
        <v>0.1</v>
      </c>
      <c r="O1110">
        <v>0.53666666666666674</v>
      </c>
      <c r="P1110" t="s">
        <v>40</v>
      </c>
    </row>
    <row r="1111" spans="1:16" hidden="1" x14ac:dyDescent="0.25">
      <c r="A1111" s="12">
        <v>46069.208333333336</v>
      </c>
      <c r="B1111" t="s">
        <v>11</v>
      </c>
      <c r="C1111" t="s">
        <v>17</v>
      </c>
      <c r="D1111">
        <v>10</v>
      </c>
      <c r="E1111">
        <v>25</v>
      </c>
      <c r="F1111">
        <v>24.198179518527621</v>
      </c>
      <c r="G1111" t="str">
        <f>FLOOR(FinalData[[#This Row],[Temperature_C]],2)&amp;"–"&amp;(FLOOR(FinalData[[#This Row],[Temperature_C]],2)+2)&amp;"°C"</f>
        <v>24–26°C</v>
      </c>
      <c r="H1111">
        <v>3.68</v>
      </c>
      <c r="I1111">
        <v>2026</v>
      </c>
      <c r="J1111">
        <v>2</v>
      </c>
      <c r="K1111">
        <v>16</v>
      </c>
      <c r="L1111">
        <v>1</v>
      </c>
      <c r="M1111">
        <v>5</v>
      </c>
      <c r="N1111">
        <v>0.4</v>
      </c>
      <c r="O1111">
        <v>0.36799999999999999</v>
      </c>
      <c r="P1111" t="s">
        <v>40</v>
      </c>
    </row>
    <row r="1112" spans="1:16" hidden="1" x14ac:dyDescent="0.25">
      <c r="A1112" s="12">
        <v>46069.25</v>
      </c>
      <c r="B1112" t="s">
        <v>18</v>
      </c>
      <c r="C1112" t="s">
        <v>29</v>
      </c>
      <c r="D1112">
        <v>8</v>
      </c>
      <c r="E1112">
        <v>20</v>
      </c>
      <c r="F1112">
        <v>23.096377509495809</v>
      </c>
      <c r="G1112" t="str">
        <f>FLOOR(FinalData[[#This Row],[Temperature_C]],2)&amp;"–"&amp;(FLOOR(FinalData[[#This Row],[Temperature_C]],2)+2)&amp;"°C"</f>
        <v>22–24°C</v>
      </c>
      <c r="H1112">
        <v>2.99</v>
      </c>
      <c r="I1112">
        <v>2026</v>
      </c>
      <c r="J1112">
        <v>2</v>
      </c>
      <c r="K1112">
        <v>16</v>
      </c>
      <c r="L1112">
        <v>1</v>
      </c>
      <c r="M1112">
        <v>6</v>
      </c>
      <c r="N1112">
        <v>0.4</v>
      </c>
      <c r="O1112">
        <v>0.37375000000000003</v>
      </c>
      <c r="P1112" t="s">
        <v>40</v>
      </c>
    </row>
    <row r="1113" spans="1:16" hidden="1" x14ac:dyDescent="0.25">
      <c r="A1113" s="12">
        <v>46069.291666666664</v>
      </c>
      <c r="B1113" t="s">
        <v>18</v>
      </c>
      <c r="C1113" t="s">
        <v>21</v>
      </c>
      <c r="D1113">
        <v>7</v>
      </c>
      <c r="E1113">
        <v>25</v>
      </c>
      <c r="F1113">
        <v>22.937728923369448</v>
      </c>
      <c r="G1113" t="str">
        <f>FLOOR(FinalData[[#This Row],[Temperature_C]],2)&amp;"–"&amp;(FLOOR(FinalData[[#This Row],[Temperature_C]],2)+2)&amp;"°C"</f>
        <v>22–24°C</v>
      </c>
      <c r="H1113">
        <v>2.79</v>
      </c>
      <c r="I1113">
        <v>2026</v>
      </c>
      <c r="J1113">
        <v>2</v>
      </c>
      <c r="K1113">
        <v>16</v>
      </c>
      <c r="L1113">
        <v>1</v>
      </c>
      <c r="M1113">
        <v>7</v>
      </c>
      <c r="N1113">
        <v>0.28000000000000003</v>
      </c>
      <c r="O1113">
        <v>0.39857142857142858</v>
      </c>
      <c r="P1113" t="s">
        <v>41</v>
      </c>
    </row>
    <row r="1114" spans="1:16" hidden="1" x14ac:dyDescent="0.25">
      <c r="A1114" s="12">
        <v>46069.333333333336</v>
      </c>
      <c r="B1114" t="s">
        <v>18</v>
      </c>
      <c r="C1114" t="s">
        <v>30</v>
      </c>
      <c r="D1114">
        <v>12</v>
      </c>
      <c r="E1114">
        <v>30</v>
      </c>
      <c r="F1114">
        <v>22.43759280919447</v>
      </c>
      <c r="G1114" t="str">
        <f>FLOOR(FinalData[[#This Row],[Temperature_C]],2)&amp;"–"&amp;(FLOOR(FinalData[[#This Row],[Temperature_C]],2)+2)&amp;"°C"</f>
        <v>22–24°C</v>
      </c>
      <c r="H1114">
        <v>3.9</v>
      </c>
      <c r="I1114">
        <v>2026</v>
      </c>
      <c r="J1114">
        <v>2</v>
      </c>
      <c r="K1114">
        <v>16</v>
      </c>
      <c r="L1114">
        <v>1</v>
      </c>
      <c r="M1114">
        <v>8</v>
      </c>
      <c r="N1114">
        <v>0.4</v>
      </c>
      <c r="O1114">
        <v>0.32500000000000001</v>
      </c>
      <c r="P1114" t="s">
        <v>41</v>
      </c>
    </row>
    <row r="1115" spans="1:16" hidden="1" x14ac:dyDescent="0.25">
      <c r="A1115" s="12">
        <v>46069.375</v>
      </c>
      <c r="B1115" t="s">
        <v>7</v>
      </c>
      <c r="C1115" t="s">
        <v>16</v>
      </c>
      <c r="D1115">
        <v>9</v>
      </c>
      <c r="E1115">
        <v>20</v>
      </c>
      <c r="F1115">
        <v>23.94563013985567</v>
      </c>
      <c r="G1115" t="str">
        <f>FLOOR(FinalData[[#This Row],[Temperature_C]],2)&amp;"–"&amp;(FLOOR(FinalData[[#This Row],[Temperature_C]],2)+2)&amp;"°C"</f>
        <v>22–24°C</v>
      </c>
      <c r="H1115">
        <v>2.5299999999999998</v>
      </c>
      <c r="I1115">
        <v>2026</v>
      </c>
      <c r="J1115">
        <v>2</v>
      </c>
      <c r="K1115">
        <v>16</v>
      </c>
      <c r="L1115">
        <v>1</v>
      </c>
      <c r="M1115">
        <v>9</v>
      </c>
      <c r="N1115">
        <v>0.45</v>
      </c>
      <c r="O1115">
        <v>0.28111111111111109</v>
      </c>
      <c r="P1115" t="s">
        <v>41</v>
      </c>
    </row>
    <row r="1116" spans="1:16" x14ac:dyDescent="0.25">
      <c r="A1116" s="12">
        <v>46069.416666666664</v>
      </c>
      <c r="B1116" t="s">
        <v>11</v>
      </c>
      <c r="C1116" t="s">
        <v>8</v>
      </c>
      <c r="D1116">
        <v>7</v>
      </c>
      <c r="E1116">
        <v>25</v>
      </c>
      <c r="F1116">
        <v>21.289034608148839</v>
      </c>
      <c r="G1116" t="str">
        <f>FLOOR(FinalData[[#This Row],[Temperature_C]],2)&amp;"–"&amp;(FLOOR(FinalData[[#This Row],[Temperature_C]],2)+2)&amp;"°C"</f>
        <v>20–22°C</v>
      </c>
      <c r="H1116">
        <v>2.57</v>
      </c>
      <c r="I1116">
        <v>2026</v>
      </c>
      <c r="J1116">
        <v>2</v>
      </c>
      <c r="K1116">
        <v>16</v>
      </c>
      <c r="L1116">
        <v>1</v>
      </c>
      <c r="M1116">
        <v>10</v>
      </c>
      <c r="N1116">
        <v>0.28000000000000003</v>
      </c>
      <c r="O1116">
        <v>0.3671428571428571</v>
      </c>
      <c r="P1116" t="s">
        <v>41</v>
      </c>
    </row>
    <row r="1117" spans="1:16" hidden="1" x14ac:dyDescent="0.25">
      <c r="A1117" s="12">
        <v>46069.458333333336</v>
      </c>
      <c r="B1117" t="s">
        <v>13</v>
      </c>
      <c r="C1117" t="s">
        <v>8</v>
      </c>
      <c r="D1117">
        <v>8</v>
      </c>
      <c r="E1117">
        <v>25</v>
      </c>
      <c r="F1117">
        <v>24.38492868272866</v>
      </c>
      <c r="G1117" t="str">
        <f>FLOOR(FinalData[[#This Row],[Temperature_C]],2)&amp;"–"&amp;(FLOOR(FinalData[[#This Row],[Temperature_C]],2)+2)&amp;"°C"</f>
        <v>24–26°C</v>
      </c>
      <c r="H1117">
        <v>3.02</v>
      </c>
      <c r="I1117">
        <v>2026</v>
      </c>
      <c r="J1117">
        <v>2</v>
      </c>
      <c r="K1117">
        <v>16</v>
      </c>
      <c r="L1117">
        <v>1</v>
      </c>
      <c r="M1117">
        <v>11</v>
      </c>
      <c r="N1117">
        <v>0.32</v>
      </c>
      <c r="O1117">
        <v>0.3775</v>
      </c>
      <c r="P1117" t="s">
        <v>41</v>
      </c>
    </row>
    <row r="1118" spans="1:16" hidden="1" x14ac:dyDescent="0.25">
      <c r="A1118" s="12">
        <v>46069.5</v>
      </c>
      <c r="B1118" t="s">
        <v>11</v>
      </c>
      <c r="C1118" t="s">
        <v>24</v>
      </c>
      <c r="D1118">
        <v>8</v>
      </c>
      <c r="E1118">
        <v>25</v>
      </c>
      <c r="F1118">
        <v>22.086016332349541</v>
      </c>
      <c r="G1118" t="str">
        <f>FLOOR(FinalData[[#This Row],[Temperature_C]],2)&amp;"–"&amp;(FLOOR(FinalData[[#This Row],[Temperature_C]],2)+2)&amp;"°C"</f>
        <v>22–24°C</v>
      </c>
      <c r="H1118">
        <v>2.39</v>
      </c>
      <c r="I1118">
        <v>2026</v>
      </c>
      <c r="J1118">
        <v>2</v>
      </c>
      <c r="K1118">
        <v>16</v>
      </c>
      <c r="L1118">
        <v>1</v>
      </c>
      <c r="M1118">
        <v>12</v>
      </c>
      <c r="N1118">
        <v>0.32</v>
      </c>
      <c r="O1118">
        <v>0.29875000000000002</v>
      </c>
      <c r="P1118" t="s">
        <v>42</v>
      </c>
    </row>
    <row r="1119" spans="1:16" hidden="1" x14ac:dyDescent="0.25">
      <c r="A1119" s="12">
        <v>46069.541666666664</v>
      </c>
      <c r="B1119" t="s">
        <v>11</v>
      </c>
      <c r="C1119" t="s">
        <v>14</v>
      </c>
      <c r="D1119">
        <v>10</v>
      </c>
      <c r="E1119">
        <v>20</v>
      </c>
      <c r="F1119">
        <v>24.064867457420629</v>
      </c>
      <c r="G1119" t="str">
        <f>FLOOR(FinalData[[#This Row],[Temperature_C]],2)&amp;"–"&amp;(FLOOR(FinalData[[#This Row],[Temperature_C]],2)+2)&amp;"°C"</f>
        <v>24–26°C</v>
      </c>
      <c r="H1119">
        <v>2.87</v>
      </c>
      <c r="I1119">
        <v>2026</v>
      </c>
      <c r="J1119">
        <v>2</v>
      </c>
      <c r="K1119">
        <v>16</v>
      </c>
      <c r="L1119">
        <v>1</v>
      </c>
      <c r="M1119">
        <v>13</v>
      </c>
      <c r="N1119">
        <v>0.5</v>
      </c>
      <c r="O1119">
        <v>0.28700000000000003</v>
      </c>
      <c r="P1119" t="s">
        <v>42</v>
      </c>
    </row>
    <row r="1120" spans="1:16" hidden="1" x14ac:dyDescent="0.25">
      <c r="A1120" s="12">
        <v>46069.583333333336</v>
      </c>
      <c r="B1120" t="s">
        <v>18</v>
      </c>
      <c r="C1120" t="s">
        <v>8</v>
      </c>
      <c r="D1120">
        <v>8</v>
      </c>
      <c r="E1120">
        <v>25</v>
      </c>
      <c r="F1120">
        <v>22.844154528642971</v>
      </c>
      <c r="G1120" t="str">
        <f>FLOOR(FinalData[[#This Row],[Temperature_C]],2)&amp;"–"&amp;(FLOOR(FinalData[[#This Row],[Temperature_C]],2)+2)&amp;"°C"</f>
        <v>22–24°C</v>
      </c>
      <c r="H1120">
        <v>3.09</v>
      </c>
      <c r="I1120">
        <v>2026</v>
      </c>
      <c r="J1120">
        <v>2</v>
      </c>
      <c r="K1120">
        <v>16</v>
      </c>
      <c r="L1120">
        <v>1</v>
      </c>
      <c r="M1120">
        <v>14</v>
      </c>
      <c r="N1120">
        <v>0.32</v>
      </c>
      <c r="O1120">
        <v>0.38624999999999998</v>
      </c>
      <c r="P1120" t="s">
        <v>42</v>
      </c>
    </row>
    <row r="1121" spans="1:16" hidden="1" x14ac:dyDescent="0.25">
      <c r="A1121" s="12">
        <v>46069.625</v>
      </c>
      <c r="B1121" t="s">
        <v>7</v>
      </c>
      <c r="C1121" t="s">
        <v>15</v>
      </c>
      <c r="D1121">
        <v>9</v>
      </c>
      <c r="E1121">
        <v>20</v>
      </c>
      <c r="F1121">
        <v>20.445830875337759</v>
      </c>
      <c r="G1121" t="str">
        <f>FLOOR(FinalData[[#This Row],[Temperature_C]],2)&amp;"–"&amp;(FLOOR(FinalData[[#This Row],[Temperature_C]],2)+2)&amp;"°C"</f>
        <v>20–22°C</v>
      </c>
      <c r="H1121">
        <v>2.96</v>
      </c>
      <c r="I1121">
        <v>2026</v>
      </c>
      <c r="J1121">
        <v>2</v>
      </c>
      <c r="K1121">
        <v>16</v>
      </c>
      <c r="L1121">
        <v>1</v>
      </c>
      <c r="M1121">
        <v>15</v>
      </c>
      <c r="N1121">
        <v>0.45</v>
      </c>
      <c r="O1121">
        <v>0.3288888888888889</v>
      </c>
      <c r="P1121" t="s">
        <v>42</v>
      </c>
    </row>
    <row r="1122" spans="1:16" hidden="1" x14ac:dyDescent="0.25">
      <c r="A1122" s="12">
        <v>46069.666666666664</v>
      </c>
      <c r="B1122" t="s">
        <v>7</v>
      </c>
      <c r="C1122" t="s">
        <v>16</v>
      </c>
      <c r="D1122">
        <v>11</v>
      </c>
      <c r="E1122">
        <v>40</v>
      </c>
      <c r="F1122">
        <v>22.33079229093941</v>
      </c>
      <c r="G1122" t="str">
        <f>FLOOR(FinalData[[#This Row],[Temperature_C]],2)&amp;"–"&amp;(FLOOR(FinalData[[#This Row],[Temperature_C]],2)+2)&amp;"°C"</f>
        <v>22–24°C</v>
      </c>
      <c r="H1122">
        <v>3.77</v>
      </c>
      <c r="I1122">
        <v>2026</v>
      </c>
      <c r="J1122">
        <v>2</v>
      </c>
      <c r="K1122">
        <v>16</v>
      </c>
      <c r="L1122">
        <v>1</v>
      </c>
      <c r="M1122">
        <v>16</v>
      </c>
      <c r="N1122">
        <v>0.27500000000000002</v>
      </c>
      <c r="O1122">
        <v>0.34272727272727271</v>
      </c>
      <c r="P1122" t="s">
        <v>42</v>
      </c>
    </row>
    <row r="1123" spans="1:16" hidden="1" x14ac:dyDescent="0.25">
      <c r="A1123" s="12">
        <v>46069.708333333336</v>
      </c>
      <c r="B1123" t="s">
        <v>11</v>
      </c>
      <c r="C1123" t="s">
        <v>28</v>
      </c>
      <c r="D1123">
        <v>12</v>
      </c>
      <c r="E1123">
        <v>30</v>
      </c>
      <c r="F1123">
        <v>18.113709389538531</v>
      </c>
      <c r="G1123" t="str">
        <f>FLOOR(FinalData[[#This Row],[Temperature_C]],2)&amp;"–"&amp;(FLOOR(FinalData[[#This Row],[Temperature_C]],2)+2)&amp;"°C"</f>
        <v>18–20°C</v>
      </c>
      <c r="H1123">
        <v>4.38</v>
      </c>
      <c r="I1123">
        <v>2026</v>
      </c>
      <c r="J1123">
        <v>2</v>
      </c>
      <c r="K1123">
        <v>16</v>
      </c>
      <c r="L1123">
        <v>1</v>
      </c>
      <c r="M1123">
        <v>17</v>
      </c>
      <c r="N1123">
        <v>0.4</v>
      </c>
      <c r="O1123">
        <v>0.36499999999999999</v>
      </c>
      <c r="P1123" t="s">
        <v>43</v>
      </c>
    </row>
    <row r="1124" spans="1:16" hidden="1" x14ac:dyDescent="0.25">
      <c r="A1124" s="12">
        <v>46069.75</v>
      </c>
      <c r="B1124" t="s">
        <v>18</v>
      </c>
      <c r="C1124" t="s">
        <v>25</v>
      </c>
      <c r="D1124">
        <v>8</v>
      </c>
      <c r="E1124">
        <v>40</v>
      </c>
      <c r="F1124">
        <v>24.792999340400328</v>
      </c>
      <c r="G1124" t="str">
        <f>FLOOR(FinalData[[#This Row],[Temperature_C]],2)&amp;"–"&amp;(FLOOR(FinalData[[#This Row],[Temperature_C]],2)+2)&amp;"°C"</f>
        <v>24–26°C</v>
      </c>
      <c r="H1124">
        <v>2.4</v>
      </c>
      <c r="I1124">
        <v>2026</v>
      </c>
      <c r="J1124">
        <v>2</v>
      </c>
      <c r="K1124">
        <v>16</v>
      </c>
      <c r="L1124">
        <v>1</v>
      </c>
      <c r="M1124">
        <v>18</v>
      </c>
      <c r="N1124">
        <v>0.2</v>
      </c>
      <c r="O1124">
        <v>0.3</v>
      </c>
      <c r="P1124" t="s">
        <v>43</v>
      </c>
    </row>
    <row r="1125" spans="1:16" hidden="1" x14ac:dyDescent="0.25">
      <c r="A1125" s="12">
        <v>46069.791666666664</v>
      </c>
      <c r="B1125" t="s">
        <v>11</v>
      </c>
      <c r="C1125" t="s">
        <v>29</v>
      </c>
      <c r="D1125">
        <v>10</v>
      </c>
      <c r="E1125">
        <v>30</v>
      </c>
      <c r="F1125">
        <v>21.00269861930439</v>
      </c>
      <c r="G1125" t="str">
        <f>FLOOR(FinalData[[#This Row],[Temperature_C]],2)&amp;"–"&amp;(FLOOR(FinalData[[#This Row],[Temperature_C]],2)+2)&amp;"°C"</f>
        <v>20–22°C</v>
      </c>
      <c r="H1125">
        <v>3.15</v>
      </c>
      <c r="I1125">
        <v>2026</v>
      </c>
      <c r="J1125">
        <v>2</v>
      </c>
      <c r="K1125">
        <v>16</v>
      </c>
      <c r="L1125">
        <v>1</v>
      </c>
      <c r="M1125">
        <v>19</v>
      </c>
      <c r="N1125">
        <v>0.33333333333333331</v>
      </c>
      <c r="O1125">
        <v>0.315</v>
      </c>
      <c r="P1125" t="s">
        <v>43</v>
      </c>
    </row>
    <row r="1126" spans="1:16" hidden="1" x14ac:dyDescent="0.25">
      <c r="A1126" s="12">
        <v>46069.833333333336</v>
      </c>
      <c r="B1126" t="s">
        <v>18</v>
      </c>
      <c r="C1126" t="s">
        <v>31</v>
      </c>
      <c r="D1126">
        <v>6</v>
      </c>
      <c r="E1126">
        <v>40</v>
      </c>
      <c r="F1126">
        <v>25.323006096963951</v>
      </c>
      <c r="G1126" t="str">
        <f>FLOOR(FinalData[[#This Row],[Temperature_C]],2)&amp;"–"&amp;(FLOOR(FinalData[[#This Row],[Temperature_C]],2)+2)&amp;"°C"</f>
        <v>24–26°C</v>
      </c>
      <c r="H1126">
        <v>2.74</v>
      </c>
      <c r="I1126">
        <v>2026</v>
      </c>
      <c r="J1126">
        <v>2</v>
      </c>
      <c r="K1126">
        <v>16</v>
      </c>
      <c r="L1126">
        <v>1</v>
      </c>
      <c r="M1126">
        <v>20</v>
      </c>
      <c r="N1126">
        <v>0.15</v>
      </c>
      <c r="O1126">
        <v>0.45666666666666672</v>
      </c>
      <c r="P1126" t="s">
        <v>43</v>
      </c>
    </row>
    <row r="1127" spans="1:16" hidden="1" x14ac:dyDescent="0.25">
      <c r="A1127" s="12">
        <v>46069.875</v>
      </c>
      <c r="B1127" t="s">
        <v>7</v>
      </c>
      <c r="C1127" t="s">
        <v>24</v>
      </c>
      <c r="D1127">
        <v>8</v>
      </c>
      <c r="E1127">
        <v>40</v>
      </c>
      <c r="F1127">
        <v>22.157939308275012</v>
      </c>
      <c r="G1127" t="str">
        <f>FLOOR(FinalData[[#This Row],[Temperature_C]],2)&amp;"–"&amp;(FLOOR(FinalData[[#This Row],[Temperature_C]],2)+2)&amp;"°C"</f>
        <v>22–24°C</v>
      </c>
      <c r="H1127">
        <v>2.37</v>
      </c>
      <c r="I1127">
        <v>2026</v>
      </c>
      <c r="J1127">
        <v>2</v>
      </c>
      <c r="K1127">
        <v>16</v>
      </c>
      <c r="L1127">
        <v>1</v>
      </c>
      <c r="M1127">
        <v>21</v>
      </c>
      <c r="N1127">
        <v>0.2</v>
      </c>
      <c r="O1127">
        <v>0.29625000000000001</v>
      </c>
      <c r="P1127" t="s">
        <v>40</v>
      </c>
    </row>
    <row r="1128" spans="1:16" hidden="1" x14ac:dyDescent="0.25">
      <c r="A1128" s="12">
        <v>46069.916666666664</v>
      </c>
      <c r="B1128" t="s">
        <v>7</v>
      </c>
      <c r="C1128" t="s">
        <v>30</v>
      </c>
      <c r="D1128">
        <v>10</v>
      </c>
      <c r="E1128">
        <v>30</v>
      </c>
      <c r="F1128">
        <v>24.056072009095931</v>
      </c>
      <c r="G1128" t="str">
        <f>FLOOR(FinalData[[#This Row],[Temperature_C]],2)&amp;"–"&amp;(FLOOR(FinalData[[#This Row],[Temperature_C]],2)+2)&amp;"°C"</f>
        <v>24–26°C</v>
      </c>
      <c r="H1128">
        <v>3.38</v>
      </c>
      <c r="I1128">
        <v>2026</v>
      </c>
      <c r="J1128">
        <v>2</v>
      </c>
      <c r="K1128">
        <v>16</v>
      </c>
      <c r="L1128">
        <v>1</v>
      </c>
      <c r="M1128">
        <v>22</v>
      </c>
      <c r="N1128">
        <v>0.33333333333333331</v>
      </c>
      <c r="O1128">
        <v>0.33799999999999997</v>
      </c>
      <c r="P1128" t="s">
        <v>40</v>
      </c>
    </row>
    <row r="1129" spans="1:16" hidden="1" x14ac:dyDescent="0.25">
      <c r="A1129" s="12">
        <v>46069.958333333336</v>
      </c>
      <c r="B1129" t="s">
        <v>9</v>
      </c>
      <c r="C1129" t="s">
        <v>17</v>
      </c>
      <c r="D1129">
        <v>7</v>
      </c>
      <c r="E1129">
        <v>30</v>
      </c>
      <c r="F1129">
        <v>22.128578335230529</v>
      </c>
      <c r="G1129" t="str">
        <f>FLOOR(FinalData[[#This Row],[Temperature_C]],2)&amp;"–"&amp;(FLOOR(FinalData[[#This Row],[Temperature_C]],2)+2)&amp;"°C"</f>
        <v>22–24°C</v>
      </c>
      <c r="H1129">
        <v>2.56</v>
      </c>
      <c r="I1129">
        <v>2026</v>
      </c>
      <c r="J1129">
        <v>2</v>
      </c>
      <c r="K1129">
        <v>16</v>
      </c>
      <c r="L1129">
        <v>1</v>
      </c>
      <c r="M1129">
        <v>23</v>
      </c>
      <c r="N1129">
        <v>0.23333333333333334</v>
      </c>
      <c r="O1129">
        <v>0.36571428571428571</v>
      </c>
      <c r="P1129" t="s">
        <v>40</v>
      </c>
    </row>
    <row r="1130" spans="1:16" hidden="1" x14ac:dyDescent="0.25">
      <c r="A1130" s="12">
        <v>46070</v>
      </c>
      <c r="B1130" t="s">
        <v>9</v>
      </c>
      <c r="C1130" t="s">
        <v>20</v>
      </c>
      <c r="D1130">
        <v>8</v>
      </c>
      <c r="E1130">
        <v>30</v>
      </c>
      <c r="F1130">
        <v>23.527948618872319</v>
      </c>
      <c r="G1130" t="str">
        <f>FLOOR(FinalData[[#This Row],[Temperature_C]],2)&amp;"–"&amp;(FLOOR(FinalData[[#This Row],[Temperature_C]],2)+2)&amp;"°C"</f>
        <v>22–24°C</v>
      </c>
      <c r="H1130">
        <v>2.64</v>
      </c>
      <c r="I1130">
        <v>2026</v>
      </c>
      <c r="J1130">
        <v>2</v>
      </c>
      <c r="K1130">
        <v>17</v>
      </c>
      <c r="L1130">
        <v>2</v>
      </c>
      <c r="M1130">
        <v>0</v>
      </c>
      <c r="N1130">
        <v>0.26666666666666666</v>
      </c>
      <c r="O1130">
        <v>0.33</v>
      </c>
      <c r="P1130" t="s">
        <v>40</v>
      </c>
    </row>
    <row r="1131" spans="1:16" hidden="1" x14ac:dyDescent="0.25">
      <c r="A1131" s="12">
        <v>46070.041666666664</v>
      </c>
      <c r="B1131" t="s">
        <v>11</v>
      </c>
      <c r="C1131" t="s">
        <v>17</v>
      </c>
      <c r="D1131">
        <v>14</v>
      </c>
      <c r="E1131">
        <v>25</v>
      </c>
      <c r="F1131">
        <v>21.826610822476251</v>
      </c>
      <c r="G1131" t="str">
        <f>FLOOR(FinalData[[#This Row],[Temperature_C]],2)&amp;"–"&amp;(FLOOR(FinalData[[#This Row],[Temperature_C]],2)+2)&amp;"°C"</f>
        <v>20–22°C</v>
      </c>
      <c r="H1131">
        <v>4.0999999999999996</v>
      </c>
      <c r="I1131">
        <v>2026</v>
      </c>
      <c r="J1131">
        <v>2</v>
      </c>
      <c r="K1131">
        <v>17</v>
      </c>
      <c r="L1131">
        <v>2</v>
      </c>
      <c r="M1131">
        <v>1</v>
      </c>
      <c r="N1131">
        <v>0.56000000000000005</v>
      </c>
      <c r="O1131">
        <v>0.29285714285714282</v>
      </c>
      <c r="P1131" t="s">
        <v>40</v>
      </c>
    </row>
    <row r="1132" spans="1:16" hidden="1" x14ac:dyDescent="0.25">
      <c r="A1132" s="12">
        <v>46070.083333333336</v>
      </c>
      <c r="B1132" t="s">
        <v>7</v>
      </c>
      <c r="C1132" t="s">
        <v>20</v>
      </c>
      <c r="D1132">
        <v>4</v>
      </c>
      <c r="E1132">
        <v>30</v>
      </c>
      <c r="F1132">
        <v>23.85331162118495</v>
      </c>
      <c r="G1132" t="str">
        <f>FLOOR(FinalData[[#This Row],[Temperature_C]],2)&amp;"–"&amp;(FLOOR(FinalData[[#This Row],[Temperature_C]],2)+2)&amp;"°C"</f>
        <v>22–24°C</v>
      </c>
      <c r="H1132">
        <v>2.67</v>
      </c>
      <c r="I1132">
        <v>2026</v>
      </c>
      <c r="J1132">
        <v>2</v>
      </c>
      <c r="K1132">
        <v>17</v>
      </c>
      <c r="L1132">
        <v>2</v>
      </c>
      <c r="M1132">
        <v>2</v>
      </c>
      <c r="N1132">
        <v>0.13333333333333333</v>
      </c>
      <c r="O1132">
        <v>0.66749999999999998</v>
      </c>
      <c r="P1132" t="s">
        <v>40</v>
      </c>
    </row>
    <row r="1133" spans="1:16" hidden="1" x14ac:dyDescent="0.25">
      <c r="A1133" s="12">
        <v>46070.125</v>
      </c>
      <c r="B1133" t="s">
        <v>18</v>
      </c>
      <c r="C1133" t="s">
        <v>23</v>
      </c>
      <c r="D1133">
        <v>14</v>
      </c>
      <c r="E1133">
        <v>20</v>
      </c>
      <c r="F1133">
        <v>23.19802889897451</v>
      </c>
      <c r="G1133" t="str">
        <f>FLOOR(FinalData[[#This Row],[Temperature_C]],2)&amp;"–"&amp;(FLOOR(FinalData[[#This Row],[Temperature_C]],2)+2)&amp;"°C"</f>
        <v>22–24°C</v>
      </c>
      <c r="H1133">
        <v>4.32</v>
      </c>
      <c r="I1133">
        <v>2026</v>
      </c>
      <c r="J1133">
        <v>2</v>
      </c>
      <c r="K1133">
        <v>17</v>
      </c>
      <c r="L1133">
        <v>2</v>
      </c>
      <c r="M1133">
        <v>3</v>
      </c>
      <c r="N1133">
        <v>0.7</v>
      </c>
      <c r="O1133">
        <v>0.30857142857142861</v>
      </c>
      <c r="P1133" t="s">
        <v>40</v>
      </c>
    </row>
    <row r="1134" spans="1:16" hidden="1" x14ac:dyDescent="0.25">
      <c r="A1134" s="12">
        <v>46070.166666666664</v>
      </c>
      <c r="B1134" t="s">
        <v>11</v>
      </c>
      <c r="C1134" t="s">
        <v>26</v>
      </c>
      <c r="D1134">
        <v>6</v>
      </c>
      <c r="E1134">
        <v>20</v>
      </c>
      <c r="F1134">
        <v>22.873954045240222</v>
      </c>
      <c r="G1134" t="str">
        <f>FLOOR(FinalData[[#This Row],[Temperature_C]],2)&amp;"–"&amp;(FLOOR(FinalData[[#This Row],[Temperature_C]],2)+2)&amp;"°C"</f>
        <v>22–24°C</v>
      </c>
      <c r="H1134">
        <v>2.5</v>
      </c>
      <c r="I1134">
        <v>2026</v>
      </c>
      <c r="J1134">
        <v>2</v>
      </c>
      <c r="K1134">
        <v>17</v>
      </c>
      <c r="L1134">
        <v>2</v>
      </c>
      <c r="M1134">
        <v>4</v>
      </c>
      <c r="N1134">
        <v>0.3</v>
      </c>
      <c r="O1134">
        <v>0.41666666666666669</v>
      </c>
      <c r="P1134" t="s">
        <v>40</v>
      </c>
    </row>
    <row r="1135" spans="1:16" hidden="1" x14ac:dyDescent="0.25">
      <c r="A1135" s="12">
        <v>46070.208333333336</v>
      </c>
      <c r="B1135" t="s">
        <v>9</v>
      </c>
      <c r="C1135" t="s">
        <v>15</v>
      </c>
      <c r="D1135">
        <v>15</v>
      </c>
      <c r="E1135">
        <v>25</v>
      </c>
      <c r="F1135">
        <v>22.875519043352</v>
      </c>
      <c r="G1135" t="str">
        <f>FLOOR(FinalData[[#This Row],[Temperature_C]],2)&amp;"–"&amp;(FLOOR(FinalData[[#This Row],[Temperature_C]],2)+2)&amp;"°C"</f>
        <v>22–24°C</v>
      </c>
      <c r="H1135">
        <v>4.3</v>
      </c>
      <c r="I1135">
        <v>2026</v>
      </c>
      <c r="J1135">
        <v>2</v>
      </c>
      <c r="K1135">
        <v>17</v>
      </c>
      <c r="L1135">
        <v>2</v>
      </c>
      <c r="M1135">
        <v>5</v>
      </c>
      <c r="N1135">
        <v>0.6</v>
      </c>
      <c r="O1135">
        <v>0.28666666666666668</v>
      </c>
      <c r="P1135" t="s">
        <v>40</v>
      </c>
    </row>
    <row r="1136" spans="1:16" hidden="1" x14ac:dyDescent="0.25">
      <c r="A1136" s="12">
        <v>46070.25</v>
      </c>
      <c r="B1136" t="s">
        <v>18</v>
      </c>
      <c r="C1136" t="s">
        <v>12</v>
      </c>
      <c r="D1136">
        <v>3</v>
      </c>
      <c r="E1136">
        <v>40</v>
      </c>
      <c r="F1136">
        <v>20.481257450068071</v>
      </c>
      <c r="G1136" t="str">
        <f>FLOOR(FinalData[[#This Row],[Temperature_C]],2)&amp;"–"&amp;(FLOOR(FinalData[[#This Row],[Temperature_C]],2)+2)&amp;"°C"</f>
        <v>20–22°C</v>
      </c>
      <c r="H1136">
        <v>1.66</v>
      </c>
      <c r="I1136">
        <v>2026</v>
      </c>
      <c r="J1136">
        <v>2</v>
      </c>
      <c r="K1136">
        <v>17</v>
      </c>
      <c r="L1136">
        <v>2</v>
      </c>
      <c r="M1136">
        <v>6</v>
      </c>
      <c r="N1136">
        <v>7.4999999999999997E-2</v>
      </c>
      <c r="O1136">
        <v>0.55333333333333334</v>
      </c>
      <c r="P1136" t="s">
        <v>40</v>
      </c>
    </row>
    <row r="1137" spans="1:16" hidden="1" x14ac:dyDescent="0.25">
      <c r="A1137" s="12">
        <v>46070.291666666664</v>
      </c>
      <c r="B1137" t="s">
        <v>13</v>
      </c>
      <c r="C1137" t="s">
        <v>27</v>
      </c>
      <c r="D1137">
        <v>6</v>
      </c>
      <c r="E1137">
        <v>30</v>
      </c>
      <c r="F1137">
        <v>22.098519445394501</v>
      </c>
      <c r="G1137" t="str">
        <f>FLOOR(FinalData[[#This Row],[Temperature_C]],2)&amp;"–"&amp;(FLOOR(FinalData[[#This Row],[Temperature_C]],2)+2)&amp;"°C"</f>
        <v>22–24°C</v>
      </c>
      <c r="H1137">
        <v>1.71</v>
      </c>
      <c r="I1137">
        <v>2026</v>
      </c>
      <c r="J1137">
        <v>2</v>
      </c>
      <c r="K1137">
        <v>17</v>
      </c>
      <c r="L1137">
        <v>2</v>
      </c>
      <c r="M1137">
        <v>7</v>
      </c>
      <c r="N1137">
        <v>0.2</v>
      </c>
      <c r="O1137">
        <v>0.28499999999999998</v>
      </c>
      <c r="P1137" t="s">
        <v>41</v>
      </c>
    </row>
    <row r="1138" spans="1:16" hidden="1" x14ac:dyDescent="0.25">
      <c r="A1138" s="12">
        <v>46070.333333333336</v>
      </c>
      <c r="B1138" t="s">
        <v>9</v>
      </c>
      <c r="C1138" t="s">
        <v>10</v>
      </c>
      <c r="D1138">
        <v>9</v>
      </c>
      <c r="E1138">
        <v>20</v>
      </c>
      <c r="F1138">
        <v>23.282228993411181</v>
      </c>
      <c r="G1138" t="str">
        <f>FLOOR(FinalData[[#This Row],[Temperature_C]],2)&amp;"–"&amp;(FLOOR(FinalData[[#This Row],[Temperature_C]],2)+2)&amp;"°C"</f>
        <v>22–24°C</v>
      </c>
      <c r="H1138">
        <v>2.78</v>
      </c>
      <c r="I1138">
        <v>2026</v>
      </c>
      <c r="J1138">
        <v>2</v>
      </c>
      <c r="K1138">
        <v>17</v>
      </c>
      <c r="L1138">
        <v>2</v>
      </c>
      <c r="M1138">
        <v>8</v>
      </c>
      <c r="N1138">
        <v>0.45</v>
      </c>
      <c r="O1138">
        <v>0.30888888888888888</v>
      </c>
      <c r="P1138" t="s">
        <v>41</v>
      </c>
    </row>
    <row r="1139" spans="1:16" hidden="1" x14ac:dyDescent="0.25">
      <c r="A1139" s="12">
        <v>46070.375</v>
      </c>
      <c r="B1139" t="s">
        <v>7</v>
      </c>
      <c r="C1139" t="s">
        <v>10</v>
      </c>
      <c r="D1139">
        <v>8</v>
      </c>
      <c r="E1139">
        <v>40</v>
      </c>
      <c r="F1139">
        <v>21.11026045540849</v>
      </c>
      <c r="G1139" t="str">
        <f>FLOOR(FinalData[[#This Row],[Temperature_C]],2)&amp;"–"&amp;(FLOOR(FinalData[[#This Row],[Temperature_C]],2)+2)&amp;"°C"</f>
        <v>20–22°C</v>
      </c>
      <c r="H1139">
        <v>2.97</v>
      </c>
      <c r="I1139">
        <v>2026</v>
      </c>
      <c r="J1139">
        <v>2</v>
      </c>
      <c r="K1139">
        <v>17</v>
      </c>
      <c r="L1139">
        <v>2</v>
      </c>
      <c r="M1139">
        <v>9</v>
      </c>
      <c r="N1139">
        <v>0.2</v>
      </c>
      <c r="O1139">
        <v>0.37125000000000002</v>
      </c>
      <c r="P1139" t="s">
        <v>41</v>
      </c>
    </row>
    <row r="1140" spans="1:16" hidden="1" x14ac:dyDescent="0.25">
      <c r="A1140" s="12">
        <v>46070.416666666664</v>
      </c>
      <c r="B1140" t="s">
        <v>9</v>
      </c>
      <c r="C1140" t="s">
        <v>24</v>
      </c>
      <c r="D1140">
        <v>4</v>
      </c>
      <c r="E1140">
        <v>20</v>
      </c>
      <c r="F1140">
        <v>20.968673538240349</v>
      </c>
      <c r="G1140" t="str">
        <f>FLOOR(FinalData[[#This Row],[Temperature_C]],2)&amp;"–"&amp;(FLOOR(FinalData[[#This Row],[Temperature_C]],2)+2)&amp;"°C"</f>
        <v>20–22°C</v>
      </c>
      <c r="H1140">
        <v>2.12</v>
      </c>
      <c r="I1140">
        <v>2026</v>
      </c>
      <c r="J1140">
        <v>2</v>
      </c>
      <c r="K1140">
        <v>17</v>
      </c>
      <c r="L1140">
        <v>2</v>
      </c>
      <c r="M1140">
        <v>10</v>
      </c>
      <c r="N1140">
        <v>0.2</v>
      </c>
      <c r="O1140">
        <v>0.53</v>
      </c>
      <c r="P1140" t="s">
        <v>41</v>
      </c>
    </row>
    <row r="1141" spans="1:16" hidden="1" x14ac:dyDescent="0.25">
      <c r="A1141" s="12">
        <v>46070.458333333336</v>
      </c>
      <c r="B1141" t="s">
        <v>18</v>
      </c>
      <c r="C1141" t="s">
        <v>15</v>
      </c>
      <c r="D1141">
        <v>7</v>
      </c>
      <c r="E1141">
        <v>20</v>
      </c>
      <c r="F1141">
        <v>21.451460155191889</v>
      </c>
      <c r="G1141" t="str">
        <f>FLOOR(FinalData[[#This Row],[Temperature_C]],2)&amp;"–"&amp;(FLOOR(FinalData[[#This Row],[Temperature_C]],2)+2)&amp;"°C"</f>
        <v>20–22°C</v>
      </c>
      <c r="H1141">
        <v>2.57</v>
      </c>
      <c r="I1141">
        <v>2026</v>
      </c>
      <c r="J1141">
        <v>2</v>
      </c>
      <c r="K1141">
        <v>17</v>
      </c>
      <c r="L1141">
        <v>2</v>
      </c>
      <c r="M1141">
        <v>11</v>
      </c>
      <c r="N1141">
        <v>0.35</v>
      </c>
      <c r="O1141">
        <v>0.3671428571428571</v>
      </c>
      <c r="P1141" t="s">
        <v>41</v>
      </c>
    </row>
    <row r="1142" spans="1:16" hidden="1" x14ac:dyDescent="0.25">
      <c r="A1142" s="12">
        <v>46070.5</v>
      </c>
      <c r="B1142" t="s">
        <v>18</v>
      </c>
      <c r="C1142" t="s">
        <v>25</v>
      </c>
      <c r="D1142">
        <v>7</v>
      </c>
      <c r="E1142">
        <v>40</v>
      </c>
      <c r="F1142">
        <v>22.65637907239465</v>
      </c>
      <c r="G1142" t="str">
        <f>FLOOR(FinalData[[#This Row],[Temperature_C]],2)&amp;"–"&amp;(FLOOR(FinalData[[#This Row],[Temperature_C]],2)+2)&amp;"°C"</f>
        <v>22–24°C</v>
      </c>
      <c r="H1142">
        <v>2.6</v>
      </c>
      <c r="I1142">
        <v>2026</v>
      </c>
      <c r="J1142">
        <v>2</v>
      </c>
      <c r="K1142">
        <v>17</v>
      </c>
      <c r="L1142">
        <v>2</v>
      </c>
      <c r="M1142">
        <v>12</v>
      </c>
      <c r="N1142">
        <v>0.17499999999999999</v>
      </c>
      <c r="O1142">
        <v>0.37142857142857144</v>
      </c>
      <c r="P1142" t="s">
        <v>42</v>
      </c>
    </row>
    <row r="1143" spans="1:16" hidden="1" x14ac:dyDescent="0.25">
      <c r="A1143" s="12">
        <v>46070.541666666664</v>
      </c>
      <c r="B1143" t="s">
        <v>9</v>
      </c>
      <c r="C1143" t="s">
        <v>10</v>
      </c>
      <c r="D1143">
        <v>7</v>
      </c>
      <c r="E1143">
        <v>20</v>
      </c>
      <c r="F1143">
        <v>20.54100968458382</v>
      </c>
      <c r="G1143" t="str">
        <f>FLOOR(FinalData[[#This Row],[Temperature_C]],2)&amp;"–"&amp;(FLOOR(FinalData[[#This Row],[Temperature_C]],2)+2)&amp;"°C"</f>
        <v>20–22°C</v>
      </c>
      <c r="H1143">
        <v>2.65</v>
      </c>
      <c r="I1143">
        <v>2026</v>
      </c>
      <c r="J1143">
        <v>2</v>
      </c>
      <c r="K1143">
        <v>17</v>
      </c>
      <c r="L1143">
        <v>2</v>
      </c>
      <c r="M1143">
        <v>13</v>
      </c>
      <c r="N1143">
        <v>0.35</v>
      </c>
      <c r="O1143">
        <v>0.37857142857142856</v>
      </c>
      <c r="P1143" t="s">
        <v>42</v>
      </c>
    </row>
    <row r="1144" spans="1:16" hidden="1" x14ac:dyDescent="0.25">
      <c r="A1144" s="12">
        <v>46070.583333333336</v>
      </c>
      <c r="B1144" t="s">
        <v>13</v>
      </c>
      <c r="C1144" t="s">
        <v>16</v>
      </c>
      <c r="D1144">
        <v>11</v>
      </c>
      <c r="E1144">
        <v>20</v>
      </c>
      <c r="F1144">
        <v>22.873393554437332</v>
      </c>
      <c r="G1144" t="str">
        <f>FLOOR(FinalData[[#This Row],[Temperature_C]],2)&amp;"–"&amp;(FLOOR(FinalData[[#This Row],[Temperature_C]],2)+2)&amp;"°C"</f>
        <v>22–24°C</v>
      </c>
      <c r="H1144">
        <v>3.66</v>
      </c>
      <c r="I1144">
        <v>2026</v>
      </c>
      <c r="J1144">
        <v>2</v>
      </c>
      <c r="K1144">
        <v>17</v>
      </c>
      <c r="L1144">
        <v>2</v>
      </c>
      <c r="M1144">
        <v>14</v>
      </c>
      <c r="N1144">
        <v>0.55000000000000004</v>
      </c>
      <c r="O1144">
        <v>0.33272727272727276</v>
      </c>
      <c r="P1144" t="s">
        <v>42</v>
      </c>
    </row>
    <row r="1145" spans="1:16" hidden="1" x14ac:dyDescent="0.25">
      <c r="A1145" s="12">
        <v>46070.625</v>
      </c>
      <c r="B1145" t="s">
        <v>9</v>
      </c>
      <c r="C1145" t="s">
        <v>22</v>
      </c>
      <c r="D1145">
        <v>13</v>
      </c>
      <c r="E1145">
        <v>30</v>
      </c>
      <c r="F1145">
        <v>20.85866325716681</v>
      </c>
      <c r="G1145" t="str">
        <f>FLOOR(FinalData[[#This Row],[Temperature_C]],2)&amp;"–"&amp;(FLOOR(FinalData[[#This Row],[Temperature_C]],2)+2)&amp;"°C"</f>
        <v>20–22°C</v>
      </c>
      <c r="H1145">
        <v>4.0599999999999996</v>
      </c>
      <c r="I1145">
        <v>2026</v>
      </c>
      <c r="J1145">
        <v>2</v>
      </c>
      <c r="K1145">
        <v>17</v>
      </c>
      <c r="L1145">
        <v>2</v>
      </c>
      <c r="M1145">
        <v>15</v>
      </c>
      <c r="N1145">
        <v>0.43333333333333335</v>
      </c>
      <c r="O1145">
        <v>0.31230769230769229</v>
      </c>
      <c r="P1145" t="s">
        <v>42</v>
      </c>
    </row>
    <row r="1146" spans="1:16" hidden="1" x14ac:dyDescent="0.25">
      <c r="A1146" s="12">
        <v>46070.666666666664</v>
      </c>
      <c r="B1146" t="s">
        <v>7</v>
      </c>
      <c r="C1146" t="s">
        <v>23</v>
      </c>
      <c r="D1146">
        <v>6</v>
      </c>
      <c r="E1146">
        <v>25</v>
      </c>
      <c r="F1146">
        <v>22.579391010015911</v>
      </c>
      <c r="G1146" t="str">
        <f>FLOOR(FinalData[[#This Row],[Temperature_C]],2)&amp;"–"&amp;(FLOOR(FinalData[[#This Row],[Temperature_C]],2)+2)&amp;"°C"</f>
        <v>22–24°C</v>
      </c>
      <c r="H1146">
        <v>2.4500000000000002</v>
      </c>
      <c r="I1146">
        <v>2026</v>
      </c>
      <c r="J1146">
        <v>2</v>
      </c>
      <c r="K1146">
        <v>17</v>
      </c>
      <c r="L1146">
        <v>2</v>
      </c>
      <c r="M1146">
        <v>16</v>
      </c>
      <c r="N1146">
        <v>0.24</v>
      </c>
      <c r="O1146">
        <v>0.40833333333333338</v>
      </c>
      <c r="P1146" t="s">
        <v>42</v>
      </c>
    </row>
    <row r="1147" spans="1:16" hidden="1" x14ac:dyDescent="0.25">
      <c r="A1147" s="12">
        <v>46070.708333333336</v>
      </c>
      <c r="B1147" t="s">
        <v>9</v>
      </c>
      <c r="C1147" t="s">
        <v>22</v>
      </c>
      <c r="D1147">
        <v>6</v>
      </c>
      <c r="E1147">
        <v>20</v>
      </c>
      <c r="F1147">
        <v>25.212923541624139</v>
      </c>
      <c r="G1147" t="str">
        <f>FLOOR(FinalData[[#This Row],[Temperature_C]],2)&amp;"–"&amp;(FLOOR(FinalData[[#This Row],[Temperature_C]],2)+2)&amp;"°C"</f>
        <v>24–26°C</v>
      </c>
      <c r="H1147">
        <v>2.41</v>
      </c>
      <c r="I1147">
        <v>2026</v>
      </c>
      <c r="J1147">
        <v>2</v>
      </c>
      <c r="K1147">
        <v>17</v>
      </c>
      <c r="L1147">
        <v>2</v>
      </c>
      <c r="M1147">
        <v>17</v>
      </c>
      <c r="N1147">
        <v>0.3</v>
      </c>
      <c r="O1147">
        <v>0.40166666666666667</v>
      </c>
      <c r="P1147" t="s">
        <v>43</v>
      </c>
    </row>
    <row r="1148" spans="1:16" hidden="1" x14ac:dyDescent="0.25">
      <c r="A1148" s="12">
        <v>46070.75</v>
      </c>
      <c r="B1148" t="s">
        <v>9</v>
      </c>
      <c r="C1148" t="s">
        <v>29</v>
      </c>
      <c r="D1148">
        <v>10</v>
      </c>
      <c r="E1148">
        <v>20</v>
      </c>
      <c r="F1148">
        <v>25.484874573051378</v>
      </c>
      <c r="G1148" t="str">
        <f>FLOOR(FinalData[[#This Row],[Temperature_C]],2)&amp;"–"&amp;(FLOOR(FinalData[[#This Row],[Temperature_C]],2)+2)&amp;"°C"</f>
        <v>24–26°C</v>
      </c>
      <c r="H1148">
        <v>3.75</v>
      </c>
      <c r="I1148">
        <v>2026</v>
      </c>
      <c r="J1148">
        <v>2</v>
      </c>
      <c r="K1148">
        <v>17</v>
      </c>
      <c r="L1148">
        <v>2</v>
      </c>
      <c r="M1148">
        <v>18</v>
      </c>
      <c r="N1148">
        <v>0.5</v>
      </c>
      <c r="O1148">
        <v>0.375</v>
      </c>
      <c r="P1148" t="s">
        <v>43</v>
      </c>
    </row>
    <row r="1149" spans="1:16" hidden="1" x14ac:dyDescent="0.25">
      <c r="A1149" s="12">
        <v>46070.791666666664</v>
      </c>
      <c r="B1149" t="s">
        <v>9</v>
      </c>
      <c r="C1149" t="s">
        <v>21</v>
      </c>
      <c r="D1149">
        <v>8</v>
      </c>
      <c r="E1149">
        <v>30</v>
      </c>
      <c r="F1149">
        <v>23.911293820177189</v>
      </c>
      <c r="G1149" t="str">
        <f>FLOOR(FinalData[[#This Row],[Temperature_C]],2)&amp;"–"&amp;(FLOOR(FinalData[[#This Row],[Temperature_C]],2)+2)&amp;"°C"</f>
        <v>22–24°C</v>
      </c>
      <c r="H1149">
        <v>2.85</v>
      </c>
      <c r="I1149">
        <v>2026</v>
      </c>
      <c r="J1149">
        <v>2</v>
      </c>
      <c r="K1149">
        <v>17</v>
      </c>
      <c r="L1149">
        <v>2</v>
      </c>
      <c r="M1149">
        <v>19</v>
      </c>
      <c r="N1149">
        <v>0.26666666666666666</v>
      </c>
      <c r="O1149">
        <v>0.35625000000000001</v>
      </c>
      <c r="P1149" t="s">
        <v>43</v>
      </c>
    </row>
    <row r="1150" spans="1:16" hidden="1" x14ac:dyDescent="0.25">
      <c r="A1150" s="12">
        <v>46070.833333333336</v>
      </c>
      <c r="B1150" t="s">
        <v>13</v>
      </c>
      <c r="C1150" t="s">
        <v>16</v>
      </c>
      <c r="D1150">
        <v>9</v>
      </c>
      <c r="E1150">
        <v>25</v>
      </c>
      <c r="F1150">
        <v>21.6267909363036</v>
      </c>
      <c r="G1150" t="str">
        <f>FLOOR(FinalData[[#This Row],[Temperature_C]],2)&amp;"–"&amp;(FLOOR(FinalData[[#This Row],[Temperature_C]],2)+2)&amp;"°C"</f>
        <v>20–22°C</v>
      </c>
      <c r="H1150">
        <v>2.85</v>
      </c>
      <c r="I1150">
        <v>2026</v>
      </c>
      <c r="J1150">
        <v>2</v>
      </c>
      <c r="K1150">
        <v>17</v>
      </c>
      <c r="L1150">
        <v>2</v>
      </c>
      <c r="M1150">
        <v>20</v>
      </c>
      <c r="N1150">
        <v>0.36</v>
      </c>
      <c r="O1150">
        <v>0.31666666666666665</v>
      </c>
      <c r="P1150" t="s">
        <v>43</v>
      </c>
    </row>
    <row r="1151" spans="1:16" hidden="1" x14ac:dyDescent="0.25">
      <c r="A1151" s="12">
        <v>46070.875</v>
      </c>
      <c r="B1151" t="s">
        <v>9</v>
      </c>
      <c r="C1151" t="s">
        <v>8</v>
      </c>
      <c r="D1151">
        <v>3</v>
      </c>
      <c r="E1151">
        <v>25</v>
      </c>
      <c r="F1151">
        <v>21.361316814530849</v>
      </c>
      <c r="G1151" t="str">
        <f>FLOOR(FinalData[[#This Row],[Temperature_C]],2)&amp;"–"&amp;(FLOOR(FinalData[[#This Row],[Temperature_C]],2)+2)&amp;"°C"</f>
        <v>20–22°C</v>
      </c>
      <c r="H1151">
        <v>1.99</v>
      </c>
      <c r="I1151">
        <v>2026</v>
      </c>
      <c r="J1151">
        <v>2</v>
      </c>
      <c r="K1151">
        <v>17</v>
      </c>
      <c r="L1151">
        <v>2</v>
      </c>
      <c r="M1151">
        <v>21</v>
      </c>
      <c r="N1151">
        <v>0.12</v>
      </c>
      <c r="O1151">
        <v>0.66333333333333333</v>
      </c>
      <c r="P1151" t="s">
        <v>40</v>
      </c>
    </row>
    <row r="1152" spans="1:16" hidden="1" x14ac:dyDescent="0.25">
      <c r="A1152" s="12">
        <v>46070.916666666664</v>
      </c>
      <c r="B1152" t="s">
        <v>13</v>
      </c>
      <c r="C1152" t="s">
        <v>15</v>
      </c>
      <c r="D1152">
        <v>9</v>
      </c>
      <c r="E1152">
        <v>30</v>
      </c>
      <c r="F1152">
        <v>23.725991406865379</v>
      </c>
      <c r="G1152" t="str">
        <f>FLOOR(FinalData[[#This Row],[Temperature_C]],2)&amp;"–"&amp;(FLOOR(FinalData[[#This Row],[Temperature_C]],2)+2)&amp;"°C"</f>
        <v>22–24°C</v>
      </c>
      <c r="H1152">
        <v>2.96</v>
      </c>
      <c r="I1152">
        <v>2026</v>
      </c>
      <c r="J1152">
        <v>2</v>
      </c>
      <c r="K1152">
        <v>17</v>
      </c>
      <c r="L1152">
        <v>2</v>
      </c>
      <c r="M1152">
        <v>22</v>
      </c>
      <c r="N1152">
        <v>0.3</v>
      </c>
      <c r="O1152">
        <v>0.3288888888888889</v>
      </c>
      <c r="P1152" t="s">
        <v>40</v>
      </c>
    </row>
    <row r="1153" spans="1:16" hidden="1" x14ac:dyDescent="0.25">
      <c r="A1153" s="12">
        <v>46070.958333333336</v>
      </c>
      <c r="B1153" t="s">
        <v>18</v>
      </c>
      <c r="C1153" t="s">
        <v>27</v>
      </c>
      <c r="D1153">
        <v>9</v>
      </c>
      <c r="E1153">
        <v>40</v>
      </c>
      <c r="F1153">
        <v>24.138578646540129</v>
      </c>
      <c r="G1153" t="str">
        <f>FLOOR(FinalData[[#This Row],[Temperature_C]],2)&amp;"–"&amp;(FLOOR(FinalData[[#This Row],[Temperature_C]],2)+2)&amp;"°C"</f>
        <v>24–26°C</v>
      </c>
      <c r="H1153">
        <v>3.39</v>
      </c>
      <c r="I1153">
        <v>2026</v>
      </c>
      <c r="J1153">
        <v>2</v>
      </c>
      <c r="K1153">
        <v>17</v>
      </c>
      <c r="L1153">
        <v>2</v>
      </c>
      <c r="M1153">
        <v>23</v>
      </c>
      <c r="N1153">
        <v>0.22500000000000001</v>
      </c>
      <c r="O1153">
        <v>0.37666666666666671</v>
      </c>
      <c r="P1153" t="s">
        <v>40</v>
      </c>
    </row>
    <row r="1154" spans="1:16" hidden="1" x14ac:dyDescent="0.25">
      <c r="A1154" s="12">
        <v>46071</v>
      </c>
      <c r="B1154" t="s">
        <v>9</v>
      </c>
      <c r="C1154" t="s">
        <v>19</v>
      </c>
      <c r="D1154">
        <v>7</v>
      </c>
      <c r="E1154">
        <v>30</v>
      </c>
      <c r="F1154">
        <v>20.824213975781479</v>
      </c>
      <c r="G1154" t="str">
        <f>FLOOR(FinalData[[#This Row],[Temperature_C]],2)&amp;"–"&amp;(FLOOR(FinalData[[#This Row],[Temperature_C]],2)+2)&amp;"°C"</f>
        <v>20–22°C</v>
      </c>
      <c r="H1154">
        <v>2.52</v>
      </c>
      <c r="I1154">
        <v>2026</v>
      </c>
      <c r="J1154">
        <v>2</v>
      </c>
      <c r="K1154">
        <v>18</v>
      </c>
      <c r="L1154">
        <v>3</v>
      </c>
      <c r="M1154">
        <v>0</v>
      </c>
      <c r="N1154">
        <v>0.23333333333333334</v>
      </c>
      <c r="O1154">
        <v>0.36</v>
      </c>
      <c r="P1154" t="s">
        <v>40</v>
      </c>
    </row>
    <row r="1155" spans="1:16" hidden="1" x14ac:dyDescent="0.25">
      <c r="A1155" s="12">
        <v>46071.041666666664</v>
      </c>
      <c r="B1155" t="s">
        <v>11</v>
      </c>
      <c r="C1155" t="s">
        <v>12</v>
      </c>
      <c r="D1155">
        <v>10</v>
      </c>
      <c r="E1155">
        <v>25</v>
      </c>
      <c r="F1155">
        <v>19.123217877475572</v>
      </c>
      <c r="G1155" t="str">
        <f>FLOOR(FinalData[[#This Row],[Temperature_C]],2)&amp;"–"&amp;(FLOOR(FinalData[[#This Row],[Temperature_C]],2)+2)&amp;"°C"</f>
        <v>18–20°C</v>
      </c>
      <c r="H1155">
        <v>3.77</v>
      </c>
      <c r="I1155">
        <v>2026</v>
      </c>
      <c r="J1155">
        <v>2</v>
      </c>
      <c r="K1155">
        <v>18</v>
      </c>
      <c r="L1155">
        <v>3</v>
      </c>
      <c r="M1155">
        <v>1</v>
      </c>
      <c r="N1155">
        <v>0.4</v>
      </c>
      <c r="O1155">
        <v>0.377</v>
      </c>
      <c r="P1155" t="s">
        <v>40</v>
      </c>
    </row>
    <row r="1156" spans="1:16" hidden="1" x14ac:dyDescent="0.25">
      <c r="A1156" s="12">
        <v>46071.083333333336</v>
      </c>
      <c r="B1156" t="s">
        <v>7</v>
      </c>
      <c r="C1156" t="s">
        <v>12</v>
      </c>
      <c r="D1156">
        <v>6</v>
      </c>
      <c r="E1156">
        <v>30</v>
      </c>
      <c r="F1156">
        <v>23.330983128266279</v>
      </c>
      <c r="G1156" t="str">
        <f>FLOOR(FinalData[[#This Row],[Temperature_C]],2)&amp;"–"&amp;(FLOOR(FinalData[[#This Row],[Temperature_C]],2)+2)&amp;"°C"</f>
        <v>22–24°C</v>
      </c>
      <c r="H1156">
        <v>2.79</v>
      </c>
      <c r="I1156">
        <v>2026</v>
      </c>
      <c r="J1156">
        <v>2</v>
      </c>
      <c r="K1156">
        <v>18</v>
      </c>
      <c r="L1156">
        <v>3</v>
      </c>
      <c r="M1156">
        <v>2</v>
      </c>
      <c r="N1156">
        <v>0.2</v>
      </c>
      <c r="O1156">
        <v>0.46500000000000002</v>
      </c>
      <c r="P1156" t="s">
        <v>40</v>
      </c>
    </row>
    <row r="1157" spans="1:16" hidden="1" x14ac:dyDescent="0.25">
      <c r="A1157" s="12">
        <v>46071.125</v>
      </c>
      <c r="B1157" t="s">
        <v>7</v>
      </c>
      <c r="C1157" t="s">
        <v>27</v>
      </c>
      <c r="D1157">
        <v>7</v>
      </c>
      <c r="E1157">
        <v>20</v>
      </c>
      <c r="F1157">
        <v>23.45696435543638</v>
      </c>
      <c r="G1157" t="str">
        <f>FLOOR(FinalData[[#This Row],[Temperature_C]],2)&amp;"–"&amp;(FLOOR(FinalData[[#This Row],[Temperature_C]],2)+2)&amp;"°C"</f>
        <v>22–24°C</v>
      </c>
      <c r="H1157">
        <v>2.74</v>
      </c>
      <c r="I1157">
        <v>2026</v>
      </c>
      <c r="J1157">
        <v>2</v>
      </c>
      <c r="K1157">
        <v>18</v>
      </c>
      <c r="L1157">
        <v>3</v>
      </c>
      <c r="M1157">
        <v>3</v>
      </c>
      <c r="N1157">
        <v>0.35</v>
      </c>
      <c r="O1157">
        <v>0.39142857142857146</v>
      </c>
      <c r="P1157" t="s">
        <v>40</v>
      </c>
    </row>
    <row r="1158" spans="1:16" hidden="1" x14ac:dyDescent="0.25">
      <c r="A1158" s="12">
        <v>46071.166666666664</v>
      </c>
      <c r="B1158" t="s">
        <v>7</v>
      </c>
      <c r="C1158" t="s">
        <v>27</v>
      </c>
      <c r="D1158">
        <v>9</v>
      </c>
      <c r="E1158">
        <v>20</v>
      </c>
      <c r="F1158">
        <v>25.194969942706329</v>
      </c>
      <c r="G1158" t="str">
        <f>FLOOR(FinalData[[#This Row],[Temperature_C]],2)&amp;"–"&amp;(FLOOR(FinalData[[#This Row],[Temperature_C]],2)+2)&amp;"°C"</f>
        <v>24–26°C</v>
      </c>
      <c r="H1158">
        <v>3.18</v>
      </c>
      <c r="I1158">
        <v>2026</v>
      </c>
      <c r="J1158">
        <v>2</v>
      </c>
      <c r="K1158">
        <v>18</v>
      </c>
      <c r="L1158">
        <v>3</v>
      </c>
      <c r="M1158">
        <v>4</v>
      </c>
      <c r="N1158">
        <v>0.45</v>
      </c>
      <c r="O1158">
        <v>0.35333333333333333</v>
      </c>
      <c r="P1158" t="s">
        <v>40</v>
      </c>
    </row>
    <row r="1159" spans="1:16" hidden="1" x14ac:dyDescent="0.25">
      <c r="A1159" s="12">
        <v>46071.208333333336</v>
      </c>
      <c r="B1159" t="s">
        <v>11</v>
      </c>
      <c r="C1159" t="s">
        <v>28</v>
      </c>
      <c r="D1159">
        <v>10</v>
      </c>
      <c r="E1159">
        <v>40</v>
      </c>
      <c r="F1159">
        <v>20.921256788138042</v>
      </c>
      <c r="G1159" t="str">
        <f>FLOOR(FinalData[[#This Row],[Temperature_C]],2)&amp;"–"&amp;(FLOOR(FinalData[[#This Row],[Temperature_C]],2)+2)&amp;"°C"</f>
        <v>20–22°C</v>
      </c>
      <c r="H1159">
        <v>3.2</v>
      </c>
      <c r="I1159">
        <v>2026</v>
      </c>
      <c r="J1159">
        <v>2</v>
      </c>
      <c r="K1159">
        <v>18</v>
      </c>
      <c r="L1159">
        <v>3</v>
      </c>
      <c r="M1159">
        <v>5</v>
      </c>
      <c r="N1159">
        <v>0.25</v>
      </c>
      <c r="O1159">
        <v>0.32</v>
      </c>
      <c r="P1159" t="s">
        <v>40</v>
      </c>
    </row>
    <row r="1160" spans="1:16" hidden="1" x14ac:dyDescent="0.25">
      <c r="A1160" s="12">
        <v>46071.25</v>
      </c>
      <c r="B1160" t="s">
        <v>13</v>
      </c>
      <c r="C1160" t="s">
        <v>17</v>
      </c>
      <c r="D1160">
        <v>10</v>
      </c>
      <c r="E1160">
        <v>20</v>
      </c>
      <c r="F1160">
        <v>23.075126702762219</v>
      </c>
      <c r="G1160" t="str">
        <f>FLOOR(FinalData[[#This Row],[Temperature_C]],2)&amp;"–"&amp;(FLOOR(FinalData[[#This Row],[Temperature_C]],2)+2)&amp;"°C"</f>
        <v>22–24°C</v>
      </c>
      <c r="H1160">
        <v>3.42</v>
      </c>
      <c r="I1160">
        <v>2026</v>
      </c>
      <c r="J1160">
        <v>2</v>
      </c>
      <c r="K1160">
        <v>18</v>
      </c>
      <c r="L1160">
        <v>3</v>
      </c>
      <c r="M1160">
        <v>6</v>
      </c>
      <c r="N1160">
        <v>0.5</v>
      </c>
      <c r="O1160">
        <v>0.34199999999999997</v>
      </c>
      <c r="P1160" t="s">
        <v>40</v>
      </c>
    </row>
    <row r="1161" spans="1:16" hidden="1" x14ac:dyDescent="0.25">
      <c r="A1161" s="12">
        <v>46071.291666666664</v>
      </c>
      <c r="B1161" t="s">
        <v>18</v>
      </c>
      <c r="C1161" t="s">
        <v>30</v>
      </c>
      <c r="D1161">
        <v>10</v>
      </c>
      <c r="E1161">
        <v>40</v>
      </c>
      <c r="F1161">
        <v>24.775797637867431</v>
      </c>
      <c r="G1161" t="str">
        <f>FLOOR(FinalData[[#This Row],[Temperature_C]],2)&amp;"–"&amp;(FLOOR(FinalData[[#This Row],[Temperature_C]],2)+2)&amp;"°C"</f>
        <v>24–26°C</v>
      </c>
      <c r="H1161">
        <v>3.24</v>
      </c>
      <c r="I1161">
        <v>2026</v>
      </c>
      <c r="J1161">
        <v>2</v>
      </c>
      <c r="K1161">
        <v>18</v>
      </c>
      <c r="L1161">
        <v>3</v>
      </c>
      <c r="M1161">
        <v>7</v>
      </c>
      <c r="N1161">
        <v>0.25</v>
      </c>
      <c r="O1161">
        <v>0.32400000000000001</v>
      </c>
      <c r="P1161" t="s">
        <v>41</v>
      </c>
    </row>
    <row r="1162" spans="1:16" hidden="1" x14ac:dyDescent="0.25">
      <c r="A1162" s="12">
        <v>46071.333333333336</v>
      </c>
      <c r="B1162" t="s">
        <v>9</v>
      </c>
      <c r="C1162" t="s">
        <v>24</v>
      </c>
      <c r="D1162">
        <v>5</v>
      </c>
      <c r="E1162">
        <v>20</v>
      </c>
      <c r="F1162">
        <v>23.38826430401129</v>
      </c>
      <c r="G1162" t="str">
        <f>FLOOR(FinalData[[#This Row],[Temperature_C]],2)&amp;"–"&amp;(FLOOR(FinalData[[#This Row],[Temperature_C]],2)+2)&amp;"°C"</f>
        <v>22–24°C</v>
      </c>
      <c r="H1162">
        <v>1.87</v>
      </c>
      <c r="I1162">
        <v>2026</v>
      </c>
      <c r="J1162">
        <v>2</v>
      </c>
      <c r="K1162">
        <v>18</v>
      </c>
      <c r="L1162">
        <v>3</v>
      </c>
      <c r="M1162">
        <v>8</v>
      </c>
      <c r="N1162">
        <v>0.25</v>
      </c>
      <c r="O1162">
        <v>0.374</v>
      </c>
      <c r="P1162" t="s">
        <v>41</v>
      </c>
    </row>
    <row r="1163" spans="1:16" hidden="1" x14ac:dyDescent="0.25">
      <c r="A1163" s="12">
        <v>46071.375</v>
      </c>
      <c r="B1163" t="s">
        <v>9</v>
      </c>
      <c r="C1163" t="s">
        <v>16</v>
      </c>
      <c r="D1163">
        <v>2</v>
      </c>
      <c r="E1163">
        <v>30</v>
      </c>
      <c r="F1163">
        <v>22.02566563394171</v>
      </c>
      <c r="G1163" t="str">
        <f>FLOOR(FinalData[[#This Row],[Temperature_C]],2)&amp;"–"&amp;(FLOOR(FinalData[[#This Row],[Temperature_C]],2)+2)&amp;"°C"</f>
        <v>22–24°C</v>
      </c>
      <c r="H1163">
        <v>0.64</v>
      </c>
      <c r="I1163">
        <v>2026</v>
      </c>
      <c r="J1163">
        <v>2</v>
      </c>
      <c r="K1163">
        <v>18</v>
      </c>
      <c r="L1163">
        <v>3</v>
      </c>
      <c r="M1163">
        <v>9</v>
      </c>
      <c r="N1163">
        <v>6.6666666666666666E-2</v>
      </c>
      <c r="O1163">
        <v>0.32</v>
      </c>
      <c r="P1163" t="s">
        <v>41</v>
      </c>
    </row>
    <row r="1164" spans="1:16" hidden="1" x14ac:dyDescent="0.25">
      <c r="A1164" s="12">
        <v>46071.416666666664</v>
      </c>
      <c r="B1164" t="s">
        <v>9</v>
      </c>
      <c r="C1164" t="s">
        <v>23</v>
      </c>
      <c r="D1164">
        <v>7</v>
      </c>
      <c r="E1164">
        <v>30</v>
      </c>
      <c r="F1164">
        <v>22.837613631729059</v>
      </c>
      <c r="G1164" t="str">
        <f>FLOOR(FinalData[[#This Row],[Temperature_C]],2)&amp;"–"&amp;(FLOOR(FinalData[[#This Row],[Temperature_C]],2)+2)&amp;"°C"</f>
        <v>22–24°C</v>
      </c>
      <c r="H1164">
        <v>2.93</v>
      </c>
      <c r="I1164">
        <v>2026</v>
      </c>
      <c r="J1164">
        <v>2</v>
      </c>
      <c r="K1164">
        <v>18</v>
      </c>
      <c r="L1164">
        <v>3</v>
      </c>
      <c r="M1164">
        <v>10</v>
      </c>
      <c r="N1164">
        <v>0.23333333333333334</v>
      </c>
      <c r="O1164">
        <v>0.41857142857142859</v>
      </c>
      <c r="P1164" t="s">
        <v>41</v>
      </c>
    </row>
    <row r="1165" spans="1:16" hidden="1" x14ac:dyDescent="0.25">
      <c r="A1165" s="12">
        <v>46071.458333333336</v>
      </c>
      <c r="B1165" t="s">
        <v>13</v>
      </c>
      <c r="C1165" t="s">
        <v>21</v>
      </c>
      <c r="D1165">
        <v>12</v>
      </c>
      <c r="E1165">
        <v>40</v>
      </c>
      <c r="F1165">
        <v>21.553968603427869</v>
      </c>
      <c r="G1165" t="str">
        <f>FLOOR(FinalData[[#This Row],[Temperature_C]],2)&amp;"–"&amp;(FLOOR(FinalData[[#This Row],[Temperature_C]],2)+2)&amp;"°C"</f>
        <v>20–22°C</v>
      </c>
      <c r="H1165">
        <v>3.77</v>
      </c>
      <c r="I1165">
        <v>2026</v>
      </c>
      <c r="J1165">
        <v>2</v>
      </c>
      <c r="K1165">
        <v>18</v>
      </c>
      <c r="L1165">
        <v>3</v>
      </c>
      <c r="M1165">
        <v>11</v>
      </c>
      <c r="N1165">
        <v>0.3</v>
      </c>
      <c r="O1165">
        <v>0.31416666666666665</v>
      </c>
      <c r="P1165" t="s">
        <v>41</v>
      </c>
    </row>
    <row r="1166" spans="1:16" hidden="1" x14ac:dyDescent="0.25">
      <c r="A1166" s="12">
        <v>46071.5</v>
      </c>
      <c r="B1166" t="s">
        <v>7</v>
      </c>
      <c r="C1166" t="s">
        <v>28</v>
      </c>
      <c r="D1166">
        <v>13</v>
      </c>
      <c r="E1166">
        <v>20</v>
      </c>
      <c r="F1166">
        <v>22.487149661742841</v>
      </c>
      <c r="G1166" t="str">
        <f>FLOOR(FinalData[[#This Row],[Temperature_C]],2)&amp;"–"&amp;(FLOOR(FinalData[[#This Row],[Temperature_C]],2)+2)&amp;"°C"</f>
        <v>22–24°C</v>
      </c>
      <c r="H1166">
        <v>4.3899999999999997</v>
      </c>
      <c r="I1166">
        <v>2026</v>
      </c>
      <c r="J1166">
        <v>2</v>
      </c>
      <c r="K1166">
        <v>18</v>
      </c>
      <c r="L1166">
        <v>3</v>
      </c>
      <c r="M1166">
        <v>12</v>
      </c>
      <c r="N1166">
        <v>0.65</v>
      </c>
      <c r="O1166">
        <v>0.33769230769230768</v>
      </c>
      <c r="P1166" t="s">
        <v>42</v>
      </c>
    </row>
    <row r="1167" spans="1:16" hidden="1" x14ac:dyDescent="0.25">
      <c r="A1167" s="12">
        <v>46071.541666666664</v>
      </c>
      <c r="B1167" t="s">
        <v>11</v>
      </c>
      <c r="C1167" t="s">
        <v>19</v>
      </c>
      <c r="D1167">
        <v>9</v>
      </c>
      <c r="E1167">
        <v>40</v>
      </c>
      <c r="F1167">
        <v>22.0291172617918</v>
      </c>
      <c r="G1167" t="str">
        <f>FLOOR(FinalData[[#This Row],[Temperature_C]],2)&amp;"–"&amp;(FLOOR(FinalData[[#This Row],[Temperature_C]],2)+2)&amp;"°C"</f>
        <v>22–24°C</v>
      </c>
      <c r="H1167">
        <v>2.72</v>
      </c>
      <c r="I1167">
        <v>2026</v>
      </c>
      <c r="J1167">
        <v>2</v>
      </c>
      <c r="K1167">
        <v>18</v>
      </c>
      <c r="L1167">
        <v>3</v>
      </c>
      <c r="M1167">
        <v>13</v>
      </c>
      <c r="N1167">
        <v>0.22500000000000001</v>
      </c>
      <c r="O1167">
        <v>0.30222222222222223</v>
      </c>
      <c r="P1167" t="s">
        <v>42</v>
      </c>
    </row>
    <row r="1168" spans="1:16" hidden="1" x14ac:dyDescent="0.25">
      <c r="A1168" s="12">
        <v>46071.583333333336</v>
      </c>
      <c r="B1168" t="s">
        <v>7</v>
      </c>
      <c r="C1168" t="s">
        <v>26</v>
      </c>
      <c r="D1168">
        <v>9</v>
      </c>
      <c r="E1168">
        <v>30</v>
      </c>
      <c r="F1168">
        <v>22.289016674171599</v>
      </c>
      <c r="G1168" t="str">
        <f>FLOOR(FinalData[[#This Row],[Temperature_C]],2)&amp;"–"&amp;(FLOOR(FinalData[[#This Row],[Temperature_C]],2)+2)&amp;"°C"</f>
        <v>22–24°C</v>
      </c>
      <c r="H1168">
        <v>2.48</v>
      </c>
      <c r="I1168">
        <v>2026</v>
      </c>
      <c r="J1168">
        <v>2</v>
      </c>
      <c r="K1168">
        <v>18</v>
      </c>
      <c r="L1168">
        <v>3</v>
      </c>
      <c r="M1168">
        <v>14</v>
      </c>
      <c r="N1168">
        <v>0.3</v>
      </c>
      <c r="O1168">
        <v>0.27555555555555555</v>
      </c>
      <c r="P1168" t="s">
        <v>42</v>
      </c>
    </row>
    <row r="1169" spans="1:16" hidden="1" x14ac:dyDescent="0.25">
      <c r="A1169" s="12">
        <v>46071.625</v>
      </c>
      <c r="B1169" t="s">
        <v>7</v>
      </c>
      <c r="C1169" t="s">
        <v>24</v>
      </c>
      <c r="D1169">
        <v>6</v>
      </c>
      <c r="E1169">
        <v>20</v>
      </c>
      <c r="F1169">
        <v>21.42455513346896</v>
      </c>
      <c r="G1169" t="str">
        <f>FLOOR(FinalData[[#This Row],[Temperature_C]],2)&amp;"–"&amp;(FLOOR(FinalData[[#This Row],[Temperature_C]],2)+2)&amp;"°C"</f>
        <v>20–22°C</v>
      </c>
      <c r="H1169">
        <v>2.4500000000000002</v>
      </c>
      <c r="I1169">
        <v>2026</v>
      </c>
      <c r="J1169">
        <v>2</v>
      </c>
      <c r="K1169">
        <v>18</v>
      </c>
      <c r="L1169">
        <v>3</v>
      </c>
      <c r="M1169">
        <v>15</v>
      </c>
      <c r="N1169">
        <v>0.3</v>
      </c>
      <c r="O1169">
        <v>0.40833333333333338</v>
      </c>
      <c r="P1169" t="s">
        <v>42</v>
      </c>
    </row>
    <row r="1170" spans="1:16" hidden="1" x14ac:dyDescent="0.25">
      <c r="A1170" s="12">
        <v>46071.666666666664</v>
      </c>
      <c r="B1170" t="s">
        <v>13</v>
      </c>
      <c r="C1170" t="s">
        <v>28</v>
      </c>
      <c r="D1170">
        <v>11</v>
      </c>
      <c r="E1170">
        <v>20</v>
      </c>
      <c r="F1170">
        <v>25.86800200746092</v>
      </c>
      <c r="G1170" t="str">
        <f>FLOOR(FinalData[[#This Row],[Temperature_C]],2)&amp;"–"&amp;(FLOOR(FinalData[[#This Row],[Temperature_C]],2)+2)&amp;"°C"</f>
        <v>24–26°C</v>
      </c>
      <c r="H1170">
        <v>3.86</v>
      </c>
      <c r="I1170">
        <v>2026</v>
      </c>
      <c r="J1170">
        <v>2</v>
      </c>
      <c r="K1170">
        <v>18</v>
      </c>
      <c r="L1170">
        <v>3</v>
      </c>
      <c r="M1170">
        <v>16</v>
      </c>
      <c r="N1170">
        <v>0.55000000000000004</v>
      </c>
      <c r="O1170">
        <v>0.35090909090909089</v>
      </c>
      <c r="P1170" t="s">
        <v>42</v>
      </c>
    </row>
    <row r="1171" spans="1:16" hidden="1" x14ac:dyDescent="0.25">
      <c r="A1171" s="12">
        <v>46071.708333333336</v>
      </c>
      <c r="B1171" t="s">
        <v>13</v>
      </c>
      <c r="C1171" t="s">
        <v>30</v>
      </c>
      <c r="D1171">
        <v>4</v>
      </c>
      <c r="E1171">
        <v>30</v>
      </c>
      <c r="F1171">
        <v>23.181167846962989</v>
      </c>
      <c r="G1171" t="str">
        <f>FLOOR(FinalData[[#This Row],[Temperature_C]],2)&amp;"–"&amp;(FLOOR(FinalData[[#This Row],[Temperature_C]],2)+2)&amp;"°C"</f>
        <v>22–24°C</v>
      </c>
      <c r="H1171">
        <v>2.2000000000000002</v>
      </c>
      <c r="I1171">
        <v>2026</v>
      </c>
      <c r="J1171">
        <v>2</v>
      </c>
      <c r="K1171">
        <v>18</v>
      </c>
      <c r="L1171">
        <v>3</v>
      </c>
      <c r="M1171">
        <v>17</v>
      </c>
      <c r="N1171">
        <v>0.13333333333333333</v>
      </c>
      <c r="O1171">
        <v>0.55000000000000004</v>
      </c>
      <c r="P1171" t="s">
        <v>43</v>
      </c>
    </row>
    <row r="1172" spans="1:16" hidden="1" x14ac:dyDescent="0.25">
      <c r="A1172" s="12">
        <v>46071.75</v>
      </c>
      <c r="B1172" t="s">
        <v>18</v>
      </c>
      <c r="C1172" t="s">
        <v>30</v>
      </c>
      <c r="D1172">
        <v>11</v>
      </c>
      <c r="E1172">
        <v>20</v>
      </c>
      <c r="F1172">
        <v>21.7914211367817</v>
      </c>
      <c r="G1172" t="str">
        <f>FLOOR(FinalData[[#This Row],[Temperature_C]],2)&amp;"–"&amp;(FLOOR(FinalData[[#This Row],[Temperature_C]],2)+2)&amp;"°C"</f>
        <v>20–22°C</v>
      </c>
      <c r="H1172">
        <v>3.11</v>
      </c>
      <c r="I1172">
        <v>2026</v>
      </c>
      <c r="J1172">
        <v>2</v>
      </c>
      <c r="K1172">
        <v>18</v>
      </c>
      <c r="L1172">
        <v>3</v>
      </c>
      <c r="M1172">
        <v>18</v>
      </c>
      <c r="N1172">
        <v>0.55000000000000004</v>
      </c>
      <c r="O1172">
        <v>0.28272727272727272</v>
      </c>
      <c r="P1172" t="s">
        <v>43</v>
      </c>
    </row>
    <row r="1173" spans="1:16" hidden="1" x14ac:dyDescent="0.25">
      <c r="A1173" s="12">
        <v>46071.791666666664</v>
      </c>
      <c r="B1173" t="s">
        <v>9</v>
      </c>
      <c r="C1173" t="s">
        <v>16</v>
      </c>
      <c r="D1173">
        <v>8</v>
      </c>
      <c r="E1173">
        <v>20</v>
      </c>
      <c r="F1173">
        <v>22.640739254548969</v>
      </c>
      <c r="G1173" t="str">
        <f>FLOOR(FinalData[[#This Row],[Temperature_C]],2)&amp;"–"&amp;(FLOOR(FinalData[[#This Row],[Temperature_C]],2)+2)&amp;"°C"</f>
        <v>22–24°C</v>
      </c>
      <c r="H1173">
        <v>3.13</v>
      </c>
      <c r="I1173">
        <v>2026</v>
      </c>
      <c r="J1173">
        <v>2</v>
      </c>
      <c r="K1173">
        <v>18</v>
      </c>
      <c r="L1173">
        <v>3</v>
      </c>
      <c r="M1173">
        <v>19</v>
      </c>
      <c r="N1173">
        <v>0.4</v>
      </c>
      <c r="O1173">
        <v>0.39124999999999999</v>
      </c>
      <c r="P1173" t="s">
        <v>43</v>
      </c>
    </row>
    <row r="1174" spans="1:16" hidden="1" x14ac:dyDescent="0.25">
      <c r="A1174" s="12">
        <v>46071.833333333336</v>
      </c>
      <c r="B1174" t="s">
        <v>9</v>
      </c>
      <c r="C1174" t="s">
        <v>24</v>
      </c>
      <c r="D1174">
        <v>10</v>
      </c>
      <c r="E1174">
        <v>30</v>
      </c>
      <c r="F1174">
        <v>22.525712181127648</v>
      </c>
      <c r="G1174" t="str">
        <f>FLOOR(FinalData[[#This Row],[Temperature_C]],2)&amp;"–"&amp;(FLOOR(FinalData[[#This Row],[Temperature_C]],2)+2)&amp;"°C"</f>
        <v>22–24°C</v>
      </c>
      <c r="H1174">
        <v>3.48</v>
      </c>
      <c r="I1174">
        <v>2026</v>
      </c>
      <c r="J1174">
        <v>2</v>
      </c>
      <c r="K1174">
        <v>18</v>
      </c>
      <c r="L1174">
        <v>3</v>
      </c>
      <c r="M1174">
        <v>20</v>
      </c>
      <c r="N1174">
        <v>0.33333333333333331</v>
      </c>
      <c r="O1174">
        <v>0.34799999999999998</v>
      </c>
      <c r="P1174" t="s">
        <v>43</v>
      </c>
    </row>
    <row r="1175" spans="1:16" hidden="1" x14ac:dyDescent="0.25">
      <c r="A1175" s="12">
        <v>46071.875</v>
      </c>
      <c r="B1175" t="s">
        <v>11</v>
      </c>
      <c r="C1175" t="s">
        <v>29</v>
      </c>
      <c r="D1175">
        <v>10</v>
      </c>
      <c r="E1175">
        <v>25</v>
      </c>
      <c r="F1175">
        <v>24.176314528871728</v>
      </c>
      <c r="G1175" t="str">
        <f>FLOOR(FinalData[[#This Row],[Temperature_C]],2)&amp;"–"&amp;(FLOOR(FinalData[[#This Row],[Temperature_C]],2)+2)&amp;"°C"</f>
        <v>24–26°C</v>
      </c>
      <c r="H1175">
        <v>3.41</v>
      </c>
      <c r="I1175">
        <v>2026</v>
      </c>
      <c r="J1175">
        <v>2</v>
      </c>
      <c r="K1175">
        <v>18</v>
      </c>
      <c r="L1175">
        <v>3</v>
      </c>
      <c r="M1175">
        <v>21</v>
      </c>
      <c r="N1175">
        <v>0.4</v>
      </c>
      <c r="O1175">
        <v>0.34100000000000003</v>
      </c>
      <c r="P1175" t="s">
        <v>40</v>
      </c>
    </row>
    <row r="1176" spans="1:16" hidden="1" x14ac:dyDescent="0.25">
      <c r="A1176" s="12">
        <v>46071.916666666664</v>
      </c>
      <c r="B1176" t="s">
        <v>11</v>
      </c>
      <c r="C1176" t="s">
        <v>25</v>
      </c>
      <c r="D1176">
        <v>6</v>
      </c>
      <c r="E1176">
        <v>20</v>
      </c>
      <c r="F1176">
        <v>20.072747083935429</v>
      </c>
      <c r="G1176" t="str">
        <f>FLOOR(FinalData[[#This Row],[Temperature_C]],2)&amp;"–"&amp;(FLOOR(FinalData[[#This Row],[Temperature_C]],2)+2)&amp;"°C"</f>
        <v>20–22°C</v>
      </c>
      <c r="H1176">
        <v>2.48</v>
      </c>
      <c r="I1176">
        <v>2026</v>
      </c>
      <c r="J1176">
        <v>2</v>
      </c>
      <c r="K1176">
        <v>18</v>
      </c>
      <c r="L1176">
        <v>3</v>
      </c>
      <c r="M1176">
        <v>22</v>
      </c>
      <c r="N1176">
        <v>0.3</v>
      </c>
      <c r="O1176">
        <v>0.41333333333333333</v>
      </c>
      <c r="P1176" t="s">
        <v>40</v>
      </c>
    </row>
    <row r="1177" spans="1:16" hidden="1" x14ac:dyDescent="0.25">
      <c r="A1177" s="12">
        <v>46071.958333333336</v>
      </c>
      <c r="B1177" t="s">
        <v>9</v>
      </c>
      <c r="C1177" t="s">
        <v>19</v>
      </c>
      <c r="D1177">
        <v>8</v>
      </c>
      <c r="E1177">
        <v>20</v>
      </c>
      <c r="F1177">
        <v>22.61368955030084</v>
      </c>
      <c r="G1177" t="str">
        <f>FLOOR(FinalData[[#This Row],[Temperature_C]],2)&amp;"–"&amp;(FLOOR(FinalData[[#This Row],[Temperature_C]],2)+2)&amp;"°C"</f>
        <v>22–24°C</v>
      </c>
      <c r="H1177">
        <v>2.2999999999999998</v>
      </c>
      <c r="I1177">
        <v>2026</v>
      </c>
      <c r="J1177">
        <v>2</v>
      </c>
      <c r="K1177">
        <v>18</v>
      </c>
      <c r="L1177">
        <v>3</v>
      </c>
      <c r="M1177">
        <v>23</v>
      </c>
      <c r="N1177">
        <v>0.4</v>
      </c>
      <c r="O1177">
        <v>0.28749999999999998</v>
      </c>
      <c r="P1177" t="s">
        <v>40</v>
      </c>
    </row>
    <row r="1178" spans="1:16" hidden="1" x14ac:dyDescent="0.25">
      <c r="A1178" s="12">
        <v>46072</v>
      </c>
      <c r="B1178" t="s">
        <v>13</v>
      </c>
      <c r="C1178" t="s">
        <v>22</v>
      </c>
      <c r="D1178">
        <v>7</v>
      </c>
      <c r="E1178">
        <v>20</v>
      </c>
      <c r="F1178">
        <v>22.12989479952828</v>
      </c>
      <c r="G1178" t="str">
        <f>FLOOR(FinalData[[#This Row],[Temperature_C]],2)&amp;"–"&amp;(FLOOR(FinalData[[#This Row],[Temperature_C]],2)+2)&amp;"°C"</f>
        <v>22–24°C</v>
      </c>
      <c r="H1178">
        <v>2.13</v>
      </c>
      <c r="I1178">
        <v>2026</v>
      </c>
      <c r="J1178">
        <v>2</v>
      </c>
      <c r="K1178">
        <v>19</v>
      </c>
      <c r="L1178">
        <v>4</v>
      </c>
      <c r="M1178">
        <v>0</v>
      </c>
      <c r="N1178">
        <v>0.35</v>
      </c>
      <c r="O1178">
        <v>0.30428571428571427</v>
      </c>
      <c r="P1178" t="s">
        <v>40</v>
      </c>
    </row>
    <row r="1179" spans="1:16" hidden="1" x14ac:dyDescent="0.25">
      <c r="A1179" s="12">
        <v>46072.041666666664</v>
      </c>
      <c r="B1179" t="s">
        <v>7</v>
      </c>
      <c r="C1179" t="s">
        <v>22</v>
      </c>
      <c r="D1179">
        <v>8</v>
      </c>
      <c r="E1179">
        <v>30</v>
      </c>
      <c r="F1179">
        <v>22.74245149043151</v>
      </c>
      <c r="G1179" t="str">
        <f>FLOOR(FinalData[[#This Row],[Temperature_C]],2)&amp;"–"&amp;(FLOOR(FinalData[[#This Row],[Temperature_C]],2)+2)&amp;"°C"</f>
        <v>22–24°C</v>
      </c>
      <c r="H1179">
        <v>2.4900000000000002</v>
      </c>
      <c r="I1179">
        <v>2026</v>
      </c>
      <c r="J1179">
        <v>2</v>
      </c>
      <c r="K1179">
        <v>19</v>
      </c>
      <c r="L1179">
        <v>4</v>
      </c>
      <c r="M1179">
        <v>1</v>
      </c>
      <c r="N1179">
        <v>0.26666666666666666</v>
      </c>
      <c r="O1179">
        <v>0.31125000000000003</v>
      </c>
      <c r="P1179" t="s">
        <v>40</v>
      </c>
    </row>
    <row r="1180" spans="1:16" hidden="1" x14ac:dyDescent="0.25">
      <c r="A1180" s="12">
        <v>46072.083333333336</v>
      </c>
      <c r="B1180" t="s">
        <v>11</v>
      </c>
      <c r="C1180" t="s">
        <v>25</v>
      </c>
      <c r="D1180">
        <v>5</v>
      </c>
      <c r="E1180">
        <v>30</v>
      </c>
      <c r="F1180">
        <v>26.06961961220772</v>
      </c>
      <c r="G1180" t="str">
        <f>FLOOR(FinalData[[#This Row],[Temperature_C]],2)&amp;"–"&amp;(FLOOR(FinalData[[#This Row],[Temperature_C]],2)+2)&amp;"°C"</f>
        <v>26–28°C</v>
      </c>
      <c r="H1180">
        <v>2.04</v>
      </c>
      <c r="I1180">
        <v>2026</v>
      </c>
      <c r="J1180">
        <v>2</v>
      </c>
      <c r="K1180">
        <v>19</v>
      </c>
      <c r="L1180">
        <v>4</v>
      </c>
      <c r="M1180">
        <v>2</v>
      </c>
      <c r="N1180">
        <v>0.16666666666666666</v>
      </c>
      <c r="O1180">
        <v>0.40800000000000003</v>
      </c>
      <c r="P1180" t="s">
        <v>40</v>
      </c>
    </row>
    <row r="1181" spans="1:16" hidden="1" x14ac:dyDescent="0.25">
      <c r="A1181" s="12">
        <v>46072.125</v>
      </c>
      <c r="B1181" t="s">
        <v>7</v>
      </c>
      <c r="C1181" t="s">
        <v>26</v>
      </c>
      <c r="D1181">
        <v>7</v>
      </c>
      <c r="E1181">
        <v>30</v>
      </c>
      <c r="F1181">
        <v>22.961679004836721</v>
      </c>
      <c r="G1181" t="str">
        <f>FLOOR(FinalData[[#This Row],[Temperature_C]],2)&amp;"–"&amp;(FLOOR(FinalData[[#This Row],[Temperature_C]],2)+2)&amp;"°C"</f>
        <v>22–24°C</v>
      </c>
      <c r="H1181">
        <v>2.54</v>
      </c>
      <c r="I1181">
        <v>2026</v>
      </c>
      <c r="J1181">
        <v>2</v>
      </c>
      <c r="K1181">
        <v>19</v>
      </c>
      <c r="L1181">
        <v>4</v>
      </c>
      <c r="M1181">
        <v>3</v>
      </c>
      <c r="N1181">
        <v>0.23333333333333334</v>
      </c>
      <c r="O1181">
        <v>0.36285714285714288</v>
      </c>
      <c r="P1181" t="s">
        <v>40</v>
      </c>
    </row>
    <row r="1182" spans="1:16" hidden="1" x14ac:dyDescent="0.25">
      <c r="A1182" s="12">
        <v>46072.166666666664</v>
      </c>
      <c r="B1182" t="s">
        <v>7</v>
      </c>
      <c r="C1182" t="s">
        <v>21</v>
      </c>
      <c r="D1182">
        <v>9</v>
      </c>
      <c r="E1182">
        <v>30</v>
      </c>
      <c r="F1182">
        <v>25.509489674675311</v>
      </c>
      <c r="G1182" t="str">
        <f>FLOOR(FinalData[[#This Row],[Temperature_C]],2)&amp;"–"&amp;(FLOOR(FinalData[[#This Row],[Temperature_C]],2)+2)&amp;"°C"</f>
        <v>24–26°C</v>
      </c>
      <c r="H1182">
        <v>3.95</v>
      </c>
      <c r="I1182">
        <v>2026</v>
      </c>
      <c r="J1182">
        <v>2</v>
      </c>
      <c r="K1182">
        <v>19</v>
      </c>
      <c r="L1182">
        <v>4</v>
      </c>
      <c r="M1182">
        <v>4</v>
      </c>
      <c r="N1182">
        <v>0.3</v>
      </c>
      <c r="O1182">
        <v>0.43888888888888888</v>
      </c>
      <c r="P1182" t="s">
        <v>40</v>
      </c>
    </row>
    <row r="1183" spans="1:16" hidden="1" x14ac:dyDescent="0.25">
      <c r="A1183" s="12">
        <v>46072.208333333336</v>
      </c>
      <c r="B1183" t="s">
        <v>7</v>
      </c>
      <c r="C1183" t="s">
        <v>17</v>
      </c>
      <c r="D1183">
        <v>15</v>
      </c>
      <c r="E1183">
        <v>20</v>
      </c>
      <c r="F1183">
        <v>27.121377867455841</v>
      </c>
      <c r="G1183" t="str">
        <f>FLOOR(FinalData[[#This Row],[Temperature_C]],2)&amp;"–"&amp;(FLOOR(FinalData[[#This Row],[Temperature_C]],2)+2)&amp;"°C"</f>
        <v>26–28°C</v>
      </c>
      <c r="H1183">
        <v>5.73</v>
      </c>
      <c r="I1183">
        <v>2026</v>
      </c>
      <c r="J1183">
        <v>2</v>
      </c>
      <c r="K1183">
        <v>19</v>
      </c>
      <c r="L1183">
        <v>4</v>
      </c>
      <c r="M1183">
        <v>5</v>
      </c>
      <c r="N1183">
        <v>0.75</v>
      </c>
      <c r="O1183">
        <v>0.38200000000000001</v>
      </c>
      <c r="P1183" t="s">
        <v>40</v>
      </c>
    </row>
    <row r="1184" spans="1:16" hidden="1" x14ac:dyDescent="0.25">
      <c r="A1184" s="12">
        <v>46072.25</v>
      </c>
      <c r="B1184" t="s">
        <v>11</v>
      </c>
      <c r="C1184" t="s">
        <v>31</v>
      </c>
      <c r="D1184">
        <v>7</v>
      </c>
      <c r="E1184">
        <v>25</v>
      </c>
      <c r="F1184">
        <v>22.404177344003859</v>
      </c>
      <c r="G1184" t="str">
        <f>FLOOR(FinalData[[#This Row],[Temperature_C]],2)&amp;"–"&amp;(FLOOR(FinalData[[#This Row],[Temperature_C]],2)+2)&amp;"°C"</f>
        <v>22–24°C</v>
      </c>
      <c r="H1184">
        <v>3.19</v>
      </c>
      <c r="I1184">
        <v>2026</v>
      </c>
      <c r="J1184">
        <v>2</v>
      </c>
      <c r="K1184">
        <v>19</v>
      </c>
      <c r="L1184">
        <v>4</v>
      </c>
      <c r="M1184">
        <v>6</v>
      </c>
      <c r="N1184">
        <v>0.28000000000000003</v>
      </c>
      <c r="O1184">
        <v>0.45571428571428568</v>
      </c>
      <c r="P1184" t="s">
        <v>40</v>
      </c>
    </row>
    <row r="1185" spans="1:16" hidden="1" x14ac:dyDescent="0.25">
      <c r="A1185" s="12">
        <v>46072.291666666664</v>
      </c>
      <c r="B1185" t="s">
        <v>9</v>
      </c>
      <c r="C1185" t="s">
        <v>17</v>
      </c>
      <c r="D1185">
        <v>7</v>
      </c>
      <c r="E1185">
        <v>40</v>
      </c>
      <c r="F1185">
        <v>18.897955022947809</v>
      </c>
      <c r="G1185" t="str">
        <f>FLOOR(FinalData[[#This Row],[Temperature_C]],2)&amp;"–"&amp;(FLOOR(FinalData[[#This Row],[Temperature_C]],2)+2)&amp;"°C"</f>
        <v>18–20°C</v>
      </c>
      <c r="H1185">
        <v>3.3</v>
      </c>
      <c r="I1185">
        <v>2026</v>
      </c>
      <c r="J1185">
        <v>2</v>
      </c>
      <c r="K1185">
        <v>19</v>
      </c>
      <c r="L1185">
        <v>4</v>
      </c>
      <c r="M1185">
        <v>7</v>
      </c>
      <c r="N1185">
        <v>0.17499999999999999</v>
      </c>
      <c r="O1185">
        <v>0.47142857142857142</v>
      </c>
      <c r="P1185" t="s">
        <v>41</v>
      </c>
    </row>
    <row r="1186" spans="1:16" hidden="1" x14ac:dyDescent="0.25">
      <c r="A1186" s="12">
        <v>46072.333333333336</v>
      </c>
      <c r="B1186" t="s">
        <v>7</v>
      </c>
      <c r="C1186" t="s">
        <v>14</v>
      </c>
      <c r="D1186">
        <v>14</v>
      </c>
      <c r="E1186">
        <v>20</v>
      </c>
      <c r="F1186">
        <v>21.7197069898126</v>
      </c>
      <c r="G1186" t="str">
        <f>FLOOR(FinalData[[#This Row],[Temperature_C]],2)&amp;"–"&amp;(FLOOR(FinalData[[#This Row],[Temperature_C]],2)+2)&amp;"°C"</f>
        <v>20–22°C</v>
      </c>
      <c r="H1186">
        <v>4.49</v>
      </c>
      <c r="I1186">
        <v>2026</v>
      </c>
      <c r="J1186">
        <v>2</v>
      </c>
      <c r="K1186">
        <v>19</v>
      </c>
      <c r="L1186">
        <v>4</v>
      </c>
      <c r="M1186">
        <v>8</v>
      </c>
      <c r="N1186">
        <v>0.7</v>
      </c>
      <c r="O1186">
        <v>0.32071428571428573</v>
      </c>
      <c r="P1186" t="s">
        <v>41</v>
      </c>
    </row>
    <row r="1187" spans="1:16" hidden="1" x14ac:dyDescent="0.25">
      <c r="A1187" s="12">
        <v>46072.375</v>
      </c>
      <c r="B1187" t="s">
        <v>18</v>
      </c>
      <c r="C1187" t="s">
        <v>15</v>
      </c>
      <c r="D1187">
        <v>7</v>
      </c>
      <c r="E1187">
        <v>25</v>
      </c>
      <c r="F1187">
        <v>22.99159616921769</v>
      </c>
      <c r="G1187" t="str">
        <f>FLOOR(FinalData[[#This Row],[Temperature_C]],2)&amp;"–"&amp;(FLOOR(FinalData[[#This Row],[Temperature_C]],2)+2)&amp;"°C"</f>
        <v>22–24°C</v>
      </c>
      <c r="H1187">
        <v>3.21</v>
      </c>
      <c r="I1187">
        <v>2026</v>
      </c>
      <c r="J1187">
        <v>2</v>
      </c>
      <c r="K1187">
        <v>19</v>
      </c>
      <c r="L1187">
        <v>4</v>
      </c>
      <c r="M1187">
        <v>9</v>
      </c>
      <c r="N1187">
        <v>0.28000000000000003</v>
      </c>
      <c r="O1187">
        <v>0.45857142857142857</v>
      </c>
      <c r="P1187" t="s">
        <v>41</v>
      </c>
    </row>
    <row r="1188" spans="1:16" hidden="1" x14ac:dyDescent="0.25">
      <c r="A1188" s="12">
        <v>46072.416666666664</v>
      </c>
      <c r="B1188" t="s">
        <v>9</v>
      </c>
      <c r="C1188" t="s">
        <v>16</v>
      </c>
      <c r="D1188">
        <v>8</v>
      </c>
      <c r="E1188">
        <v>30</v>
      </c>
      <c r="F1188">
        <v>22.625383276783921</v>
      </c>
      <c r="G1188" t="str">
        <f>FLOOR(FinalData[[#This Row],[Temperature_C]],2)&amp;"–"&amp;(FLOOR(FinalData[[#This Row],[Temperature_C]],2)+2)&amp;"°C"</f>
        <v>22–24°C</v>
      </c>
      <c r="H1188">
        <v>2.83</v>
      </c>
      <c r="I1188">
        <v>2026</v>
      </c>
      <c r="J1188">
        <v>2</v>
      </c>
      <c r="K1188">
        <v>19</v>
      </c>
      <c r="L1188">
        <v>4</v>
      </c>
      <c r="M1188">
        <v>10</v>
      </c>
      <c r="N1188">
        <v>0.26666666666666666</v>
      </c>
      <c r="O1188">
        <v>0.35375000000000001</v>
      </c>
      <c r="P1188" t="s">
        <v>41</v>
      </c>
    </row>
    <row r="1189" spans="1:16" hidden="1" x14ac:dyDescent="0.25">
      <c r="A1189" s="12">
        <v>46072.458333333336</v>
      </c>
      <c r="B1189" t="s">
        <v>7</v>
      </c>
      <c r="C1189" t="s">
        <v>8</v>
      </c>
      <c r="D1189">
        <v>7</v>
      </c>
      <c r="E1189">
        <v>30</v>
      </c>
      <c r="F1189">
        <v>21.964389469339771</v>
      </c>
      <c r="G1189" t="str">
        <f>FLOOR(FinalData[[#This Row],[Temperature_C]],2)&amp;"–"&amp;(FLOOR(FinalData[[#This Row],[Temperature_C]],2)+2)&amp;"°C"</f>
        <v>20–22°C</v>
      </c>
      <c r="H1189">
        <v>2.71</v>
      </c>
      <c r="I1189">
        <v>2026</v>
      </c>
      <c r="J1189">
        <v>2</v>
      </c>
      <c r="K1189">
        <v>19</v>
      </c>
      <c r="L1189">
        <v>4</v>
      </c>
      <c r="M1189">
        <v>11</v>
      </c>
      <c r="N1189">
        <v>0.23333333333333334</v>
      </c>
      <c r="O1189">
        <v>0.38714285714285712</v>
      </c>
      <c r="P1189" t="s">
        <v>41</v>
      </c>
    </row>
    <row r="1190" spans="1:16" hidden="1" x14ac:dyDescent="0.25">
      <c r="A1190" s="12">
        <v>46072.5</v>
      </c>
      <c r="B1190" t="s">
        <v>11</v>
      </c>
      <c r="C1190" t="s">
        <v>24</v>
      </c>
      <c r="D1190">
        <v>9</v>
      </c>
      <c r="E1190">
        <v>30</v>
      </c>
      <c r="F1190">
        <v>22.222380429081259</v>
      </c>
      <c r="G1190" t="str">
        <f>FLOOR(FinalData[[#This Row],[Temperature_C]],2)&amp;"–"&amp;(FLOOR(FinalData[[#This Row],[Temperature_C]],2)+2)&amp;"°C"</f>
        <v>22–24°C</v>
      </c>
      <c r="H1190">
        <v>3.27</v>
      </c>
      <c r="I1190">
        <v>2026</v>
      </c>
      <c r="J1190">
        <v>2</v>
      </c>
      <c r="K1190">
        <v>19</v>
      </c>
      <c r="L1190">
        <v>4</v>
      </c>
      <c r="M1190">
        <v>12</v>
      </c>
      <c r="N1190">
        <v>0.3</v>
      </c>
      <c r="O1190">
        <v>0.36333333333333334</v>
      </c>
      <c r="P1190" t="s">
        <v>42</v>
      </c>
    </row>
    <row r="1191" spans="1:16" hidden="1" x14ac:dyDescent="0.25">
      <c r="A1191" s="12">
        <v>46072.541666666664</v>
      </c>
      <c r="B1191" t="s">
        <v>18</v>
      </c>
      <c r="C1191" t="s">
        <v>15</v>
      </c>
      <c r="D1191">
        <v>8</v>
      </c>
      <c r="E1191">
        <v>40</v>
      </c>
      <c r="F1191">
        <v>22.590585532955419</v>
      </c>
      <c r="G1191" t="str">
        <f>FLOOR(FinalData[[#This Row],[Temperature_C]],2)&amp;"–"&amp;(FLOOR(FinalData[[#This Row],[Temperature_C]],2)+2)&amp;"°C"</f>
        <v>22–24°C</v>
      </c>
      <c r="H1191">
        <v>2.77</v>
      </c>
      <c r="I1191">
        <v>2026</v>
      </c>
      <c r="J1191">
        <v>2</v>
      </c>
      <c r="K1191">
        <v>19</v>
      </c>
      <c r="L1191">
        <v>4</v>
      </c>
      <c r="M1191">
        <v>13</v>
      </c>
      <c r="N1191">
        <v>0.2</v>
      </c>
      <c r="O1191">
        <v>0.34625</v>
      </c>
      <c r="P1191" t="s">
        <v>42</v>
      </c>
    </row>
    <row r="1192" spans="1:16" hidden="1" x14ac:dyDescent="0.25">
      <c r="A1192" s="12">
        <v>46072.583333333336</v>
      </c>
      <c r="B1192" t="s">
        <v>9</v>
      </c>
      <c r="C1192" t="s">
        <v>23</v>
      </c>
      <c r="D1192">
        <v>6</v>
      </c>
      <c r="E1192">
        <v>20</v>
      </c>
      <c r="F1192">
        <v>22.36848398356581</v>
      </c>
      <c r="G1192" t="str">
        <f>FLOOR(FinalData[[#This Row],[Temperature_C]],2)&amp;"–"&amp;(FLOOR(FinalData[[#This Row],[Temperature_C]],2)+2)&amp;"°C"</f>
        <v>22–24°C</v>
      </c>
      <c r="H1192">
        <v>2.35</v>
      </c>
      <c r="I1192">
        <v>2026</v>
      </c>
      <c r="J1192">
        <v>2</v>
      </c>
      <c r="K1192">
        <v>19</v>
      </c>
      <c r="L1192">
        <v>4</v>
      </c>
      <c r="M1192">
        <v>14</v>
      </c>
      <c r="N1192">
        <v>0.3</v>
      </c>
      <c r="O1192">
        <v>0.39166666666666666</v>
      </c>
      <c r="P1192" t="s">
        <v>42</v>
      </c>
    </row>
    <row r="1193" spans="1:16" hidden="1" x14ac:dyDescent="0.25">
      <c r="A1193" s="12">
        <v>46072.625</v>
      </c>
      <c r="B1193" t="s">
        <v>18</v>
      </c>
      <c r="C1193" t="s">
        <v>12</v>
      </c>
      <c r="D1193">
        <v>8</v>
      </c>
      <c r="E1193">
        <v>40</v>
      </c>
      <c r="F1193">
        <v>25.59738658198685</v>
      </c>
      <c r="G1193" t="str">
        <f>FLOOR(FinalData[[#This Row],[Temperature_C]],2)&amp;"–"&amp;(FLOOR(FinalData[[#This Row],[Temperature_C]],2)+2)&amp;"°C"</f>
        <v>24–26°C</v>
      </c>
      <c r="H1193">
        <v>3.42</v>
      </c>
      <c r="I1193">
        <v>2026</v>
      </c>
      <c r="J1193">
        <v>2</v>
      </c>
      <c r="K1193">
        <v>19</v>
      </c>
      <c r="L1193">
        <v>4</v>
      </c>
      <c r="M1193">
        <v>15</v>
      </c>
      <c r="N1193">
        <v>0.2</v>
      </c>
      <c r="O1193">
        <v>0.42749999999999999</v>
      </c>
      <c r="P1193" t="s">
        <v>42</v>
      </c>
    </row>
    <row r="1194" spans="1:16" hidden="1" x14ac:dyDescent="0.25">
      <c r="A1194" s="12">
        <v>46072.666666666664</v>
      </c>
      <c r="B1194" t="s">
        <v>9</v>
      </c>
      <c r="C1194" t="s">
        <v>12</v>
      </c>
      <c r="D1194">
        <v>10</v>
      </c>
      <c r="E1194">
        <v>20</v>
      </c>
      <c r="F1194">
        <v>21.056565641446149</v>
      </c>
      <c r="G1194" t="str">
        <f>FLOOR(FinalData[[#This Row],[Temperature_C]],2)&amp;"–"&amp;(FLOOR(FinalData[[#This Row],[Temperature_C]],2)+2)&amp;"°C"</f>
        <v>20–22°C</v>
      </c>
      <c r="H1194">
        <v>3.17</v>
      </c>
      <c r="I1194">
        <v>2026</v>
      </c>
      <c r="J1194">
        <v>2</v>
      </c>
      <c r="K1194">
        <v>19</v>
      </c>
      <c r="L1194">
        <v>4</v>
      </c>
      <c r="M1194">
        <v>16</v>
      </c>
      <c r="N1194">
        <v>0.5</v>
      </c>
      <c r="O1194">
        <v>0.317</v>
      </c>
      <c r="P1194" t="s">
        <v>42</v>
      </c>
    </row>
    <row r="1195" spans="1:16" hidden="1" x14ac:dyDescent="0.25">
      <c r="A1195" s="12">
        <v>46072.708333333336</v>
      </c>
      <c r="B1195" t="s">
        <v>7</v>
      </c>
      <c r="C1195" t="s">
        <v>17</v>
      </c>
      <c r="D1195">
        <v>7</v>
      </c>
      <c r="E1195">
        <v>30</v>
      </c>
      <c r="F1195">
        <v>23.96288692462366</v>
      </c>
      <c r="G1195" t="str">
        <f>FLOOR(FinalData[[#This Row],[Temperature_C]],2)&amp;"–"&amp;(FLOOR(FinalData[[#This Row],[Temperature_C]],2)+2)&amp;"°C"</f>
        <v>22–24°C</v>
      </c>
      <c r="H1195">
        <v>2.95</v>
      </c>
      <c r="I1195">
        <v>2026</v>
      </c>
      <c r="J1195">
        <v>2</v>
      </c>
      <c r="K1195">
        <v>19</v>
      </c>
      <c r="L1195">
        <v>4</v>
      </c>
      <c r="M1195">
        <v>17</v>
      </c>
      <c r="N1195">
        <v>0.23333333333333334</v>
      </c>
      <c r="O1195">
        <v>0.42142857142857143</v>
      </c>
      <c r="P1195" t="s">
        <v>43</v>
      </c>
    </row>
    <row r="1196" spans="1:16" hidden="1" x14ac:dyDescent="0.25">
      <c r="A1196" s="12">
        <v>46072.75</v>
      </c>
      <c r="B1196" t="s">
        <v>11</v>
      </c>
      <c r="C1196" t="s">
        <v>23</v>
      </c>
      <c r="D1196">
        <v>10</v>
      </c>
      <c r="E1196">
        <v>30</v>
      </c>
      <c r="F1196">
        <v>19.97890789926101</v>
      </c>
      <c r="G1196" t="str">
        <f>FLOOR(FinalData[[#This Row],[Temperature_C]],2)&amp;"–"&amp;(FLOOR(FinalData[[#This Row],[Temperature_C]],2)+2)&amp;"°C"</f>
        <v>18–20°C</v>
      </c>
      <c r="H1196">
        <v>3.4</v>
      </c>
      <c r="I1196">
        <v>2026</v>
      </c>
      <c r="J1196">
        <v>2</v>
      </c>
      <c r="K1196">
        <v>19</v>
      </c>
      <c r="L1196">
        <v>4</v>
      </c>
      <c r="M1196">
        <v>18</v>
      </c>
      <c r="N1196">
        <v>0.33333333333333331</v>
      </c>
      <c r="O1196">
        <v>0.33999999999999997</v>
      </c>
      <c r="P1196" t="s">
        <v>43</v>
      </c>
    </row>
    <row r="1197" spans="1:16" hidden="1" x14ac:dyDescent="0.25">
      <c r="A1197" s="12">
        <v>46072.791666666664</v>
      </c>
      <c r="B1197" t="s">
        <v>11</v>
      </c>
      <c r="C1197" t="s">
        <v>25</v>
      </c>
      <c r="D1197">
        <v>3</v>
      </c>
      <c r="E1197">
        <v>40</v>
      </c>
      <c r="F1197">
        <v>21.146973490440509</v>
      </c>
      <c r="G1197" t="str">
        <f>FLOOR(FinalData[[#This Row],[Temperature_C]],2)&amp;"–"&amp;(FLOOR(FinalData[[#This Row],[Temperature_C]],2)+2)&amp;"°C"</f>
        <v>20–22°C</v>
      </c>
      <c r="H1197">
        <v>1.52</v>
      </c>
      <c r="I1197">
        <v>2026</v>
      </c>
      <c r="J1197">
        <v>2</v>
      </c>
      <c r="K1197">
        <v>19</v>
      </c>
      <c r="L1197">
        <v>4</v>
      </c>
      <c r="M1197">
        <v>19</v>
      </c>
      <c r="N1197">
        <v>7.4999999999999997E-2</v>
      </c>
      <c r="O1197">
        <v>0.50666666666666671</v>
      </c>
      <c r="P1197" t="s">
        <v>43</v>
      </c>
    </row>
    <row r="1198" spans="1:16" hidden="1" x14ac:dyDescent="0.25">
      <c r="A1198" s="12">
        <v>46072.833333333336</v>
      </c>
      <c r="B1198" t="s">
        <v>13</v>
      </c>
      <c r="C1198" t="s">
        <v>31</v>
      </c>
      <c r="D1198">
        <v>6</v>
      </c>
      <c r="E1198">
        <v>20</v>
      </c>
      <c r="F1198">
        <v>26.105658640397689</v>
      </c>
      <c r="G1198" t="str">
        <f>FLOOR(FinalData[[#This Row],[Temperature_C]],2)&amp;"–"&amp;(FLOOR(FinalData[[#This Row],[Temperature_C]],2)+2)&amp;"°C"</f>
        <v>26–28°C</v>
      </c>
      <c r="H1198">
        <v>2.4300000000000002</v>
      </c>
      <c r="I1198">
        <v>2026</v>
      </c>
      <c r="J1198">
        <v>2</v>
      </c>
      <c r="K1198">
        <v>19</v>
      </c>
      <c r="L1198">
        <v>4</v>
      </c>
      <c r="M1198">
        <v>20</v>
      </c>
      <c r="N1198">
        <v>0.3</v>
      </c>
      <c r="O1198">
        <v>0.40500000000000003</v>
      </c>
      <c r="P1198" t="s">
        <v>43</v>
      </c>
    </row>
    <row r="1199" spans="1:16" hidden="1" x14ac:dyDescent="0.25">
      <c r="A1199" s="12">
        <v>46072.875</v>
      </c>
      <c r="B1199" t="s">
        <v>18</v>
      </c>
      <c r="C1199" t="s">
        <v>19</v>
      </c>
      <c r="D1199">
        <v>3</v>
      </c>
      <c r="E1199">
        <v>20</v>
      </c>
      <c r="F1199">
        <v>18.240371435139281</v>
      </c>
      <c r="G1199" t="str">
        <f>FLOOR(FinalData[[#This Row],[Temperature_C]],2)&amp;"–"&amp;(FLOOR(FinalData[[#This Row],[Temperature_C]],2)+2)&amp;"°C"</f>
        <v>18–20°C</v>
      </c>
      <c r="H1199">
        <v>1.89</v>
      </c>
      <c r="I1199">
        <v>2026</v>
      </c>
      <c r="J1199">
        <v>2</v>
      </c>
      <c r="K1199">
        <v>19</v>
      </c>
      <c r="L1199">
        <v>4</v>
      </c>
      <c r="M1199">
        <v>21</v>
      </c>
      <c r="N1199">
        <v>0.15</v>
      </c>
      <c r="O1199">
        <v>0.63</v>
      </c>
      <c r="P1199" t="s">
        <v>40</v>
      </c>
    </row>
    <row r="1200" spans="1:16" hidden="1" x14ac:dyDescent="0.25">
      <c r="A1200" s="12">
        <v>46072.916666666664</v>
      </c>
      <c r="B1200" t="s">
        <v>18</v>
      </c>
      <c r="C1200" t="s">
        <v>10</v>
      </c>
      <c r="D1200">
        <v>11</v>
      </c>
      <c r="E1200">
        <v>20</v>
      </c>
      <c r="F1200">
        <v>22.485567926310608</v>
      </c>
      <c r="G1200" t="str">
        <f>FLOOR(FinalData[[#This Row],[Temperature_C]],2)&amp;"–"&amp;(FLOOR(FinalData[[#This Row],[Temperature_C]],2)+2)&amp;"°C"</f>
        <v>22–24°C</v>
      </c>
      <c r="H1200">
        <v>3.27</v>
      </c>
      <c r="I1200">
        <v>2026</v>
      </c>
      <c r="J1200">
        <v>2</v>
      </c>
      <c r="K1200">
        <v>19</v>
      </c>
      <c r="L1200">
        <v>4</v>
      </c>
      <c r="M1200">
        <v>22</v>
      </c>
      <c r="N1200">
        <v>0.55000000000000004</v>
      </c>
      <c r="O1200">
        <v>0.2972727272727273</v>
      </c>
      <c r="P1200" t="s">
        <v>40</v>
      </c>
    </row>
    <row r="1201" spans="1:16" hidden="1" x14ac:dyDescent="0.25">
      <c r="A1201" s="12">
        <v>46072.958333333336</v>
      </c>
      <c r="B1201" t="s">
        <v>9</v>
      </c>
      <c r="C1201" t="s">
        <v>24</v>
      </c>
      <c r="D1201">
        <v>6</v>
      </c>
      <c r="E1201">
        <v>20</v>
      </c>
      <c r="F1201">
        <v>24.373654990905681</v>
      </c>
      <c r="G1201" t="str">
        <f>FLOOR(FinalData[[#This Row],[Temperature_C]],2)&amp;"–"&amp;(FLOOR(FinalData[[#This Row],[Temperature_C]],2)+2)&amp;"°C"</f>
        <v>24–26°C</v>
      </c>
      <c r="H1201">
        <v>2.54</v>
      </c>
      <c r="I1201">
        <v>2026</v>
      </c>
      <c r="J1201">
        <v>2</v>
      </c>
      <c r="K1201">
        <v>19</v>
      </c>
      <c r="L1201">
        <v>4</v>
      </c>
      <c r="M1201">
        <v>23</v>
      </c>
      <c r="N1201">
        <v>0.3</v>
      </c>
      <c r="O1201">
        <v>0.42333333333333334</v>
      </c>
      <c r="P1201" t="s">
        <v>40</v>
      </c>
    </row>
    <row r="1202" spans="1:16" hidden="1" x14ac:dyDescent="0.25">
      <c r="A1202" s="12">
        <v>46073</v>
      </c>
      <c r="B1202" t="s">
        <v>9</v>
      </c>
      <c r="C1202" t="s">
        <v>30</v>
      </c>
      <c r="D1202">
        <v>8</v>
      </c>
      <c r="E1202">
        <v>20</v>
      </c>
      <c r="F1202">
        <v>25.13020573746407</v>
      </c>
      <c r="G1202" t="str">
        <f>FLOOR(FinalData[[#This Row],[Temperature_C]],2)&amp;"–"&amp;(FLOOR(FinalData[[#This Row],[Temperature_C]],2)+2)&amp;"°C"</f>
        <v>24–26°C</v>
      </c>
      <c r="H1202">
        <v>3.45</v>
      </c>
      <c r="I1202">
        <v>2026</v>
      </c>
      <c r="J1202">
        <v>2</v>
      </c>
      <c r="K1202">
        <v>20</v>
      </c>
      <c r="L1202">
        <v>5</v>
      </c>
      <c r="M1202">
        <v>0</v>
      </c>
      <c r="N1202">
        <v>0.4</v>
      </c>
      <c r="O1202">
        <v>0.43125000000000002</v>
      </c>
      <c r="P1202" t="s">
        <v>40</v>
      </c>
    </row>
    <row r="1203" spans="1:16" hidden="1" x14ac:dyDescent="0.25">
      <c r="A1203" s="12">
        <v>46073.041666666664</v>
      </c>
      <c r="B1203" t="s">
        <v>9</v>
      </c>
      <c r="C1203" t="s">
        <v>16</v>
      </c>
      <c r="D1203">
        <v>8</v>
      </c>
      <c r="E1203">
        <v>30</v>
      </c>
      <c r="F1203">
        <v>18.692823774110899</v>
      </c>
      <c r="G1203" t="str">
        <f>FLOOR(FinalData[[#This Row],[Temperature_C]],2)&amp;"–"&amp;(FLOOR(FinalData[[#This Row],[Temperature_C]],2)+2)&amp;"°C"</f>
        <v>18–20°C</v>
      </c>
      <c r="H1203">
        <v>3.36</v>
      </c>
      <c r="I1203">
        <v>2026</v>
      </c>
      <c r="J1203">
        <v>2</v>
      </c>
      <c r="K1203">
        <v>20</v>
      </c>
      <c r="L1203">
        <v>5</v>
      </c>
      <c r="M1203">
        <v>1</v>
      </c>
      <c r="N1203">
        <v>0.26666666666666666</v>
      </c>
      <c r="O1203">
        <v>0.42</v>
      </c>
      <c r="P1203" t="s">
        <v>40</v>
      </c>
    </row>
    <row r="1204" spans="1:16" hidden="1" x14ac:dyDescent="0.25">
      <c r="A1204" s="12">
        <v>46073.083333333336</v>
      </c>
      <c r="B1204" t="s">
        <v>7</v>
      </c>
      <c r="C1204" t="s">
        <v>29</v>
      </c>
      <c r="D1204">
        <v>9</v>
      </c>
      <c r="E1204">
        <v>25</v>
      </c>
      <c r="F1204">
        <v>24.270491073207911</v>
      </c>
      <c r="G1204" t="str">
        <f>FLOOR(FinalData[[#This Row],[Temperature_C]],2)&amp;"–"&amp;(FLOOR(FinalData[[#This Row],[Temperature_C]],2)+2)&amp;"°C"</f>
        <v>24–26°C</v>
      </c>
      <c r="H1204">
        <v>3.08</v>
      </c>
      <c r="I1204">
        <v>2026</v>
      </c>
      <c r="J1204">
        <v>2</v>
      </c>
      <c r="K1204">
        <v>20</v>
      </c>
      <c r="L1204">
        <v>5</v>
      </c>
      <c r="M1204">
        <v>2</v>
      </c>
      <c r="N1204">
        <v>0.36</v>
      </c>
      <c r="O1204">
        <v>0.34222222222222221</v>
      </c>
      <c r="P1204" t="s">
        <v>40</v>
      </c>
    </row>
    <row r="1205" spans="1:16" hidden="1" x14ac:dyDescent="0.25">
      <c r="A1205" s="12">
        <v>46073.125</v>
      </c>
      <c r="B1205" t="s">
        <v>18</v>
      </c>
      <c r="C1205" t="s">
        <v>15</v>
      </c>
      <c r="D1205">
        <v>10</v>
      </c>
      <c r="E1205">
        <v>30</v>
      </c>
      <c r="F1205">
        <v>23.89432682617144</v>
      </c>
      <c r="G1205" t="str">
        <f>FLOOR(FinalData[[#This Row],[Temperature_C]],2)&amp;"–"&amp;(FLOOR(FinalData[[#This Row],[Temperature_C]],2)+2)&amp;"°C"</f>
        <v>22–24°C</v>
      </c>
      <c r="H1205">
        <v>3.94</v>
      </c>
      <c r="I1205">
        <v>2026</v>
      </c>
      <c r="J1205">
        <v>2</v>
      </c>
      <c r="K1205">
        <v>20</v>
      </c>
      <c r="L1205">
        <v>5</v>
      </c>
      <c r="M1205">
        <v>3</v>
      </c>
      <c r="N1205">
        <v>0.33333333333333331</v>
      </c>
      <c r="O1205">
        <v>0.39400000000000002</v>
      </c>
      <c r="P1205" t="s">
        <v>40</v>
      </c>
    </row>
    <row r="1206" spans="1:16" hidden="1" x14ac:dyDescent="0.25">
      <c r="A1206" s="12">
        <v>46073.166666666664</v>
      </c>
      <c r="B1206" t="s">
        <v>7</v>
      </c>
      <c r="C1206" t="s">
        <v>21</v>
      </c>
      <c r="D1206">
        <v>8</v>
      </c>
      <c r="E1206">
        <v>40</v>
      </c>
      <c r="F1206">
        <v>24.888429680503631</v>
      </c>
      <c r="G1206" t="str">
        <f>FLOOR(FinalData[[#This Row],[Temperature_C]],2)&amp;"–"&amp;(FLOOR(FinalData[[#This Row],[Temperature_C]],2)+2)&amp;"°C"</f>
        <v>24–26°C</v>
      </c>
      <c r="H1206">
        <v>3.29</v>
      </c>
      <c r="I1206">
        <v>2026</v>
      </c>
      <c r="J1206">
        <v>2</v>
      </c>
      <c r="K1206">
        <v>20</v>
      </c>
      <c r="L1206">
        <v>5</v>
      </c>
      <c r="M1206">
        <v>4</v>
      </c>
      <c r="N1206">
        <v>0.2</v>
      </c>
      <c r="O1206">
        <v>0.41125</v>
      </c>
      <c r="P1206" t="s">
        <v>40</v>
      </c>
    </row>
    <row r="1207" spans="1:16" hidden="1" x14ac:dyDescent="0.25">
      <c r="A1207" s="12">
        <v>46073.208333333336</v>
      </c>
      <c r="B1207" t="s">
        <v>13</v>
      </c>
      <c r="C1207" t="s">
        <v>26</v>
      </c>
      <c r="D1207">
        <v>8</v>
      </c>
      <c r="E1207">
        <v>25</v>
      </c>
      <c r="F1207">
        <v>23.365231567330792</v>
      </c>
      <c r="G1207" t="str">
        <f>FLOOR(FinalData[[#This Row],[Temperature_C]],2)&amp;"–"&amp;(FLOOR(FinalData[[#This Row],[Temperature_C]],2)+2)&amp;"°C"</f>
        <v>22–24°C</v>
      </c>
      <c r="H1207">
        <v>2.67</v>
      </c>
      <c r="I1207">
        <v>2026</v>
      </c>
      <c r="J1207">
        <v>2</v>
      </c>
      <c r="K1207">
        <v>20</v>
      </c>
      <c r="L1207">
        <v>5</v>
      </c>
      <c r="M1207">
        <v>5</v>
      </c>
      <c r="N1207">
        <v>0.32</v>
      </c>
      <c r="O1207">
        <v>0.33374999999999999</v>
      </c>
      <c r="P1207" t="s">
        <v>40</v>
      </c>
    </row>
    <row r="1208" spans="1:16" hidden="1" x14ac:dyDescent="0.25">
      <c r="A1208" s="12">
        <v>46073.25</v>
      </c>
      <c r="B1208" t="s">
        <v>11</v>
      </c>
      <c r="C1208" t="s">
        <v>20</v>
      </c>
      <c r="D1208">
        <v>2</v>
      </c>
      <c r="E1208">
        <v>40</v>
      </c>
      <c r="F1208">
        <v>23.650503351708689</v>
      </c>
      <c r="G1208" t="str">
        <f>FLOOR(FinalData[[#This Row],[Temperature_C]],2)&amp;"–"&amp;(FLOOR(FinalData[[#This Row],[Temperature_C]],2)+2)&amp;"°C"</f>
        <v>22–24°C</v>
      </c>
      <c r="H1208">
        <v>1.9</v>
      </c>
      <c r="I1208">
        <v>2026</v>
      </c>
      <c r="J1208">
        <v>2</v>
      </c>
      <c r="K1208">
        <v>20</v>
      </c>
      <c r="L1208">
        <v>5</v>
      </c>
      <c r="M1208">
        <v>6</v>
      </c>
      <c r="N1208">
        <v>0.05</v>
      </c>
      <c r="O1208">
        <v>0.95</v>
      </c>
      <c r="P1208" t="s">
        <v>40</v>
      </c>
    </row>
    <row r="1209" spans="1:16" hidden="1" x14ac:dyDescent="0.25">
      <c r="A1209" s="12">
        <v>46073.291666666664</v>
      </c>
      <c r="B1209" t="s">
        <v>9</v>
      </c>
      <c r="C1209" t="s">
        <v>12</v>
      </c>
      <c r="D1209">
        <v>10</v>
      </c>
      <c r="E1209">
        <v>40</v>
      </c>
      <c r="F1209">
        <v>22.02268920677653</v>
      </c>
      <c r="G1209" t="str">
        <f>FLOOR(FinalData[[#This Row],[Temperature_C]],2)&amp;"–"&amp;(FLOOR(FinalData[[#This Row],[Temperature_C]],2)+2)&amp;"°C"</f>
        <v>22–24°C</v>
      </c>
      <c r="H1209">
        <v>3.22</v>
      </c>
      <c r="I1209">
        <v>2026</v>
      </c>
      <c r="J1209">
        <v>2</v>
      </c>
      <c r="K1209">
        <v>20</v>
      </c>
      <c r="L1209">
        <v>5</v>
      </c>
      <c r="M1209">
        <v>7</v>
      </c>
      <c r="N1209">
        <v>0.25</v>
      </c>
      <c r="O1209">
        <v>0.32200000000000001</v>
      </c>
      <c r="P1209" t="s">
        <v>41</v>
      </c>
    </row>
    <row r="1210" spans="1:16" hidden="1" x14ac:dyDescent="0.25">
      <c r="A1210" s="12">
        <v>46073.333333333336</v>
      </c>
      <c r="B1210" t="s">
        <v>13</v>
      </c>
      <c r="C1210" t="s">
        <v>12</v>
      </c>
      <c r="D1210">
        <v>12</v>
      </c>
      <c r="E1210">
        <v>40</v>
      </c>
      <c r="F1210">
        <v>22.651112131429439</v>
      </c>
      <c r="G1210" t="str">
        <f>FLOOR(FinalData[[#This Row],[Temperature_C]],2)&amp;"–"&amp;(FLOOR(FinalData[[#This Row],[Temperature_C]],2)+2)&amp;"°C"</f>
        <v>22–24°C</v>
      </c>
      <c r="H1210">
        <v>3.67</v>
      </c>
      <c r="I1210">
        <v>2026</v>
      </c>
      <c r="J1210">
        <v>2</v>
      </c>
      <c r="K1210">
        <v>20</v>
      </c>
      <c r="L1210">
        <v>5</v>
      </c>
      <c r="M1210">
        <v>8</v>
      </c>
      <c r="N1210">
        <v>0.3</v>
      </c>
      <c r="O1210">
        <v>0.30583333333333335</v>
      </c>
      <c r="P1210" t="s">
        <v>41</v>
      </c>
    </row>
    <row r="1211" spans="1:16" hidden="1" x14ac:dyDescent="0.25">
      <c r="A1211" s="12">
        <v>46073.375</v>
      </c>
      <c r="B1211" t="s">
        <v>7</v>
      </c>
      <c r="C1211" t="s">
        <v>26</v>
      </c>
      <c r="D1211">
        <v>11</v>
      </c>
      <c r="E1211">
        <v>30</v>
      </c>
      <c r="F1211">
        <v>23.433439284245761</v>
      </c>
      <c r="G1211" t="str">
        <f>FLOOR(FinalData[[#This Row],[Temperature_C]],2)&amp;"–"&amp;(FLOOR(FinalData[[#This Row],[Temperature_C]],2)+2)&amp;"°C"</f>
        <v>22–24°C</v>
      </c>
      <c r="H1211">
        <v>3.34</v>
      </c>
      <c r="I1211">
        <v>2026</v>
      </c>
      <c r="J1211">
        <v>2</v>
      </c>
      <c r="K1211">
        <v>20</v>
      </c>
      <c r="L1211">
        <v>5</v>
      </c>
      <c r="M1211">
        <v>9</v>
      </c>
      <c r="N1211">
        <v>0.36666666666666664</v>
      </c>
      <c r="O1211">
        <v>0.30363636363636365</v>
      </c>
      <c r="P1211" t="s">
        <v>41</v>
      </c>
    </row>
    <row r="1212" spans="1:16" hidden="1" x14ac:dyDescent="0.25">
      <c r="A1212" s="12">
        <v>46073.416666666664</v>
      </c>
      <c r="B1212" t="s">
        <v>7</v>
      </c>
      <c r="C1212" t="s">
        <v>19</v>
      </c>
      <c r="D1212">
        <v>6</v>
      </c>
      <c r="E1212">
        <v>20</v>
      </c>
      <c r="F1212">
        <v>22.536151995772759</v>
      </c>
      <c r="G1212" t="str">
        <f>FLOOR(FinalData[[#This Row],[Temperature_C]],2)&amp;"–"&amp;(FLOOR(FinalData[[#This Row],[Temperature_C]],2)+2)&amp;"°C"</f>
        <v>22–24°C</v>
      </c>
      <c r="H1212">
        <v>2.33</v>
      </c>
      <c r="I1212">
        <v>2026</v>
      </c>
      <c r="J1212">
        <v>2</v>
      </c>
      <c r="K1212">
        <v>20</v>
      </c>
      <c r="L1212">
        <v>5</v>
      </c>
      <c r="M1212">
        <v>10</v>
      </c>
      <c r="N1212">
        <v>0.3</v>
      </c>
      <c r="O1212">
        <v>0.38833333333333336</v>
      </c>
      <c r="P1212" t="s">
        <v>41</v>
      </c>
    </row>
    <row r="1213" spans="1:16" hidden="1" x14ac:dyDescent="0.25">
      <c r="A1213" s="12">
        <v>46073.458333333336</v>
      </c>
      <c r="B1213" t="s">
        <v>9</v>
      </c>
      <c r="C1213" t="s">
        <v>21</v>
      </c>
      <c r="D1213">
        <v>5</v>
      </c>
      <c r="E1213">
        <v>20</v>
      </c>
      <c r="F1213">
        <v>21.732013073486971</v>
      </c>
      <c r="G1213" t="str">
        <f>FLOOR(FinalData[[#This Row],[Temperature_C]],2)&amp;"–"&amp;(FLOOR(FinalData[[#This Row],[Temperature_C]],2)+2)&amp;"°C"</f>
        <v>20–22°C</v>
      </c>
      <c r="H1213">
        <v>1.98</v>
      </c>
      <c r="I1213">
        <v>2026</v>
      </c>
      <c r="J1213">
        <v>2</v>
      </c>
      <c r="K1213">
        <v>20</v>
      </c>
      <c r="L1213">
        <v>5</v>
      </c>
      <c r="M1213">
        <v>11</v>
      </c>
      <c r="N1213">
        <v>0.25</v>
      </c>
      <c r="O1213">
        <v>0.39600000000000002</v>
      </c>
      <c r="P1213" t="s">
        <v>41</v>
      </c>
    </row>
    <row r="1214" spans="1:16" hidden="1" x14ac:dyDescent="0.25">
      <c r="A1214" s="12">
        <v>46073.5</v>
      </c>
      <c r="B1214" t="s">
        <v>9</v>
      </c>
      <c r="C1214" t="s">
        <v>17</v>
      </c>
      <c r="D1214">
        <v>4</v>
      </c>
      <c r="E1214">
        <v>20</v>
      </c>
      <c r="F1214">
        <v>22.550640196740261</v>
      </c>
      <c r="G1214" t="str">
        <f>FLOOR(FinalData[[#This Row],[Temperature_C]],2)&amp;"–"&amp;(FLOOR(FinalData[[#This Row],[Temperature_C]],2)+2)&amp;"°C"</f>
        <v>22–24°C</v>
      </c>
      <c r="H1214">
        <v>2.21</v>
      </c>
      <c r="I1214">
        <v>2026</v>
      </c>
      <c r="J1214">
        <v>2</v>
      </c>
      <c r="K1214">
        <v>20</v>
      </c>
      <c r="L1214">
        <v>5</v>
      </c>
      <c r="M1214">
        <v>12</v>
      </c>
      <c r="N1214">
        <v>0.2</v>
      </c>
      <c r="O1214">
        <v>0.55249999999999999</v>
      </c>
      <c r="P1214" t="s">
        <v>42</v>
      </c>
    </row>
    <row r="1215" spans="1:16" hidden="1" x14ac:dyDescent="0.25">
      <c r="A1215" s="12">
        <v>46073.541666666664</v>
      </c>
      <c r="B1215" t="s">
        <v>11</v>
      </c>
      <c r="C1215" t="s">
        <v>17</v>
      </c>
      <c r="D1215">
        <v>7</v>
      </c>
      <c r="E1215">
        <v>25</v>
      </c>
      <c r="F1215">
        <v>25.88868682395989</v>
      </c>
      <c r="G1215" t="str">
        <f>FLOOR(FinalData[[#This Row],[Temperature_C]],2)&amp;"–"&amp;(FLOOR(FinalData[[#This Row],[Temperature_C]],2)+2)&amp;"°C"</f>
        <v>24–26°C</v>
      </c>
      <c r="H1215">
        <v>2.63</v>
      </c>
      <c r="I1215">
        <v>2026</v>
      </c>
      <c r="J1215">
        <v>2</v>
      </c>
      <c r="K1215">
        <v>20</v>
      </c>
      <c r="L1215">
        <v>5</v>
      </c>
      <c r="M1215">
        <v>13</v>
      </c>
      <c r="N1215">
        <v>0.28000000000000003</v>
      </c>
      <c r="O1215">
        <v>0.37571428571428572</v>
      </c>
      <c r="P1215" t="s">
        <v>42</v>
      </c>
    </row>
    <row r="1216" spans="1:16" hidden="1" x14ac:dyDescent="0.25">
      <c r="A1216" s="12">
        <v>46073.583333333336</v>
      </c>
      <c r="B1216" t="s">
        <v>7</v>
      </c>
      <c r="C1216" t="s">
        <v>29</v>
      </c>
      <c r="D1216">
        <v>9</v>
      </c>
      <c r="E1216">
        <v>30</v>
      </c>
      <c r="F1216">
        <v>21.856142907603139</v>
      </c>
      <c r="G1216" t="str">
        <f>FLOOR(FinalData[[#This Row],[Temperature_C]],2)&amp;"–"&amp;(FLOOR(FinalData[[#This Row],[Temperature_C]],2)+2)&amp;"°C"</f>
        <v>20–22°C</v>
      </c>
      <c r="H1216">
        <v>3.32</v>
      </c>
      <c r="I1216">
        <v>2026</v>
      </c>
      <c r="J1216">
        <v>2</v>
      </c>
      <c r="K1216">
        <v>20</v>
      </c>
      <c r="L1216">
        <v>5</v>
      </c>
      <c r="M1216">
        <v>14</v>
      </c>
      <c r="N1216">
        <v>0.3</v>
      </c>
      <c r="O1216">
        <v>0.36888888888888888</v>
      </c>
      <c r="P1216" t="s">
        <v>42</v>
      </c>
    </row>
    <row r="1217" spans="1:16" hidden="1" x14ac:dyDescent="0.25">
      <c r="A1217" s="12">
        <v>46073.625</v>
      </c>
      <c r="B1217" t="s">
        <v>9</v>
      </c>
      <c r="C1217" t="s">
        <v>25</v>
      </c>
      <c r="D1217">
        <v>5</v>
      </c>
      <c r="E1217">
        <v>30</v>
      </c>
      <c r="F1217">
        <v>25.542060198862281</v>
      </c>
      <c r="G1217" t="str">
        <f>FLOOR(FinalData[[#This Row],[Temperature_C]],2)&amp;"–"&amp;(FLOOR(FinalData[[#This Row],[Temperature_C]],2)+2)&amp;"°C"</f>
        <v>24–26°C</v>
      </c>
      <c r="H1217">
        <v>2.48</v>
      </c>
      <c r="I1217">
        <v>2026</v>
      </c>
      <c r="J1217">
        <v>2</v>
      </c>
      <c r="K1217">
        <v>20</v>
      </c>
      <c r="L1217">
        <v>5</v>
      </c>
      <c r="M1217">
        <v>15</v>
      </c>
      <c r="N1217">
        <v>0.16666666666666666</v>
      </c>
      <c r="O1217">
        <v>0.496</v>
      </c>
      <c r="P1217" t="s">
        <v>42</v>
      </c>
    </row>
    <row r="1218" spans="1:16" hidden="1" x14ac:dyDescent="0.25">
      <c r="A1218" s="12">
        <v>46073.666666666664</v>
      </c>
      <c r="B1218" t="s">
        <v>13</v>
      </c>
      <c r="C1218" t="s">
        <v>8</v>
      </c>
      <c r="D1218">
        <v>8</v>
      </c>
      <c r="E1218">
        <v>30</v>
      </c>
      <c r="F1218">
        <v>23.754459173189691</v>
      </c>
      <c r="G1218" t="str">
        <f>FLOOR(FinalData[[#This Row],[Temperature_C]],2)&amp;"–"&amp;(FLOOR(FinalData[[#This Row],[Temperature_C]],2)+2)&amp;"°C"</f>
        <v>22–24°C</v>
      </c>
      <c r="H1218">
        <v>2.75</v>
      </c>
      <c r="I1218">
        <v>2026</v>
      </c>
      <c r="J1218">
        <v>2</v>
      </c>
      <c r="K1218">
        <v>20</v>
      </c>
      <c r="L1218">
        <v>5</v>
      </c>
      <c r="M1218">
        <v>16</v>
      </c>
      <c r="N1218">
        <v>0.26666666666666666</v>
      </c>
      <c r="O1218">
        <v>0.34375</v>
      </c>
      <c r="P1218" t="s">
        <v>42</v>
      </c>
    </row>
    <row r="1219" spans="1:16" hidden="1" x14ac:dyDescent="0.25">
      <c r="A1219" s="12">
        <v>46073.708333333336</v>
      </c>
      <c r="B1219" t="s">
        <v>9</v>
      </c>
      <c r="C1219" t="s">
        <v>23</v>
      </c>
      <c r="D1219">
        <v>4</v>
      </c>
      <c r="E1219">
        <v>25</v>
      </c>
      <c r="F1219">
        <v>20.645936737093859</v>
      </c>
      <c r="G1219" t="str">
        <f>FLOOR(FinalData[[#This Row],[Temperature_C]],2)&amp;"–"&amp;(FLOOR(FinalData[[#This Row],[Temperature_C]],2)+2)&amp;"°C"</f>
        <v>20–22°C</v>
      </c>
      <c r="H1219">
        <v>2.4700000000000002</v>
      </c>
      <c r="I1219">
        <v>2026</v>
      </c>
      <c r="J1219">
        <v>2</v>
      </c>
      <c r="K1219">
        <v>20</v>
      </c>
      <c r="L1219">
        <v>5</v>
      </c>
      <c r="M1219">
        <v>17</v>
      </c>
      <c r="N1219">
        <v>0.16</v>
      </c>
      <c r="O1219">
        <v>0.61750000000000005</v>
      </c>
      <c r="P1219" t="s">
        <v>43</v>
      </c>
    </row>
    <row r="1220" spans="1:16" hidden="1" x14ac:dyDescent="0.25">
      <c r="A1220" s="12">
        <v>46073.75</v>
      </c>
      <c r="B1220" t="s">
        <v>13</v>
      </c>
      <c r="C1220" t="s">
        <v>10</v>
      </c>
      <c r="D1220">
        <v>17</v>
      </c>
      <c r="E1220">
        <v>40</v>
      </c>
      <c r="F1220">
        <v>20.38580331120173</v>
      </c>
      <c r="G1220" t="str">
        <f>FLOOR(FinalData[[#This Row],[Temperature_C]],2)&amp;"–"&amp;(FLOOR(FinalData[[#This Row],[Temperature_C]],2)+2)&amp;"°C"</f>
        <v>20–22°C</v>
      </c>
      <c r="H1220">
        <v>5.35</v>
      </c>
      <c r="I1220">
        <v>2026</v>
      </c>
      <c r="J1220">
        <v>2</v>
      </c>
      <c r="K1220">
        <v>20</v>
      </c>
      <c r="L1220">
        <v>5</v>
      </c>
      <c r="M1220">
        <v>18</v>
      </c>
      <c r="N1220">
        <v>0.42499999999999999</v>
      </c>
      <c r="O1220">
        <v>0.31470588235294117</v>
      </c>
      <c r="P1220" t="s">
        <v>43</v>
      </c>
    </row>
    <row r="1221" spans="1:16" hidden="1" x14ac:dyDescent="0.25">
      <c r="A1221" s="12">
        <v>46073.791666666664</v>
      </c>
      <c r="B1221" t="s">
        <v>9</v>
      </c>
      <c r="C1221" t="s">
        <v>29</v>
      </c>
      <c r="D1221">
        <v>8</v>
      </c>
      <c r="E1221">
        <v>40</v>
      </c>
      <c r="F1221">
        <v>21.795427290663181</v>
      </c>
      <c r="G1221" t="str">
        <f>FLOOR(FinalData[[#This Row],[Temperature_C]],2)&amp;"–"&amp;(FLOOR(FinalData[[#This Row],[Temperature_C]],2)+2)&amp;"°C"</f>
        <v>20–22°C</v>
      </c>
      <c r="H1221">
        <v>2.67</v>
      </c>
      <c r="I1221">
        <v>2026</v>
      </c>
      <c r="J1221">
        <v>2</v>
      </c>
      <c r="K1221">
        <v>20</v>
      </c>
      <c r="L1221">
        <v>5</v>
      </c>
      <c r="M1221">
        <v>19</v>
      </c>
      <c r="N1221">
        <v>0.2</v>
      </c>
      <c r="O1221">
        <v>0.33374999999999999</v>
      </c>
      <c r="P1221" t="s">
        <v>43</v>
      </c>
    </row>
    <row r="1222" spans="1:16" hidden="1" x14ac:dyDescent="0.25">
      <c r="A1222" s="12">
        <v>46073.833333333336</v>
      </c>
      <c r="B1222" t="s">
        <v>9</v>
      </c>
      <c r="C1222" t="s">
        <v>21</v>
      </c>
      <c r="D1222">
        <v>7</v>
      </c>
      <c r="E1222">
        <v>40</v>
      </c>
      <c r="F1222">
        <v>23.975044117391359</v>
      </c>
      <c r="G1222" t="str">
        <f>FLOOR(FinalData[[#This Row],[Temperature_C]],2)&amp;"–"&amp;(FLOOR(FinalData[[#This Row],[Temperature_C]],2)+2)&amp;"°C"</f>
        <v>22–24°C</v>
      </c>
      <c r="H1222">
        <v>3.36</v>
      </c>
      <c r="I1222">
        <v>2026</v>
      </c>
      <c r="J1222">
        <v>2</v>
      </c>
      <c r="K1222">
        <v>20</v>
      </c>
      <c r="L1222">
        <v>5</v>
      </c>
      <c r="M1222">
        <v>20</v>
      </c>
      <c r="N1222">
        <v>0.17499999999999999</v>
      </c>
      <c r="O1222">
        <v>0.48</v>
      </c>
      <c r="P1222" t="s">
        <v>43</v>
      </c>
    </row>
    <row r="1223" spans="1:16" hidden="1" x14ac:dyDescent="0.25">
      <c r="A1223" s="12">
        <v>46073.875</v>
      </c>
      <c r="B1223" t="s">
        <v>7</v>
      </c>
      <c r="C1223" t="s">
        <v>24</v>
      </c>
      <c r="D1223">
        <v>12</v>
      </c>
      <c r="E1223">
        <v>25</v>
      </c>
      <c r="F1223">
        <v>23.725086182185919</v>
      </c>
      <c r="G1223" t="str">
        <f>FLOOR(FinalData[[#This Row],[Temperature_C]],2)&amp;"–"&amp;(FLOOR(FinalData[[#This Row],[Temperature_C]],2)+2)&amp;"°C"</f>
        <v>22–24°C</v>
      </c>
      <c r="H1223">
        <v>4.41</v>
      </c>
      <c r="I1223">
        <v>2026</v>
      </c>
      <c r="J1223">
        <v>2</v>
      </c>
      <c r="K1223">
        <v>20</v>
      </c>
      <c r="L1223">
        <v>5</v>
      </c>
      <c r="M1223">
        <v>21</v>
      </c>
      <c r="N1223">
        <v>0.48</v>
      </c>
      <c r="O1223">
        <v>0.36749999999999999</v>
      </c>
      <c r="P1223" t="s">
        <v>40</v>
      </c>
    </row>
    <row r="1224" spans="1:16" hidden="1" x14ac:dyDescent="0.25">
      <c r="A1224" s="12">
        <v>46073.916666666664</v>
      </c>
      <c r="B1224" t="s">
        <v>18</v>
      </c>
      <c r="C1224" t="s">
        <v>25</v>
      </c>
      <c r="D1224">
        <v>5</v>
      </c>
      <c r="E1224">
        <v>25</v>
      </c>
      <c r="F1224">
        <v>20.669116947557889</v>
      </c>
      <c r="G1224" t="str">
        <f>FLOOR(FinalData[[#This Row],[Temperature_C]],2)&amp;"–"&amp;(FLOOR(FinalData[[#This Row],[Temperature_C]],2)+2)&amp;"°C"</f>
        <v>20–22°C</v>
      </c>
      <c r="H1224">
        <v>2.69</v>
      </c>
      <c r="I1224">
        <v>2026</v>
      </c>
      <c r="J1224">
        <v>2</v>
      </c>
      <c r="K1224">
        <v>20</v>
      </c>
      <c r="L1224">
        <v>5</v>
      </c>
      <c r="M1224">
        <v>22</v>
      </c>
      <c r="N1224">
        <v>0.2</v>
      </c>
      <c r="O1224">
        <v>0.53800000000000003</v>
      </c>
      <c r="P1224" t="s">
        <v>40</v>
      </c>
    </row>
    <row r="1225" spans="1:16" hidden="1" x14ac:dyDescent="0.25">
      <c r="A1225" s="12">
        <v>46073.958333333336</v>
      </c>
      <c r="B1225" t="s">
        <v>11</v>
      </c>
      <c r="C1225" t="s">
        <v>27</v>
      </c>
      <c r="D1225">
        <v>8</v>
      </c>
      <c r="E1225">
        <v>30</v>
      </c>
      <c r="F1225">
        <v>19.954091056087101</v>
      </c>
      <c r="G1225" t="str">
        <f>FLOOR(FinalData[[#This Row],[Temperature_C]],2)&amp;"–"&amp;(FLOOR(FinalData[[#This Row],[Temperature_C]],2)+2)&amp;"°C"</f>
        <v>18–20°C</v>
      </c>
      <c r="H1225">
        <v>2.52</v>
      </c>
      <c r="I1225">
        <v>2026</v>
      </c>
      <c r="J1225">
        <v>2</v>
      </c>
      <c r="K1225">
        <v>20</v>
      </c>
      <c r="L1225">
        <v>5</v>
      </c>
      <c r="M1225">
        <v>23</v>
      </c>
      <c r="N1225">
        <v>0.26666666666666666</v>
      </c>
      <c r="O1225">
        <v>0.315</v>
      </c>
      <c r="P1225" t="s">
        <v>40</v>
      </c>
    </row>
    <row r="1226" spans="1:16" hidden="1" x14ac:dyDescent="0.25">
      <c r="A1226" s="12">
        <v>46074</v>
      </c>
      <c r="B1226" t="s">
        <v>13</v>
      </c>
      <c r="C1226" t="s">
        <v>21</v>
      </c>
      <c r="D1226">
        <v>7</v>
      </c>
      <c r="E1226">
        <v>40</v>
      </c>
      <c r="F1226">
        <v>23.669967110995849</v>
      </c>
      <c r="G1226" t="str">
        <f>FLOOR(FinalData[[#This Row],[Temperature_C]],2)&amp;"–"&amp;(FLOOR(FinalData[[#This Row],[Temperature_C]],2)+2)&amp;"°C"</f>
        <v>22–24°C</v>
      </c>
      <c r="H1226">
        <v>3.35</v>
      </c>
      <c r="I1226">
        <v>2026</v>
      </c>
      <c r="J1226">
        <v>2</v>
      </c>
      <c r="K1226">
        <v>21</v>
      </c>
      <c r="L1226">
        <v>6</v>
      </c>
      <c r="M1226">
        <v>0</v>
      </c>
      <c r="N1226">
        <v>0.17499999999999999</v>
      </c>
      <c r="O1226">
        <v>0.47857142857142859</v>
      </c>
      <c r="P1226" t="s">
        <v>40</v>
      </c>
    </row>
    <row r="1227" spans="1:16" hidden="1" x14ac:dyDescent="0.25">
      <c r="A1227" s="12">
        <v>46074.041666666664</v>
      </c>
      <c r="B1227" t="s">
        <v>13</v>
      </c>
      <c r="C1227" t="s">
        <v>23</v>
      </c>
      <c r="D1227">
        <v>9</v>
      </c>
      <c r="E1227">
        <v>25</v>
      </c>
      <c r="F1227">
        <v>24.035455817380161</v>
      </c>
      <c r="G1227" t="str">
        <f>FLOOR(FinalData[[#This Row],[Temperature_C]],2)&amp;"–"&amp;(FLOOR(FinalData[[#This Row],[Temperature_C]],2)+2)&amp;"°C"</f>
        <v>24–26°C</v>
      </c>
      <c r="H1227">
        <v>3.16</v>
      </c>
      <c r="I1227">
        <v>2026</v>
      </c>
      <c r="J1227">
        <v>2</v>
      </c>
      <c r="K1227">
        <v>21</v>
      </c>
      <c r="L1227">
        <v>6</v>
      </c>
      <c r="M1227">
        <v>1</v>
      </c>
      <c r="N1227">
        <v>0.36</v>
      </c>
      <c r="O1227">
        <v>0.35111111111111115</v>
      </c>
      <c r="P1227" t="s">
        <v>40</v>
      </c>
    </row>
    <row r="1228" spans="1:16" hidden="1" x14ac:dyDescent="0.25">
      <c r="A1228" s="12">
        <v>46074.083333333336</v>
      </c>
      <c r="B1228" t="s">
        <v>18</v>
      </c>
      <c r="C1228" t="s">
        <v>31</v>
      </c>
      <c r="D1228">
        <v>6</v>
      </c>
      <c r="E1228">
        <v>25</v>
      </c>
      <c r="F1228">
        <v>22.276566024365469</v>
      </c>
      <c r="G1228" t="str">
        <f>FLOOR(FinalData[[#This Row],[Temperature_C]],2)&amp;"–"&amp;(FLOOR(FinalData[[#This Row],[Temperature_C]],2)+2)&amp;"°C"</f>
        <v>22–24°C</v>
      </c>
      <c r="H1228">
        <v>2.4</v>
      </c>
      <c r="I1228">
        <v>2026</v>
      </c>
      <c r="J1228">
        <v>2</v>
      </c>
      <c r="K1228">
        <v>21</v>
      </c>
      <c r="L1228">
        <v>6</v>
      </c>
      <c r="M1228">
        <v>2</v>
      </c>
      <c r="N1228">
        <v>0.24</v>
      </c>
      <c r="O1228">
        <v>0.39999999999999997</v>
      </c>
      <c r="P1228" t="s">
        <v>40</v>
      </c>
    </row>
    <row r="1229" spans="1:16" hidden="1" x14ac:dyDescent="0.25">
      <c r="A1229" s="12">
        <v>46074.125</v>
      </c>
      <c r="B1229" t="s">
        <v>11</v>
      </c>
      <c r="C1229" t="s">
        <v>20</v>
      </c>
      <c r="D1229">
        <v>7</v>
      </c>
      <c r="E1229">
        <v>30</v>
      </c>
      <c r="F1229">
        <v>25.006731785458289</v>
      </c>
      <c r="G1229" t="str">
        <f>FLOOR(FinalData[[#This Row],[Temperature_C]],2)&amp;"–"&amp;(FLOOR(FinalData[[#This Row],[Temperature_C]],2)+2)&amp;"°C"</f>
        <v>24–26°C</v>
      </c>
      <c r="H1229">
        <v>3.17</v>
      </c>
      <c r="I1229">
        <v>2026</v>
      </c>
      <c r="J1229">
        <v>2</v>
      </c>
      <c r="K1229">
        <v>21</v>
      </c>
      <c r="L1229">
        <v>6</v>
      </c>
      <c r="M1229">
        <v>3</v>
      </c>
      <c r="N1229">
        <v>0.23333333333333334</v>
      </c>
      <c r="O1229">
        <v>0.45285714285714285</v>
      </c>
      <c r="P1229" t="s">
        <v>40</v>
      </c>
    </row>
    <row r="1230" spans="1:16" hidden="1" x14ac:dyDescent="0.25">
      <c r="A1230" s="12">
        <v>46074.166666666664</v>
      </c>
      <c r="B1230" t="s">
        <v>11</v>
      </c>
      <c r="C1230" t="s">
        <v>21</v>
      </c>
      <c r="D1230">
        <v>6</v>
      </c>
      <c r="E1230">
        <v>20</v>
      </c>
      <c r="F1230">
        <v>24.516289778421349</v>
      </c>
      <c r="G1230" t="str">
        <f>FLOOR(FinalData[[#This Row],[Temperature_C]],2)&amp;"–"&amp;(FLOOR(FinalData[[#This Row],[Temperature_C]],2)+2)&amp;"°C"</f>
        <v>24–26°C</v>
      </c>
      <c r="H1230">
        <v>2.57</v>
      </c>
      <c r="I1230">
        <v>2026</v>
      </c>
      <c r="J1230">
        <v>2</v>
      </c>
      <c r="K1230">
        <v>21</v>
      </c>
      <c r="L1230">
        <v>6</v>
      </c>
      <c r="M1230">
        <v>4</v>
      </c>
      <c r="N1230">
        <v>0.3</v>
      </c>
      <c r="O1230">
        <v>0.42833333333333329</v>
      </c>
      <c r="P1230" t="s">
        <v>40</v>
      </c>
    </row>
    <row r="1231" spans="1:16" hidden="1" x14ac:dyDescent="0.25">
      <c r="A1231" s="12">
        <v>46074.208333333336</v>
      </c>
      <c r="B1231" t="s">
        <v>7</v>
      </c>
      <c r="C1231" t="s">
        <v>15</v>
      </c>
      <c r="D1231">
        <v>8</v>
      </c>
      <c r="E1231">
        <v>40</v>
      </c>
      <c r="F1231">
        <v>25.731120740864359</v>
      </c>
      <c r="G1231" t="str">
        <f>FLOOR(FinalData[[#This Row],[Temperature_C]],2)&amp;"–"&amp;(FLOOR(FinalData[[#This Row],[Temperature_C]],2)+2)&amp;"°C"</f>
        <v>24–26°C</v>
      </c>
      <c r="H1231">
        <v>3.35</v>
      </c>
      <c r="I1231">
        <v>2026</v>
      </c>
      <c r="J1231">
        <v>2</v>
      </c>
      <c r="K1231">
        <v>21</v>
      </c>
      <c r="L1231">
        <v>6</v>
      </c>
      <c r="M1231">
        <v>5</v>
      </c>
      <c r="N1231">
        <v>0.2</v>
      </c>
      <c r="O1231">
        <v>0.41875000000000001</v>
      </c>
      <c r="P1231" t="s">
        <v>40</v>
      </c>
    </row>
    <row r="1232" spans="1:16" hidden="1" x14ac:dyDescent="0.25">
      <c r="A1232" s="12">
        <v>46074.25</v>
      </c>
      <c r="B1232" t="s">
        <v>7</v>
      </c>
      <c r="C1232" t="s">
        <v>24</v>
      </c>
      <c r="D1232">
        <v>5</v>
      </c>
      <c r="E1232">
        <v>25</v>
      </c>
      <c r="F1232">
        <v>24.99105338334823</v>
      </c>
      <c r="G1232" t="str">
        <f>FLOOR(FinalData[[#This Row],[Temperature_C]],2)&amp;"–"&amp;(FLOOR(FinalData[[#This Row],[Temperature_C]],2)+2)&amp;"°C"</f>
        <v>24–26°C</v>
      </c>
      <c r="H1232">
        <v>2.4700000000000002</v>
      </c>
      <c r="I1232">
        <v>2026</v>
      </c>
      <c r="J1232">
        <v>2</v>
      </c>
      <c r="K1232">
        <v>21</v>
      </c>
      <c r="L1232">
        <v>6</v>
      </c>
      <c r="M1232">
        <v>6</v>
      </c>
      <c r="N1232">
        <v>0.2</v>
      </c>
      <c r="O1232">
        <v>0.49400000000000005</v>
      </c>
      <c r="P1232" t="s">
        <v>40</v>
      </c>
    </row>
    <row r="1233" spans="1:16" hidden="1" x14ac:dyDescent="0.25">
      <c r="A1233" s="12">
        <v>46074.291666666664</v>
      </c>
      <c r="B1233" t="s">
        <v>7</v>
      </c>
      <c r="C1233" t="s">
        <v>28</v>
      </c>
      <c r="D1233">
        <v>8</v>
      </c>
      <c r="E1233">
        <v>30</v>
      </c>
      <c r="F1233">
        <v>22.429623106512679</v>
      </c>
      <c r="G1233" t="str">
        <f>FLOOR(FinalData[[#This Row],[Temperature_C]],2)&amp;"–"&amp;(FLOOR(FinalData[[#This Row],[Temperature_C]],2)+2)&amp;"°C"</f>
        <v>22–24°C</v>
      </c>
      <c r="H1233">
        <v>3.15</v>
      </c>
      <c r="I1233">
        <v>2026</v>
      </c>
      <c r="J1233">
        <v>2</v>
      </c>
      <c r="K1233">
        <v>21</v>
      </c>
      <c r="L1233">
        <v>6</v>
      </c>
      <c r="M1233">
        <v>7</v>
      </c>
      <c r="N1233">
        <v>0.26666666666666666</v>
      </c>
      <c r="O1233">
        <v>0.39374999999999999</v>
      </c>
      <c r="P1233" t="s">
        <v>41</v>
      </c>
    </row>
    <row r="1234" spans="1:16" hidden="1" x14ac:dyDescent="0.25">
      <c r="A1234" s="12">
        <v>46074.333333333336</v>
      </c>
      <c r="B1234" t="s">
        <v>7</v>
      </c>
      <c r="C1234" t="s">
        <v>21</v>
      </c>
      <c r="D1234">
        <v>4</v>
      </c>
      <c r="E1234">
        <v>20</v>
      </c>
      <c r="F1234">
        <v>24.720665118833441</v>
      </c>
      <c r="G1234" t="str">
        <f>FLOOR(FinalData[[#This Row],[Temperature_C]],2)&amp;"–"&amp;(FLOOR(FinalData[[#This Row],[Temperature_C]],2)+2)&amp;"°C"</f>
        <v>24–26°C</v>
      </c>
      <c r="H1234">
        <v>1.38</v>
      </c>
      <c r="I1234">
        <v>2026</v>
      </c>
      <c r="J1234">
        <v>2</v>
      </c>
      <c r="K1234">
        <v>21</v>
      </c>
      <c r="L1234">
        <v>6</v>
      </c>
      <c r="M1234">
        <v>8</v>
      </c>
      <c r="N1234">
        <v>0.2</v>
      </c>
      <c r="O1234">
        <v>0.34499999999999997</v>
      </c>
      <c r="P1234" t="s">
        <v>41</v>
      </c>
    </row>
    <row r="1235" spans="1:16" hidden="1" x14ac:dyDescent="0.25">
      <c r="A1235" s="12">
        <v>46074.375</v>
      </c>
      <c r="B1235" t="s">
        <v>18</v>
      </c>
      <c r="C1235" t="s">
        <v>10</v>
      </c>
      <c r="D1235">
        <v>4</v>
      </c>
      <c r="E1235">
        <v>40</v>
      </c>
      <c r="F1235">
        <v>21.11084656015818</v>
      </c>
      <c r="G1235" t="str">
        <f>FLOOR(FinalData[[#This Row],[Temperature_C]],2)&amp;"–"&amp;(FLOOR(FinalData[[#This Row],[Temperature_C]],2)+2)&amp;"°C"</f>
        <v>20–22°C</v>
      </c>
      <c r="H1235">
        <v>2.13</v>
      </c>
      <c r="I1235">
        <v>2026</v>
      </c>
      <c r="J1235">
        <v>2</v>
      </c>
      <c r="K1235">
        <v>21</v>
      </c>
      <c r="L1235">
        <v>6</v>
      </c>
      <c r="M1235">
        <v>9</v>
      </c>
      <c r="N1235">
        <v>0.1</v>
      </c>
      <c r="O1235">
        <v>0.53249999999999997</v>
      </c>
      <c r="P1235" t="s">
        <v>41</v>
      </c>
    </row>
    <row r="1236" spans="1:16" hidden="1" x14ac:dyDescent="0.25">
      <c r="A1236" s="12">
        <v>46074.416666666664</v>
      </c>
      <c r="B1236" t="s">
        <v>18</v>
      </c>
      <c r="C1236" t="s">
        <v>16</v>
      </c>
      <c r="D1236">
        <v>13</v>
      </c>
      <c r="E1236">
        <v>30</v>
      </c>
      <c r="F1236">
        <v>22.096216061554319</v>
      </c>
      <c r="G1236" t="str">
        <f>FLOOR(FinalData[[#This Row],[Temperature_C]],2)&amp;"–"&amp;(FLOOR(FinalData[[#This Row],[Temperature_C]],2)+2)&amp;"°C"</f>
        <v>22–24°C</v>
      </c>
      <c r="H1236">
        <v>4.5199999999999996</v>
      </c>
      <c r="I1236">
        <v>2026</v>
      </c>
      <c r="J1236">
        <v>2</v>
      </c>
      <c r="K1236">
        <v>21</v>
      </c>
      <c r="L1236">
        <v>6</v>
      </c>
      <c r="M1236">
        <v>10</v>
      </c>
      <c r="N1236">
        <v>0.43333333333333335</v>
      </c>
      <c r="O1236">
        <v>0.34769230769230763</v>
      </c>
      <c r="P1236" t="s">
        <v>41</v>
      </c>
    </row>
    <row r="1237" spans="1:16" x14ac:dyDescent="0.25">
      <c r="A1237" s="12">
        <v>46074.458333333336</v>
      </c>
      <c r="B1237" t="s">
        <v>11</v>
      </c>
      <c r="C1237" t="s">
        <v>17</v>
      </c>
      <c r="D1237">
        <v>10</v>
      </c>
      <c r="E1237">
        <v>40</v>
      </c>
      <c r="F1237">
        <v>25.4747395871272</v>
      </c>
      <c r="G1237" t="str">
        <f>FLOOR(FinalData[[#This Row],[Temperature_C]],2)&amp;"–"&amp;(FLOOR(FinalData[[#This Row],[Temperature_C]],2)+2)&amp;"°C"</f>
        <v>24–26°C</v>
      </c>
      <c r="H1237">
        <v>3.74</v>
      </c>
      <c r="I1237">
        <v>2026</v>
      </c>
      <c r="J1237">
        <v>2</v>
      </c>
      <c r="K1237">
        <v>21</v>
      </c>
      <c r="L1237">
        <v>6</v>
      </c>
      <c r="M1237">
        <v>11</v>
      </c>
      <c r="N1237">
        <v>0.25</v>
      </c>
      <c r="O1237">
        <v>0.374</v>
      </c>
      <c r="P1237" t="s">
        <v>41</v>
      </c>
    </row>
    <row r="1238" spans="1:16" hidden="1" x14ac:dyDescent="0.25">
      <c r="A1238" s="12">
        <v>46074.5</v>
      </c>
      <c r="B1238" t="s">
        <v>7</v>
      </c>
      <c r="C1238" t="s">
        <v>8</v>
      </c>
      <c r="D1238">
        <v>9</v>
      </c>
      <c r="E1238">
        <v>40</v>
      </c>
      <c r="F1238">
        <v>22.080789402485038</v>
      </c>
      <c r="G1238" t="str">
        <f>FLOOR(FinalData[[#This Row],[Temperature_C]],2)&amp;"–"&amp;(FLOOR(FinalData[[#This Row],[Temperature_C]],2)+2)&amp;"°C"</f>
        <v>22–24°C</v>
      </c>
      <c r="H1238">
        <v>2.74</v>
      </c>
      <c r="I1238">
        <v>2026</v>
      </c>
      <c r="J1238">
        <v>2</v>
      </c>
      <c r="K1238">
        <v>21</v>
      </c>
      <c r="L1238">
        <v>6</v>
      </c>
      <c r="M1238">
        <v>12</v>
      </c>
      <c r="N1238">
        <v>0.22500000000000001</v>
      </c>
      <c r="O1238">
        <v>0.30444444444444446</v>
      </c>
      <c r="P1238" t="s">
        <v>42</v>
      </c>
    </row>
    <row r="1239" spans="1:16" hidden="1" x14ac:dyDescent="0.25">
      <c r="A1239" s="12">
        <v>46074.541666666664</v>
      </c>
      <c r="B1239" t="s">
        <v>7</v>
      </c>
      <c r="C1239" t="s">
        <v>25</v>
      </c>
      <c r="D1239">
        <v>10</v>
      </c>
      <c r="E1239">
        <v>40</v>
      </c>
      <c r="F1239">
        <v>22.090955185963171</v>
      </c>
      <c r="G1239" t="str">
        <f>FLOOR(FinalData[[#This Row],[Temperature_C]],2)&amp;"–"&amp;(FLOOR(FinalData[[#This Row],[Temperature_C]],2)+2)&amp;"°C"</f>
        <v>22–24°C</v>
      </c>
      <c r="H1239">
        <v>3.37</v>
      </c>
      <c r="I1239">
        <v>2026</v>
      </c>
      <c r="J1239">
        <v>2</v>
      </c>
      <c r="K1239">
        <v>21</v>
      </c>
      <c r="L1239">
        <v>6</v>
      </c>
      <c r="M1239">
        <v>13</v>
      </c>
      <c r="N1239">
        <v>0.25</v>
      </c>
      <c r="O1239">
        <v>0.33700000000000002</v>
      </c>
      <c r="P1239" t="s">
        <v>42</v>
      </c>
    </row>
    <row r="1240" spans="1:16" hidden="1" x14ac:dyDescent="0.25">
      <c r="A1240" s="12">
        <v>46074.583333333336</v>
      </c>
      <c r="B1240" t="s">
        <v>13</v>
      </c>
      <c r="C1240" t="s">
        <v>14</v>
      </c>
      <c r="D1240">
        <v>6</v>
      </c>
      <c r="E1240">
        <v>20</v>
      </c>
      <c r="F1240">
        <v>24.4165324393148</v>
      </c>
      <c r="G1240" t="str">
        <f>FLOOR(FinalData[[#This Row],[Temperature_C]],2)&amp;"–"&amp;(FLOOR(FinalData[[#This Row],[Temperature_C]],2)+2)&amp;"°C"</f>
        <v>24–26°C</v>
      </c>
      <c r="H1240">
        <v>2.9</v>
      </c>
      <c r="I1240">
        <v>2026</v>
      </c>
      <c r="J1240">
        <v>2</v>
      </c>
      <c r="K1240">
        <v>21</v>
      </c>
      <c r="L1240">
        <v>6</v>
      </c>
      <c r="M1240">
        <v>14</v>
      </c>
      <c r="N1240">
        <v>0.3</v>
      </c>
      <c r="O1240">
        <v>0.48333333333333334</v>
      </c>
      <c r="P1240" t="s">
        <v>42</v>
      </c>
    </row>
    <row r="1241" spans="1:16" hidden="1" x14ac:dyDescent="0.25">
      <c r="A1241" s="12">
        <v>46074.625</v>
      </c>
      <c r="B1241" t="s">
        <v>7</v>
      </c>
      <c r="C1241" t="s">
        <v>29</v>
      </c>
      <c r="D1241">
        <v>4</v>
      </c>
      <c r="E1241">
        <v>20</v>
      </c>
      <c r="F1241">
        <v>21.679060960083412</v>
      </c>
      <c r="G1241" t="str">
        <f>FLOOR(FinalData[[#This Row],[Temperature_C]],2)&amp;"–"&amp;(FLOOR(FinalData[[#This Row],[Temperature_C]],2)+2)&amp;"°C"</f>
        <v>20–22°C</v>
      </c>
      <c r="H1241">
        <v>1.92</v>
      </c>
      <c r="I1241">
        <v>2026</v>
      </c>
      <c r="J1241">
        <v>2</v>
      </c>
      <c r="K1241">
        <v>21</v>
      </c>
      <c r="L1241">
        <v>6</v>
      </c>
      <c r="M1241">
        <v>15</v>
      </c>
      <c r="N1241">
        <v>0.2</v>
      </c>
      <c r="O1241">
        <v>0.48</v>
      </c>
      <c r="P1241" t="s">
        <v>42</v>
      </c>
    </row>
    <row r="1242" spans="1:16" hidden="1" x14ac:dyDescent="0.25">
      <c r="A1242" s="12">
        <v>46074.666666666664</v>
      </c>
      <c r="B1242" t="s">
        <v>7</v>
      </c>
      <c r="C1242" t="s">
        <v>15</v>
      </c>
      <c r="D1242">
        <v>5</v>
      </c>
      <c r="E1242">
        <v>40</v>
      </c>
      <c r="F1242">
        <v>21.4721051955113</v>
      </c>
      <c r="G1242" t="str">
        <f>FLOOR(FinalData[[#This Row],[Temperature_C]],2)&amp;"–"&amp;(FLOOR(FinalData[[#This Row],[Temperature_C]],2)+2)&amp;"°C"</f>
        <v>20–22°C</v>
      </c>
      <c r="H1242">
        <v>1.91</v>
      </c>
      <c r="I1242">
        <v>2026</v>
      </c>
      <c r="J1242">
        <v>2</v>
      </c>
      <c r="K1242">
        <v>21</v>
      </c>
      <c r="L1242">
        <v>6</v>
      </c>
      <c r="M1242">
        <v>16</v>
      </c>
      <c r="N1242">
        <v>0.125</v>
      </c>
      <c r="O1242">
        <v>0.38200000000000001</v>
      </c>
      <c r="P1242" t="s">
        <v>42</v>
      </c>
    </row>
    <row r="1243" spans="1:16" hidden="1" x14ac:dyDescent="0.25">
      <c r="A1243" s="12">
        <v>46074.708333333336</v>
      </c>
      <c r="B1243" t="s">
        <v>11</v>
      </c>
      <c r="C1243" t="s">
        <v>29</v>
      </c>
      <c r="D1243">
        <v>8</v>
      </c>
      <c r="E1243">
        <v>20</v>
      </c>
      <c r="F1243">
        <v>25.354417574833828</v>
      </c>
      <c r="G1243" t="str">
        <f>FLOOR(FinalData[[#This Row],[Temperature_C]],2)&amp;"–"&amp;(FLOOR(FinalData[[#This Row],[Temperature_C]],2)+2)&amp;"°C"</f>
        <v>24–26°C</v>
      </c>
      <c r="H1243">
        <v>3.85</v>
      </c>
      <c r="I1243">
        <v>2026</v>
      </c>
      <c r="J1243">
        <v>2</v>
      </c>
      <c r="K1243">
        <v>21</v>
      </c>
      <c r="L1243">
        <v>6</v>
      </c>
      <c r="M1243">
        <v>17</v>
      </c>
      <c r="N1243">
        <v>0.4</v>
      </c>
      <c r="O1243">
        <v>0.48125000000000001</v>
      </c>
      <c r="P1243" t="s">
        <v>43</v>
      </c>
    </row>
    <row r="1244" spans="1:16" hidden="1" x14ac:dyDescent="0.25">
      <c r="A1244" s="12">
        <v>46074.75</v>
      </c>
      <c r="B1244" t="s">
        <v>7</v>
      </c>
      <c r="C1244" t="s">
        <v>30</v>
      </c>
      <c r="D1244">
        <v>7</v>
      </c>
      <c r="E1244">
        <v>30</v>
      </c>
      <c r="F1244">
        <v>22.398861218829499</v>
      </c>
      <c r="G1244" t="str">
        <f>FLOOR(FinalData[[#This Row],[Temperature_C]],2)&amp;"–"&amp;(FLOOR(FinalData[[#This Row],[Temperature_C]],2)+2)&amp;"°C"</f>
        <v>22–24°C</v>
      </c>
      <c r="H1244">
        <v>2.48</v>
      </c>
      <c r="I1244">
        <v>2026</v>
      </c>
      <c r="J1244">
        <v>2</v>
      </c>
      <c r="K1244">
        <v>21</v>
      </c>
      <c r="L1244">
        <v>6</v>
      </c>
      <c r="M1244">
        <v>18</v>
      </c>
      <c r="N1244">
        <v>0.23333333333333334</v>
      </c>
      <c r="O1244">
        <v>0.35428571428571426</v>
      </c>
      <c r="P1244" t="s">
        <v>43</v>
      </c>
    </row>
    <row r="1245" spans="1:16" hidden="1" x14ac:dyDescent="0.25">
      <c r="A1245" s="12">
        <v>46074.791666666664</v>
      </c>
      <c r="B1245" t="s">
        <v>9</v>
      </c>
      <c r="C1245" t="s">
        <v>26</v>
      </c>
      <c r="D1245">
        <v>8</v>
      </c>
      <c r="E1245">
        <v>40</v>
      </c>
      <c r="F1245">
        <v>20.429824060266949</v>
      </c>
      <c r="G1245" t="str">
        <f>FLOOR(FinalData[[#This Row],[Temperature_C]],2)&amp;"–"&amp;(FLOOR(FinalData[[#This Row],[Temperature_C]],2)+2)&amp;"°C"</f>
        <v>20–22°C</v>
      </c>
      <c r="H1245">
        <v>2.94</v>
      </c>
      <c r="I1245">
        <v>2026</v>
      </c>
      <c r="J1245">
        <v>2</v>
      </c>
      <c r="K1245">
        <v>21</v>
      </c>
      <c r="L1245">
        <v>6</v>
      </c>
      <c r="M1245">
        <v>19</v>
      </c>
      <c r="N1245">
        <v>0.2</v>
      </c>
      <c r="O1245">
        <v>0.36749999999999999</v>
      </c>
      <c r="P1245" t="s">
        <v>43</v>
      </c>
    </row>
    <row r="1246" spans="1:16" hidden="1" x14ac:dyDescent="0.25">
      <c r="A1246" s="12">
        <v>46074.833333333336</v>
      </c>
      <c r="B1246" t="s">
        <v>13</v>
      </c>
      <c r="C1246" t="s">
        <v>16</v>
      </c>
      <c r="D1246">
        <v>5</v>
      </c>
      <c r="E1246">
        <v>20</v>
      </c>
      <c r="F1246">
        <v>23.60158542062895</v>
      </c>
      <c r="G1246" t="str">
        <f>FLOOR(FinalData[[#This Row],[Temperature_C]],2)&amp;"–"&amp;(FLOOR(FinalData[[#This Row],[Temperature_C]],2)+2)&amp;"°C"</f>
        <v>22–24°C</v>
      </c>
      <c r="H1246">
        <v>2.2799999999999998</v>
      </c>
      <c r="I1246">
        <v>2026</v>
      </c>
      <c r="J1246">
        <v>2</v>
      </c>
      <c r="K1246">
        <v>21</v>
      </c>
      <c r="L1246">
        <v>6</v>
      </c>
      <c r="M1246">
        <v>20</v>
      </c>
      <c r="N1246">
        <v>0.25</v>
      </c>
      <c r="O1246">
        <v>0.45599999999999996</v>
      </c>
      <c r="P1246" t="s">
        <v>43</v>
      </c>
    </row>
    <row r="1247" spans="1:16" hidden="1" x14ac:dyDescent="0.25">
      <c r="A1247" s="12">
        <v>46074.916666666664</v>
      </c>
      <c r="B1247" t="s">
        <v>18</v>
      </c>
      <c r="C1247" t="s">
        <v>19</v>
      </c>
      <c r="D1247">
        <v>8</v>
      </c>
      <c r="E1247">
        <v>25</v>
      </c>
      <c r="F1247">
        <v>20.150057656369171</v>
      </c>
      <c r="G1247" t="str">
        <f>FLOOR(FinalData[[#This Row],[Temperature_C]],2)&amp;"–"&amp;(FLOOR(FinalData[[#This Row],[Temperature_C]],2)+2)&amp;"°C"</f>
        <v>20–22°C</v>
      </c>
      <c r="H1247">
        <v>2.79</v>
      </c>
      <c r="I1247">
        <v>2026</v>
      </c>
      <c r="J1247">
        <v>2</v>
      </c>
      <c r="K1247">
        <v>21</v>
      </c>
      <c r="L1247">
        <v>6</v>
      </c>
      <c r="M1247">
        <v>22</v>
      </c>
      <c r="N1247">
        <v>0.32</v>
      </c>
      <c r="O1247">
        <v>0.34875</v>
      </c>
      <c r="P1247" t="s">
        <v>40</v>
      </c>
    </row>
    <row r="1248" spans="1:16" hidden="1" x14ac:dyDescent="0.25">
      <c r="A1248" s="12">
        <v>46074.958333333336</v>
      </c>
      <c r="B1248" t="s">
        <v>18</v>
      </c>
      <c r="C1248" t="s">
        <v>31</v>
      </c>
      <c r="D1248">
        <v>4</v>
      </c>
      <c r="E1248">
        <v>25</v>
      </c>
      <c r="F1248">
        <v>24.579542057273411</v>
      </c>
      <c r="G1248" t="str">
        <f>FLOOR(FinalData[[#This Row],[Temperature_C]],2)&amp;"–"&amp;(FLOOR(FinalData[[#This Row],[Temperature_C]],2)+2)&amp;"°C"</f>
        <v>24–26°C</v>
      </c>
      <c r="H1248">
        <v>2.2000000000000002</v>
      </c>
      <c r="I1248">
        <v>2026</v>
      </c>
      <c r="J1248">
        <v>2</v>
      </c>
      <c r="K1248">
        <v>21</v>
      </c>
      <c r="L1248">
        <v>6</v>
      </c>
      <c r="M1248">
        <v>23</v>
      </c>
      <c r="N1248">
        <v>0.16</v>
      </c>
      <c r="O1248">
        <v>0.55000000000000004</v>
      </c>
      <c r="P1248" t="s">
        <v>40</v>
      </c>
    </row>
    <row r="1249" spans="1:16" hidden="1" x14ac:dyDescent="0.25">
      <c r="A1249" s="12">
        <v>46075</v>
      </c>
      <c r="B1249" t="s">
        <v>7</v>
      </c>
      <c r="C1249" t="s">
        <v>31</v>
      </c>
      <c r="D1249">
        <v>3</v>
      </c>
      <c r="E1249">
        <v>25</v>
      </c>
      <c r="F1249">
        <v>21.619921428014759</v>
      </c>
      <c r="G1249" t="str">
        <f>FLOOR(FinalData[[#This Row],[Temperature_C]],2)&amp;"–"&amp;(FLOOR(FinalData[[#This Row],[Temperature_C]],2)+2)&amp;"°C"</f>
        <v>20–22°C</v>
      </c>
      <c r="H1249">
        <v>1.57</v>
      </c>
      <c r="I1249">
        <v>2026</v>
      </c>
      <c r="J1249">
        <v>2</v>
      </c>
      <c r="K1249">
        <v>22</v>
      </c>
      <c r="L1249">
        <v>0</v>
      </c>
      <c r="M1249">
        <v>0</v>
      </c>
      <c r="N1249">
        <v>0.12</v>
      </c>
      <c r="O1249">
        <v>0.52333333333333332</v>
      </c>
      <c r="P1249" t="s">
        <v>40</v>
      </c>
    </row>
    <row r="1250" spans="1:16" hidden="1" x14ac:dyDescent="0.25">
      <c r="A1250" s="12">
        <v>46075.041666666664</v>
      </c>
      <c r="B1250" t="s">
        <v>9</v>
      </c>
      <c r="C1250" t="s">
        <v>23</v>
      </c>
      <c r="D1250">
        <v>4</v>
      </c>
      <c r="E1250">
        <v>40</v>
      </c>
      <c r="F1250">
        <v>22.453695506960202</v>
      </c>
      <c r="G1250" t="str">
        <f>FLOOR(FinalData[[#This Row],[Temperature_C]],2)&amp;"–"&amp;(FLOOR(FinalData[[#This Row],[Temperature_C]],2)+2)&amp;"°C"</f>
        <v>22–24°C</v>
      </c>
      <c r="H1250">
        <v>2.27</v>
      </c>
      <c r="I1250">
        <v>2026</v>
      </c>
      <c r="J1250">
        <v>2</v>
      </c>
      <c r="K1250">
        <v>22</v>
      </c>
      <c r="L1250">
        <v>0</v>
      </c>
      <c r="M1250">
        <v>1</v>
      </c>
      <c r="N1250">
        <v>0.1</v>
      </c>
      <c r="O1250">
        <v>0.5675</v>
      </c>
      <c r="P1250" t="s">
        <v>40</v>
      </c>
    </row>
    <row r="1251" spans="1:16" hidden="1" x14ac:dyDescent="0.25">
      <c r="A1251" s="12">
        <v>46075.083333333336</v>
      </c>
      <c r="B1251" t="s">
        <v>13</v>
      </c>
      <c r="C1251" t="s">
        <v>24</v>
      </c>
      <c r="D1251">
        <v>13</v>
      </c>
      <c r="E1251">
        <v>25</v>
      </c>
      <c r="F1251">
        <v>25.659068487941049</v>
      </c>
      <c r="G1251" t="str">
        <f>FLOOR(FinalData[[#This Row],[Temperature_C]],2)&amp;"–"&amp;(FLOOR(FinalData[[#This Row],[Temperature_C]],2)+2)&amp;"°C"</f>
        <v>24–26°C</v>
      </c>
      <c r="H1251">
        <v>4.42</v>
      </c>
      <c r="I1251">
        <v>2026</v>
      </c>
      <c r="J1251">
        <v>2</v>
      </c>
      <c r="K1251">
        <v>22</v>
      </c>
      <c r="L1251">
        <v>0</v>
      </c>
      <c r="M1251">
        <v>2</v>
      </c>
      <c r="N1251">
        <v>0.52</v>
      </c>
      <c r="O1251">
        <v>0.33999999999999997</v>
      </c>
      <c r="P1251" t="s">
        <v>40</v>
      </c>
    </row>
    <row r="1252" spans="1:16" hidden="1" x14ac:dyDescent="0.25">
      <c r="A1252" s="12">
        <v>46075.125</v>
      </c>
      <c r="B1252" t="s">
        <v>9</v>
      </c>
      <c r="C1252" t="s">
        <v>8</v>
      </c>
      <c r="D1252">
        <v>6</v>
      </c>
      <c r="E1252">
        <v>30</v>
      </c>
      <c r="F1252">
        <v>25.660113196424099</v>
      </c>
      <c r="G1252" t="str">
        <f>FLOOR(FinalData[[#This Row],[Temperature_C]],2)&amp;"–"&amp;(FLOOR(FinalData[[#This Row],[Temperature_C]],2)+2)&amp;"°C"</f>
        <v>24–26°C</v>
      </c>
      <c r="H1252">
        <v>2.58</v>
      </c>
      <c r="I1252">
        <v>2026</v>
      </c>
      <c r="J1252">
        <v>2</v>
      </c>
      <c r="K1252">
        <v>22</v>
      </c>
      <c r="L1252">
        <v>0</v>
      </c>
      <c r="M1252">
        <v>3</v>
      </c>
      <c r="N1252">
        <v>0.2</v>
      </c>
      <c r="O1252">
        <v>0.43</v>
      </c>
      <c r="P1252" t="s">
        <v>40</v>
      </c>
    </row>
    <row r="1253" spans="1:16" hidden="1" x14ac:dyDescent="0.25">
      <c r="A1253" s="12">
        <v>46075.166666666664</v>
      </c>
      <c r="B1253" t="s">
        <v>11</v>
      </c>
      <c r="C1253" t="s">
        <v>19</v>
      </c>
      <c r="D1253">
        <v>8</v>
      </c>
      <c r="E1253">
        <v>30</v>
      </c>
      <c r="F1253">
        <v>22.98327842545709</v>
      </c>
      <c r="G1253" t="str">
        <f>FLOOR(FinalData[[#This Row],[Temperature_C]],2)&amp;"–"&amp;(FLOOR(FinalData[[#This Row],[Temperature_C]],2)+2)&amp;"°C"</f>
        <v>22–24°C</v>
      </c>
      <c r="H1253">
        <v>3.24</v>
      </c>
      <c r="I1253">
        <v>2026</v>
      </c>
      <c r="J1253">
        <v>2</v>
      </c>
      <c r="K1253">
        <v>22</v>
      </c>
      <c r="L1253">
        <v>0</v>
      </c>
      <c r="M1253">
        <v>4</v>
      </c>
      <c r="N1253">
        <v>0.26666666666666666</v>
      </c>
      <c r="O1253">
        <v>0.40500000000000003</v>
      </c>
      <c r="P1253" t="s">
        <v>40</v>
      </c>
    </row>
    <row r="1254" spans="1:16" hidden="1" x14ac:dyDescent="0.25">
      <c r="A1254" s="12">
        <v>46075.208333333336</v>
      </c>
      <c r="B1254" t="s">
        <v>11</v>
      </c>
      <c r="C1254" t="s">
        <v>12</v>
      </c>
      <c r="D1254">
        <v>9</v>
      </c>
      <c r="E1254">
        <v>40</v>
      </c>
      <c r="F1254">
        <v>24.701965357013531</v>
      </c>
      <c r="G1254" t="str">
        <f>FLOOR(FinalData[[#This Row],[Temperature_C]],2)&amp;"–"&amp;(FLOOR(FinalData[[#This Row],[Temperature_C]],2)+2)&amp;"°C"</f>
        <v>24–26°C</v>
      </c>
      <c r="H1254">
        <v>3.68</v>
      </c>
      <c r="I1254">
        <v>2026</v>
      </c>
      <c r="J1254">
        <v>2</v>
      </c>
      <c r="K1254">
        <v>22</v>
      </c>
      <c r="L1254">
        <v>0</v>
      </c>
      <c r="M1254">
        <v>5</v>
      </c>
      <c r="N1254">
        <v>0.22500000000000001</v>
      </c>
      <c r="O1254">
        <v>0.40888888888888891</v>
      </c>
      <c r="P1254" t="s">
        <v>40</v>
      </c>
    </row>
    <row r="1255" spans="1:16" hidden="1" x14ac:dyDescent="0.25">
      <c r="A1255" s="12">
        <v>46075.25</v>
      </c>
      <c r="B1255" t="s">
        <v>18</v>
      </c>
      <c r="C1255" t="s">
        <v>8</v>
      </c>
      <c r="D1255">
        <v>9</v>
      </c>
      <c r="E1255">
        <v>25</v>
      </c>
      <c r="F1255">
        <v>24.05033862652434</v>
      </c>
      <c r="G1255" t="str">
        <f>FLOOR(FinalData[[#This Row],[Temperature_C]],2)&amp;"–"&amp;(FLOOR(FinalData[[#This Row],[Temperature_C]],2)+2)&amp;"°C"</f>
        <v>24–26°C</v>
      </c>
      <c r="H1255">
        <v>2.64</v>
      </c>
      <c r="I1255">
        <v>2026</v>
      </c>
      <c r="J1255">
        <v>2</v>
      </c>
      <c r="K1255">
        <v>22</v>
      </c>
      <c r="L1255">
        <v>0</v>
      </c>
      <c r="M1255">
        <v>6</v>
      </c>
      <c r="N1255">
        <v>0.36</v>
      </c>
      <c r="O1255">
        <v>0.29333333333333333</v>
      </c>
      <c r="P1255" t="s">
        <v>40</v>
      </c>
    </row>
    <row r="1256" spans="1:16" x14ac:dyDescent="0.25">
      <c r="A1256" s="12">
        <v>46075.291666666664</v>
      </c>
      <c r="B1256" t="s">
        <v>11</v>
      </c>
      <c r="C1256" t="s">
        <v>25</v>
      </c>
      <c r="D1256">
        <v>6</v>
      </c>
      <c r="E1256">
        <v>20</v>
      </c>
      <c r="F1256">
        <v>21.545605102813852</v>
      </c>
      <c r="G1256" t="str">
        <f>FLOOR(FinalData[[#This Row],[Temperature_C]],2)&amp;"–"&amp;(FLOOR(FinalData[[#This Row],[Temperature_C]],2)+2)&amp;"°C"</f>
        <v>20–22°C</v>
      </c>
      <c r="H1256">
        <v>2.3199999999999998</v>
      </c>
      <c r="I1256">
        <v>2026</v>
      </c>
      <c r="J1256">
        <v>2</v>
      </c>
      <c r="K1256">
        <v>22</v>
      </c>
      <c r="L1256">
        <v>0</v>
      </c>
      <c r="M1256">
        <v>7</v>
      </c>
      <c r="N1256">
        <v>0.3</v>
      </c>
      <c r="O1256">
        <v>0.38666666666666666</v>
      </c>
      <c r="P1256" t="s">
        <v>41</v>
      </c>
    </row>
    <row r="1257" spans="1:16" hidden="1" x14ac:dyDescent="0.25">
      <c r="A1257" s="12">
        <v>46075.333333333336</v>
      </c>
      <c r="B1257" t="s">
        <v>13</v>
      </c>
      <c r="C1257" t="s">
        <v>29</v>
      </c>
      <c r="D1257">
        <v>7</v>
      </c>
      <c r="E1257">
        <v>40</v>
      </c>
      <c r="F1257">
        <v>23.369517625576879</v>
      </c>
      <c r="G1257" t="str">
        <f>FLOOR(FinalData[[#This Row],[Temperature_C]],2)&amp;"–"&amp;(FLOOR(FinalData[[#This Row],[Temperature_C]],2)+2)&amp;"°C"</f>
        <v>22–24°C</v>
      </c>
      <c r="H1257">
        <v>2.65</v>
      </c>
      <c r="I1257">
        <v>2026</v>
      </c>
      <c r="J1257">
        <v>2</v>
      </c>
      <c r="K1257">
        <v>22</v>
      </c>
      <c r="L1257">
        <v>0</v>
      </c>
      <c r="M1257">
        <v>8</v>
      </c>
      <c r="N1257">
        <v>0.17499999999999999</v>
      </c>
      <c r="O1257">
        <v>0.37857142857142856</v>
      </c>
      <c r="P1257" t="s">
        <v>41</v>
      </c>
    </row>
    <row r="1258" spans="1:16" hidden="1" x14ac:dyDescent="0.25">
      <c r="A1258" s="12">
        <v>46075.375</v>
      </c>
      <c r="B1258" t="s">
        <v>7</v>
      </c>
      <c r="C1258" t="s">
        <v>28</v>
      </c>
      <c r="D1258">
        <v>9</v>
      </c>
      <c r="E1258">
        <v>20</v>
      </c>
      <c r="F1258">
        <v>25.0221261757858</v>
      </c>
      <c r="G1258" t="str">
        <f>FLOOR(FinalData[[#This Row],[Temperature_C]],2)&amp;"–"&amp;(FLOOR(FinalData[[#This Row],[Temperature_C]],2)+2)&amp;"°C"</f>
        <v>24–26°C</v>
      </c>
      <c r="H1258">
        <v>3.48</v>
      </c>
      <c r="I1258">
        <v>2026</v>
      </c>
      <c r="J1258">
        <v>2</v>
      </c>
      <c r="K1258">
        <v>22</v>
      </c>
      <c r="L1258">
        <v>0</v>
      </c>
      <c r="M1258">
        <v>9</v>
      </c>
      <c r="N1258">
        <v>0.45</v>
      </c>
      <c r="O1258">
        <v>0.38666666666666666</v>
      </c>
      <c r="P1258" t="s">
        <v>41</v>
      </c>
    </row>
    <row r="1259" spans="1:16" hidden="1" x14ac:dyDescent="0.25">
      <c r="A1259" s="12">
        <v>46075.416666666664</v>
      </c>
      <c r="B1259" t="s">
        <v>9</v>
      </c>
      <c r="C1259" t="s">
        <v>31</v>
      </c>
      <c r="D1259">
        <v>8</v>
      </c>
      <c r="E1259">
        <v>25</v>
      </c>
      <c r="F1259">
        <v>16.357770888821719</v>
      </c>
      <c r="G1259" t="str">
        <f>FLOOR(FinalData[[#This Row],[Temperature_C]],2)&amp;"–"&amp;(FLOOR(FinalData[[#This Row],[Temperature_C]],2)+2)&amp;"°C"</f>
        <v>16–18°C</v>
      </c>
      <c r="H1259">
        <v>3.47</v>
      </c>
      <c r="I1259">
        <v>2026</v>
      </c>
      <c r="J1259">
        <v>2</v>
      </c>
      <c r="K1259">
        <v>22</v>
      </c>
      <c r="L1259">
        <v>0</v>
      </c>
      <c r="M1259">
        <v>10</v>
      </c>
      <c r="N1259">
        <v>0.32</v>
      </c>
      <c r="O1259">
        <v>0.43375000000000002</v>
      </c>
      <c r="P1259" t="s">
        <v>41</v>
      </c>
    </row>
    <row r="1260" spans="1:16" hidden="1" x14ac:dyDescent="0.25">
      <c r="A1260" s="12">
        <v>46075.458333333336</v>
      </c>
      <c r="B1260" t="s">
        <v>7</v>
      </c>
      <c r="C1260" t="s">
        <v>16</v>
      </c>
      <c r="D1260">
        <v>12</v>
      </c>
      <c r="E1260">
        <v>25</v>
      </c>
      <c r="F1260">
        <v>26.096148797088219</v>
      </c>
      <c r="G1260" t="str">
        <f>FLOOR(FinalData[[#This Row],[Temperature_C]],2)&amp;"–"&amp;(FLOOR(FinalData[[#This Row],[Temperature_C]],2)+2)&amp;"°C"</f>
        <v>26–28°C</v>
      </c>
      <c r="H1260">
        <v>4.3899999999999997</v>
      </c>
      <c r="I1260">
        <v>2026</v>
      </c>
      <c r="J1260">
        <v>2</v>
      </c>
      <c r="K1260">
        <v>22</v>
      </c>
      <c r="L1260">
        <v>0</v>
      </c>
      <c r="M1260">
        <v>11</v>
      </c>
      <c r="N1260">
        <v>0.48</v>
      </c>
      <c r="O1260">
        <v>0.36583333333333329</v>
      </c>
      <c r="P1260" t="s">
        <v>41</v>
      </c>
    </row>
    <row r="1261" spans="1:16" hidden="1" x14ac:dyDescent="0.25">
      <c r="A1261" s="12">
        <v>46075.5</v>
      </c>
      <c r="B1261" t="s">
        <v>11</v>
      </c>
      <c r="C1261" t="s">
        <v>29</v>
      </c>
      <c r="D1261">
        <v>7</v>
      </c>
      <c r="E1261">
        <v>30</v>
      </c>
      <c r="F1261">
        <v>21.7287367682768</v>
      </c>
      <c r="G1261" t="str">
        <f>FLOOR(FinalData[[#This Row],[Temperature_C]],2)&amp;"–"&amp;(FLOOR(FinalData[[#This Row],[Temperature_C]],2)+2)&amp;"°C"</f>
        <v>20–22°C</v>
      </c>
      <c r="H1261">
        <v>2.1</v>
      </c>
      <c r="I1261">
        <v>2026</v>
      </c>
      <c r="J1261">
        <v>2</v>
      </c>
      <c r="K1261">
        <v>22</v>
      </c>
      <c r="L1261">
        <v>0</v>
      </c>
      <c r="M1261">
        <v>12</v>
      </c>
      <c r="N1261">
        <v>0.23333333333333334</v>
      </c>
      <c r="O1261">
        <v>0.3</v>
      </c>
      <c r="P1261" t="s">
        <v>42</v>
      </c>
    </row>
    <row r="1262" spans="1:16" hidden="1" x14ac:dyDescent="0.25">
      <c r="A1262" s="12">
        <v>46075.541666666664</v>
      </c>
      <c r="B1262" t="s">
        <v>11</v>
      </c>
      <c r="C1262" t="s">
        <v>31</v>
      </c>
      <c r="D1262">
        <v>9</v>
      </c>
      <c r="E1262">
        <v>30</v>
      </c>
      <c r="F1262">
        <v>22.92009840479308</v>
      </c>
      <c r="G1262" t="str">
        <f>FLOOR(FinalData[[#This Row],[Temperature_C]],2)&amp;"–"&amp;(FLOOR(FinalData[[#This Row],[Temperature_C]],2)+2)&amp;"°C"</f>
        <v>22–24°C</v>
      </c>
      <c r="H1262">
        <v>2.41</v>
      </c>
      <c r="I1262">
        <v>2026</v>
      </c>
      <c r="J1262">
        <v>2</v>
      </c>
      <c r="K1262">
        <v>22</v>
      </c>
      <c r="L1262">
        <v>0</v>
      </c>
      <c r="M1262">
        <v>13</v>
      </c>
      <c r="N1262">
        <v>0.3</v>
      </c>
      <c r="O1262">
        <v>0.26777777777777778</v>
      </c>
      <c r="P1262" t="s">
        <v>42</v>
      </c>
    </row>
    <row r="1263" spans="1:16" hidden="1" x14ac:dyDescent="0.25">
      <c r="A1263" s="12">
        <v>46075.583333333336</v>
      </c>
      <c r="B1263" t="s">
        <v>7</v>
      </c>
      <c r="C1263" t="s">
        <v>26</v>
      </c>
      <c r="D1263">
        <v>5</v>
      </c>
      <c r="E1263">
        <v>40</v>
      </c>
      <c r="F1263">
        <v>22.622078992667142</v>
      </c>
      <c r="G1263" t="str">
        <f>FLOOR(FinalData[[#This Row],[Temperature_C]],2)&amp;"–"&amp;(FLOOR(FinalData[[#This Row],[Temperature_C]],2)+2)&amp;"°C"</f>
        <v>22–24°C</v>
      </c>
      <c r="H1263">
        <v>2.52</v>
      </c>
      <c r="I1263">
        <v>2026</v>
      </c>
      <c r="J1263">
        <v>2</v>
      </c>
      <c r="K1263">
        <v>22</v>
      </c>
      <c r="L1263">
        <v>0</v>
      </c>
      <c r="M1263">
        <v>14</v>
      </c>
      <c r="N1263">
        <v>0.125</v>
      </c>
      <c r="O1263">
        <v>0.504</v>
      </c>
      <c r="P1263" t="s">
        <v>42</v>
      </c>
    </row>
    <row r="1264" spans="1:16" hidden="1" x14ac:dyDescent="0.25">
      <c r="A1264" s="12">
        <v>46075.625</v>
      </c>
      <c r="B1264" t="s">
        <v>18</v>
      </c>
      <c r="C1264" t="s">
        <v>23</v>
      </c>
      <c r="D1264">
        <v>12</v>
      </c>
      <c r="E1264">
        <v>30</v>
      </c>
      <c r="F1264">
        <v>22.250754361347891</v>
      </c>
      <c r="G1264" t="str">
        <f>FLOOR(FinalData[[#This Row],[Temperature_C]],2)&amp;"–"&amp;(FLOOR(FinalData[[#This Row],[Temperature_C]],2)+2)&amp;"°C"</f>
        <v>22–24°C</v>
      </c>
      <c r="H1264">
        <v>3.69</v>
      </c>
      <c r="I1264">
        <v>2026</v>
      </c>
      <c r="J1264">
        <v>2</v>
      </c>
      <c r="K1264">
        <v>22</v>
      </c>
      <c r="L1264">
        <v>0</v>
      </c>
      <c r="M1264">
        <v>15</v>
      </c>
      <c r="N1264">
        <v>0.4</v>
      </c>
      <c r="O1264">
        <v>0.3075</v>
      </c>
      <c r="P1264" t="s">
        <v>42</v>
      </c>
    </row>
    <row r="1265" spans="1:16" hidden="1" x14ac:dyDescent="0.25">
      <c r="A1265" s="12">
        <v>46075.666666666664</v>
      </c>
      <c r="B1265" t="s">
        <v>11</v>
      </c>
      <c r="C1265" t="s">
        <v>20</v>
      </c>
      <c r="D1265">
        <v>7</v>
      </c>
      <c r="E1265">
        <v>30</v>
      </c>
      <c r="F1265">
        <v>21.372372716142142</v>
      </c>
      <c r="G1265" t="str">
        <f>FLOOR(FinalData[[#This Row],[Temperature_C]],2)&amp;"–"&amp;(FLOOR(FinalData[[#This Row],[Temperature_C]],2)+2)&amp;"°C"</f>
        <v>20–22°C</v>
      </c>
      <c r="H1265">
        <v>2.7</v>
      </c>
      <c r="I1265">
        <v>2026</v>
      </c>
      <c r="J1265">
        <v>2</v>
      </c>
      <c r="K1265">
        <v>22</v>
      </c>
      <c r="L1265">
        <v>0</v>
      </c>
      <c r="M1265">
        <v>16</v>
      </c>
      <c r="N1265">
        <v>0.23333333333333334</v>
      </c>
      <c r="O1265">
        <v>0.38571428571428573</v>
      </c>
      <c r="P1265" t="s">
        <v>42</v>
      </c>
    </row>
    <row r="1266" spans="1:16" hidden="1" x14ac:dyDescent="0.25">
      <c r="A1266" s="12">
        <v>46075.708333333336</v>
      </c>
      <c r="B1266" t="s">
        <v>18</v>
      </c>
      <c r="C1266" t="s">
        <v>30</v>
      </c>
      <c r="D1266">
        <v>12</v>
      </c>
      <c r="E1266">
        <v>40</v>
      </c>
      <c r="F1266">
        <v>24.80398690550027</v>
      </c>
      <c r="G1266" t="str">
        <f>FLOOR(FinalData[[#This Row],[Temperature_C]],2)&amp;"–"&amp;(FLOOR(FinalData[[#This Row],[Temperature_C]],2)+2)&amp;"°C"</f>
        <v>24–26°C</v>
      </c>
      <c r="H1266">
        <v>3.99</v>
      </c>
      <c r="I1266">
        <v>2026</v>
      </c>
      <c r="J1266">
        <v>2</v>
      </c>
      <c r="K1266">
        <v>22</v>
      </c>
      <c r="L1266">
        <v>0</v>
      </c>
      <c r="M1266">
        <v>17</v>
      </c>
      <c r="N1266">
        <v>0.3</v>
      </c>
      <c r="O1266">
        <v>0.33250000000000002</v>
      </c>
      <c r="P1266" t="s">
        <v>43</v>
      </c>
    </row>
    <row r="1267" spans="1:16" hidden="1" x14ac:dyDescent="0.25">
      <c r="A1267" s="12">
        <v>46075.75</v>
      </c>
      <c r="B1267" t="s">
        <v>18</v>
      </c>
      <c r="C1267" t="s">
        <v>19</v>
      </c>
      <c r="D1267">
        <v>16</v>
      </c>
      <c r="E1267">
        <v>30</v>
      </c>
      <c r="F1267">
        <v>24.687902801037861</v>
      </c>
      <c r="G1267" t="str">
        <f>FLOOR(FinalData[[#This Row],[Temperature_C]],2)&amp;"–"&amp;(FLOOR(FinalData[[#This Row],[Temperature_C]],2)+2)&amp;"°C"</f>
        <v>24–26°C</v>
      </c>
      <c r="H1267">
        <v>5.12</v>
      </c>
      <c r="I1267">
        <v>2026</v>
      </c>
      <c r="J1267">
        <v>2</v>
      </c>
      <c r="K1267">
        <v>22</v>
      </c>
      <c r="L1267">
        <v>0</v>
      </c>
      <c r="M1267">
        <v>18</v>
      </c>
      <c r="N1267">
        <v>0.53333333333333333</v>
      </c>
      <c r="O1267">
        <v>0.32</v>
      </c>
      <c r="P1267" t="s">
        <v>43</v>
      </c>
    </row>
    <row r="1268" spans="1:16" hidden="1" x14ac:dyDescent="0.25">
      <c r="A1268" s="12">
        <v>46075.791666666664</v>
      </c>
      <c r="B1268" t="s">
        <v>11</v>
      </c>
      <c r="C1268" t="s">
        <v>28</v>
      </c>
      <c r="D1268">
        <v>8</v>
      </c>
      <c r="E1268">
        <v>40</v>
      </c>
      <c r="F1268">
        <v>24.69707589468398</v>
      </c>
      <c r="G1268" t="str">
        <f>FLOOR(FinalData[[#This Row],[Temperature_C]],2)&amp;"–"&amp;(FLOOR(FinalData[[#This Row],[Temperature_C]],2)+2)&amp;"°C"</f>
        <v>24–26°C</v>
      </c>
      <c r="H1268">
        <v>3.69</v>
      </c>
      <c r="I1268">
        <v>2026</v>
      </c>
      <c r="J1268">
        <v>2</v>
      </c>
      <c r="K1268">
        <v>22</v>
      </c>
      <c r="L1268">
        <v>0</v>
      </c>
      <c r="M1268">
        <v>19</v>
      </c>
      <c r="N1268">
        <v>0.2</v>
      </c>
      <c r="O1268">
        <v>0.46124999999999999</v>
      </c>
      <c r="P1268" t="s">
        <v>43</v>
      </c>
    </row>
    <row r="1269" spans="1:16" hidden="1" x14ac:dyDescent="0.25">
      <c r="A1269" s="12">
        <v>46075.833333333336</v>
      </c>
      <c r="B1269" t="s">
        <v>13</v>
      </c>
      <c r="C1269" t="s">
        <v>17</v>
      </c>
      <c r="D1269">
        <v>12</v>
      </c>
      <c r="E1269">
        <v>30</v>
      </c>
      <c r="F1269">
        <v>23.372186041751871</v>
      </c>
      <c r="G1269" t="str">
        <f>FLOOR(FinalData[[#This Row],[Temperature_C]],2)&amp;"–"&amp;(FLOOR(FinalData[[#This Row],[Temperature_C]],2)+2)&amp;"°C"</f>
        <v>22–24°C</v>
      </c>
      <c r="H1269">
        <v>4.3899999999999997</v>
      </c>
      <c r="I1269">
        <v>2026</v>
      </c>
      <c r="J1269">
        <v>2</v>
      </c>
      <c r="K1269">
        <v>22</v>
      </c>
      <c r="L1269">
        <v>0</v>
      </c>
      <c r="M1269">
        <v>20</v>
      </c>
      <c r="N1269">
        <v>0.4</v>
      </c>
      <c r="O1269">
        <v>0.36583333333333329</v>
      </c>
      <c r="P1269" t="s">
        <v>43</v>
      </c>
    </row>
    <row r="1270" spans="1:16" hidden="1" x14ac:dyDescent="0.25">
      <c r="A1270" s="12">
        <v>46075.875</v>
      </c>
      <c r="B1270" t="s">
        <v>18</v>
      </c>
      <c r="C1270" t="s">
        <v>30</v>
      </c>
      <c r="D1270">
        <v>12</v>
      </c>
      <c r="E1270">
        <v>20</v>
      </c>
      <c r="F1270">
        <v>20.763295547999039</v>
      </c>
      <c r="G1270" t="str">
        <f>FLOOR(FinalData[[#This Row],[Temperature_C]],2)&amp;"–"&amp;(FLOOR(FinalData[[#This Row],[Temperature_C]],2)+2)&amp;"°C"</f>
        <v>20–22°C</v>
      </c>
      <c r="H1270">
        <v>4.0199999999999996</v>
      </c>
      <c r="I1270">
        <v>2026</v>
      </c>
      <c r="J1270">
        <v>2</v>
      </c>
      <c r="K1270">
        <v>22</v>
      </c>
      <c r="L1270">
        <v>0</v>
      </c>
      <c r="M1270">
        <v>21</v>
      </c>
      <c r="N1270">
        <v>0.6</v>
      </c>
      <c r="O1270">
        <v>0.33499999999999996</v>
      </c>
      <c r="P1270" t="s">
        <v>40</v>
      </c>
    </row>
    <row r="1271" spans="1:16" hidden="1" x14ac:dyDescent="0.25">
      <c r="A1271" s="12">
        <v>46075.916666666664</v>
      </c>
      <c r="B1271" t="s">
        <v>13</v>
      </c>
      <c r="C1271" t="s">
        <v>25</v>
      </c>
      <c r="D1271">
        <v>9</v>
      </c>
      <c r="E1271">
        <v>20</v>
      </c>
      <c r="F1271">
        <v>21.978284648795231</v>
      </c>
      <c r="G1271" t="str">
        <f>FLOOR(FinalData[[#This Row],[Temperature_C]],2)&amp;"–"&amp;(FLOOR(FinalData[[#This Row],[Temperature_C]],2)+2)&amp;"°C"</f>
        <v>20–22°C</v>
      </c>
      <c r="H1271">
        <v>3.48</v>
      </c>
      <c r="I1271">
        <v>2026</v>
      </c>
      <c r="J1271">
        <v>2</v>
      </c>
      <c r="K1271">
        <v>22</v>
      </c>
      <c r="L1271">
        <v>0</v>
      </c>
      <c r="M1271">
        <v>22</v>
      </c>
      <c r="N1271">
        <v>0.45</v>
      </c>
      <c r="O1271">
        <v>0.38666666666666666</v>
      </c>
      <c r="P1271" t="s">
        <v>40</v>
      </c>
    </row>
    <row r="1272" spans="1:16" hidden="1" x14ac:dyDescent="0.25">
      <c r="A1272" s="12">
        <v>46075.958333333336</v>
      </c>
      <c r="B1272" t="s">
        <v>9</v>
      </c>
      <c r="C1272" t="s">
        <v>29</v>
      </c>
      <c r="D1272">
        <v>6</v>
      </c>
      <c r="E1272">
        <v>20</v>
      </c>
      <c r="F1272">
        <v>25.432013077822951</v>
      </c>
      <c r="G1272" t="str">
        <f>FLOOR(FinalData[[#This Row],[Temperature_C]],2)&amp;"–"&amp;(FLOOR(FinalData[[#This Row],[Temperature_C]],2)+2)&amp;"°C"</f>
        <v>24–26°C</v>
      </c>
      <c r="H1272">
        <v>2.6</v>
      </c>
      <c r="I1272">
        <v>2026</v>
      </c>
      <c r="J1272">
        <v>2</v>
      </c>
      <c r="K1272">
        <v>22</v>
      </c>
      <c r="L1272">
        <v>0</v>
      </c>
      <c r="M1272">
        <v>23</v>
      </c>
      <c r="N1272">
        <v>0.3</v>
      </c>
      <c r="O1272">
        <v>0.43333333333333335</v>
      </c>
      <c r="P1272" t="s">
        <v>40</v>
      </c>
    </row>
    <row r="1273" spans="1:16" hidden="1" x14ac:dyDescent="0.25">
      <c r="A1273" s="12">
        <v>46076</v>
      </c>
      <c r="B1273" t="s">
        <v>11</v>
      </c>
      <c r="C1273" t="s">
        <v>27</v>
      </c>
      <c r="D1273">
        <v>8</v>
      </c>
      <c r="E1273">
        <v>30</v>
      </c>
      <c r="F1273">
        <v>20.502623029142821</v>
      </c>
      <c r="G1273" t="str">
        <f>FLOOR(FinalData[[#This Row],[Temperature_C]],2)&amp;"–"&amp;(FLOOR(FinalData[[#This Row],[Temperature_C]],2)+2)&amp;"°C"</f>
        <v>20–22°C</v>
      </c>
      <c r="H1273">
        <v>2.88</v>
      </c>
      <c r="I1273">
        <v>2026</v>
      </c>
      <c r="J1273">
        <v>2</v>
      </c>
      <c r="K1273">
        <v>23</v>
      </c>
      <c r="L1273">
        <v>1</v>
      </c>
      <c r="M1273">
        <v>0</v>
      </c>
      <c r="N1273">
        <v>0.26666666666666666</v>
      </c>
      <c r="O1273">
        <v>0.36</v>
      </c>
      <c r="P1273" t="s">
        <v>40</v>
      </c>
    </row>
    <row r="1274" spans="1:16" hidden="1" x14ac:dyDescent="0.25">
      <c r="A1274" s="12">
        <v>46076.041666666664</v>
      </c>
      <c r="B1274" t="s">
        <v>13</v>
      </c>
      <c r="C1274" t="s">
        <v>31</v>
      </c>
      <c r="D1274">
        <v>8</v>
      </c>
      <c r="E1274">
        <v>40</v>
      </c>
      <c r="F1274">
        <v>21.819570775599018</v>
      </c>
      <c r="G1274" t="str">
        <f>FLOOR(FinalData[[#This Row],[Temperature_C]],2)&amp;"–"&amp;(FLOOR(FinalData[[#This Row],[Temperature_C]],2)+2)&amp;"°C"</f>
        <v>20–22°C</v>
      </c>
      <c r="H1274">
        <v>2.79</v>
      </c>
      <c r="I1274">
        <v>2026</v>
      </c>
      <c r="J1274">
        <v>2</v>
      </c>
      <c r="K1274">
        <v>23</v>
      </c>
      <c r="L1274">
        <v>1</v>
      </c>
      <c r="M1274">
        <v>1</v>
      </c>
      <c r="N1274">
        <v>0.2</v>
      </c>
      <c r="O1274">
        <v>0.34875</v>
      </c>
      <c r="P1274" t="s">
        <v>40</v>
      </c>
    </row>
    <row r="1275" spans="1:16" hidden="1" x14ac:dyDescent="0.25">
      <c r="A1275" s="12">
        <v>46076.083333333336</v>
      </c>
      <c r="B1275" t="s">
        <v>9</v>
      </c>
      <c r="C1275" t="s">
        <v>21</v>
      </c>
      <c r="D1275">
        <v>9</v>
      </c>
      <c r="E1275">
        <v>40</v>
      </c>
      <c r="F1275">
        <v>20.437018054262349</v>
      </c>
      <c r="G1275" t="str">
        <f>FLOOR(FinalData[[#This Row],[Temperature_C]],2)&amp;"–"&amp;(FLOOR(FinalData[[#This Row],[Temperature_C]],2)+2)&amp;"°C"</f>
        <v>20–22°C</v>
      </c>
      <c r="H1275">
        <v>3.06</v>
      </c>
      <c r="I1275">
        <v>2026</v>
      </c>
      <c r="J1275">
        <v>2</v>
      </c>
      <c r="K1275">
        <v>23</v>
      </c>
      <c r="L1275">
        <v>1</v>
      </c>
      <c r="M1275">
        <v>2</v>
      </c>
      <c r="N1275">
        <v>0.22500000000000001</v>
      </c>
      <c r="O1275">
        <v>0.34</v>
      </c>
      <c r="P1275" t="s">
        <v>40</v>
      </c>
    </row>
    <row r="1276" spans="1:16" hidden="1" x14ac:dyDescent="0.25">
      <c r="A1276" s="12">
        <v>46076.125</v>
      </c>
      <c r="B1276" t="s">
        <v>7</v>
      </c>
      <c r="C1276" t="s">
        <v>10</v>
      </c>
      <c r="D1276">
        <v>11</v>
      </c>
      <c r="E1276">
        <v>25</v>
      </c>
      <c r="F1276">
        <v>22.301150098728581</v>
      </c>
      <c r="G1276" t="str">
        <f>FLOOR(FinalData[[#This Row],[Temperature_C]],2)&amp;"–"&amp;(FLOOR(FinalData[[#This Row],[Temperature_C]],2)+2)&amp;"°C"</f>
        <v>22–24°C</v>
      </c>
      <c r="H1276">
        <v>3.87</v>
      </c>
      <c r="I1276">
        <v>2026</v>
      </c>
      <c r="J1276">
        <v>2</v>
      </c>
      <c r="K1276">
        <v>23</v>
      </c>
      <c r="L1276">
        <v>1</v>
      </c>
      <c r="M1276">
        <v>3</v>
      </c>
      <c r="N1276">
        <v>0.44</v>
      </c>
      <c r="O1276">
        <v>0.35181818181818181</v>
      </c>
      <c r="P1276" t="s">
        <v>40</v>
      </c>
    </row>
    <row r="1277" spans="1:16" hidden="1" x14ac:dyDescent="0.25">
      <c r="A1277" s="12">
        <v>46076.166666666664</v>
      </c>
      <c r="B1277" t="s">
        <v>11</v>
      </c>
      <c r="C1277" t="s">
        <v>20</v>
      </c>
      <c r="D1277">
        <v>8</v>
      </c>
      <c r="E1277">
        <v>40</v>
      </c>
      <c r="F1277">
        <v>23.251017748964379</v>
      </c>
      <c r="G1277" t="str">
        <f>FLOOR(FinalData[[#This Row],[Temperature_C]],2)&amp;"–"&amp;(FLOOR(FinalData[[#This Row],[Temperature_C]],2)+2)&amp;"°C"</f>
        <v>22–24°C</v>
      </c>
      <c r="H1277">
        <v>2.56</v>
      </c>
      <c r="I1277">
        <v>2026</v>
      </c>
      <c r="J1277">
        <v>2</v>
      </c>
      <c r="K1277">
        <v>23</v>
      </c>
      <c r="L1277">
        <v>1</v>
      </c>
      <c r="M1277">
        <v>4</v>
      </c>
      <c r="N1277">
        <v>0.2</v>
      </c>
      <c r="O1277">
        <v>0.32</v>
      </c>
      <c r="P1277" t="s">
        <v>40</v>
      </c>
    </row>
    <row r="1278" spans="1:16" hidden="1" x14ac:dyDescent="0.25">
      <c r="A1278" s="12">
        <v>46076.208333333336</v>
      </c>
      <c r="B1278" t="s">
        <v>18</v>
      </c>
      <c r="C1278" t="s">
        <v>23</v>
      </c>
      <c r="D1278">
        <v>9</v>
      </c>
      <c r="E1278">
        <v>20</v>
      </c>
      <c r="F1278">
        <v>24.43719304650007</v>
      </c>
      <c r="G1278" t="str">
        <f>FLOOR(FinalData[[#This Row],[Temperature_C]],2)&amp;"–"&amp;(FLOOR(FinalData[[#This Row],[Temperature_C]],2)+2)&amp;"°C"</f>
        <v>24–26°C</v>
      </c>
      <c r="H1278">
        <v>3.37</v>
      </c>
      <c r="I1278">
        <v>2026</v>
      </c>
      <c r="J1278">
        <v>2</v>
      </c>
      <c r="K1278">
        <v>23</v>
      </c>
      <c r="L1278">
        <v>1</v>
      </c>
      <c r="M1278">
        <v>5</v>
      </c>
      <c r="N1278">
        <v>0.45</v>
      </c>
      <c r="O1278">
        <v>0.37444444444444447</v>
      </c>
      <c r="P1278" t="s">
        <v>40</v>
      </c>
    </row>
    <row r="1279" spans="1:16" hidden="1" x14ac:dyDescent="0.25">
      <c r="A1279" s="12">
        <v>46076.25</v>
      </c>
      <c r="B1279" t="s">
        <v>11</v>
      </c>
      <c r="C1279" t="s">
        <v>22</v>
      </c>
      <c r="D1279">
        <v>9</v>
      </c>
      <c r="E1279">
        <v>30</v>
      </c>
      <c r="F1279">
        <v>21.222579298786549</v>
      </c>
      <c r="G1279" t="str">
        <f>FLOOR(FinalData[[#This Row],[Temperature_C]],2)&amp;"–"&amp;(FLOOR(FinalData[[#This Row],[Temperature_C]],2)+2)&amp;"°C"</f>
        <v>20–22°C</v>
      </c>
      <c r="H1279">
        <v>3.44</v>
      </c>
      <c r="I1279">
        <v>2026</v>
      </c>
      <c r="J1279">
        <v>2</v>
      </c>
      <c r="K1279">
        <v>23</v>
      </c>
      <c r="L1279">
        <v>1</v>
      </c>
      <c r="M1279">
        <v>6</v>
      </c>
      <c r="N1279">
        <v>0.3</v>
      </c>
      <c r="O1279">
        <v>0.38222222222222224</v>
      </c>
      <c r="P1279" t="s">
        <v>40</v>
      </c>
    </row>
    <row r="1280" spans="1:16" hidden="1" x14ac:dyDescent="0.25">
      <c r="A1280" s="12">
        <v>46076.291666666664</v>
      </c>
      <c r="B1280" t="s">
        <v>9</v>
      </c>
      <c r="C1280" t="s">
        <v>30</v>
      </c>
      <c r="D1280">
        <v>11</v>
      </c>
      <c r="E1280">
        <v>40</v>
      </c>
      <c r="F1280">
        <v>22.837012268081011</v>
      </c>
      <c r="G1280" t="str">
        <f>FLOOR(FinalData[[#This Row],[Temperature_C]],2)&amp;"–"&amp;(FLOOR(FinalData[[#This Row],[Temperature_C]],2)+2)&amp;"°C"</f>
        <v>22–24°C</v>
      </c>
      <c r="H1280">
        <v>3.91</v>
      </c>
      <c r="I1280">
        <v>2026</v>
      </c>
      <c r="J1280">
        <v>2</v>
      </c>
      <c r="K1280">
        <v>23</v>
      </c>
      <c r="L1280">
        <v>1</v>
      </c>
      <c r="M1280">
        <v>7</v>
      </c>
      <c r="N1280">
        <v>0.27500000000000002</v>
      </c>
      <c r="O1280">
        <v>0.35545454545454547</v>
      </c>
      <c r="P1280" t="s">
        <v>41</v>
      </c>
    </row>
    <row r="1281" spans="1:16" hidden="1" x14ac:dyDescent="0.25">
      <c r="A1281" s="12">
        <v>46076.333333333336</v>
      </c>
      <c r="B1281" t="s">
        <v>13</v>
      </c>
      <c r="C1281" t="s">
        <v>20</v>
      </c>
      <c r="D1281">
        <v>11</v>
      </c>
      <c r="E1281">
        <v>40</v>
      </c>
      <c r="F1281">
        <v>19.481301022432739</v>
      </c>
      <c r="G1281" t="str">
        <f>FLOOR(FinalData[[#This Row],[Temperature_C]],2)&amp;"–"&amp;(FLOOR(FinalData[[#This Row],[Temperature_C]],2)+2)&amp;"°C"</f>
        <v>18–20°C</v>
      </c>
      <c r="H1281">
        <v>4.07</v>
      </c>
      <c r="I1281">
        <v>2026</v>
      </c>
      <c r="J1281">
        <v>2</v>
      </c>
      <c r="K1281">
        <v>23</v>
      </c>
      <c r="L1281">
        <v>1</v>
      </c>
      <c r="M1281">
        <v>8</v>
      </c>
      <c r="N1281">
        <v>0.27500000000000002</v>
      </c>
      <c r="O1281">
        <v>0.37000000000000005</v>
      </c>
      <c r="P1281" t="s">
        <v>41</v>
      </c>
    </row>
    <row r="1282" spans="1:16" hidden="1" x14ac:dyDescent="0.25">
      <c r="A1282" s="12">
        <v>46076.375</v>
      </c>
      <c r="B1282" t="s">
        <v>9</v>
      </c>
      <c r="C1282" t="s">
        <v>16</v>
      </c>
      <c r="D1282">
        <v>11</v>
      </c>
      <c r="E1282">
        <v>30</v>
      </c>
      <c r="F1282">
        <v>18.839624054716261</v>
      </c>
      <c r="G1282" t="str">
        <f>FLOOR(FinalData[[#This Row],[Temperature_C]],2)&amp;"–"&amp;(FLOOR(FinalData[[#This Row],[Temperature_C]],2)+2)&amp;"°C"</f>
        <v>18–20°C</v>
      </c>
      <c r="H1282">
        <v>4.1100000000000003</v>
      </c>
      <c r="I1282">
        <v>2026</v>
      </c>
      <c r="J1282">
        <v>2</v>
      </c>
      <c r="K1282">
        <v>23</v>
      </c>
      <c r="L1282">
        <v>1</v>
      </c>
      <c r="M1282">
        <v>9</v>
      </c>
      <c r="N1282">
        <v>0.36666666666666664</v>
      </c>
      <c r="O1282">
        <v>0.37363636363636366</v>
      </c>
      <c r="P1282" t="s">
        <v>41</v>
      </c>
    </row>
    <row r="1283" spans="1:16" hidden="1" x14ac:dyDescent="0.25">
      <c r="A1283" s="12">
        <v>46076.416666666664</v>
      </c>
      <c r="B1283" t="s">
        <v>13</v>
      </c>
      <c r="C1283" t="s">
        <v>31</v>
      </c>
      <c r="D1283">
        <v>2</v>
      </c>
      <c r="E1283">
        <v>40</v>
      </c>
      <c r="F1283">
        <v>21.01869184500152</v>
      </c>
      <c r="G1283" t="str">
        <f>FLOOR(FinalData[[#This Row],[Temperature_C]],2)&amp;"–"&amp;(FLOOR(FinalData[[#This Row],[Temperature_C]],2)+2)&amp;"°C"</f>
        <v>20–22°C</v>
      </c>
      <c r="H1283">
        <v>1.36</v>
      </c>
      <c r="I1283">
        <v>2026</v>
      </c>
      <c r="J1283">
        <v>2</v>
      </c>
      <c r="K1283">
        <v>23</v>
      </c>
      <c r="L1283">
        <v>1</v>
      </c>
      <c r="M1283">
        <v>10</v>
      </c>
      <c r="N1283">
        <v>0.05</v>
      </c>
      <c r="O1283">
        <v>0.68</v>
      </c>
      <c r="P1283" t="s">
        <v>41</v>
      </c>
    </row>
    <row r="1284" spans="1:16" hidden="1" x14ac:dyDescent="0.25">
      <c r="A1284" s="12">
        <v>46076.458333333336</v>
      </c>
      <c r="B1284" t="s">
        <v>18</v>
      </c>
      <c r="C1284" t="s">
        <v>17</v>
      </c>
      <c r="D1284">
        <v>12</v>
      </c>
      <c r="E1284">
        <v>40</v>
      </c>
      <c r="F1284">
        <v>20.690354264547441</v>
      </c>
      <c r="G1284" t="str">
        <f>FLOOR(FinalData[[#This Row],[Temperature_C]],2)&amp;"–"&amp;(FLOOR(FinalData[[#This Row],[Temperature_C]],2)+2)&amp;"°C"</f>
        <v>20–22°C</v>
      </c>
      <c r="H1284">
        <v>3.79</v>
      </c>
      <c r="I1284">
        <v>2026</v>
      </c>
      <c r="J1284">
        <v>2</v>
      </c>
      <c r="K1284">
        <v>23</v>
      </c>
      <c r="L1284">
        <v>1</v>
      </c>
      <c r="M1284">
        <v>11</v>
      </c>
      <c r="N1284">
        <v>0.3</v>
      </c>
      <c r="O1284">
        <v>0.31583333333333335</v>
      </c>
      <c r="P1284" t="s">
        <v>41</v>
      </c>
    </row>
    <row r="1285" spans="1:16" hidden="1" x14ac:dyDescent="0.25">
      <c r="A1285" s="12">
        <v>46076.5</v>
      </c>
      <c r="B1285" t="s">
        <v>13</v>
      </c>
      <c r="C1285" t="s">
        <v>28</v>
      </c>
      <c r="D1285">
        <v>12</v>
      </c>
      <c r="E1285">
        <v>20</v>
      </c>
      <c r="F1285">
        <v>25.252786899444128</v>
      </c>
      <c r="G1285" t="str">
        <f>FLOOR(FinalData[[#This Row],[Temperature_C]],2)&amp;"–"&amp;(FLOOR(FinalData[[#This Row],[Temperature_C]],2)+2)&amp;"°C"</f>
        <v>24–26°C</v>
      </c>
      <c r="H1285">
        <v>4.26</v>
      </c>
      <c r="I1285">
        <v>2026</v>
      </c>
      <c r="J1285">
        <v>2</v>
      </c>
      <c r="K1285">
        <v>23</v>
      </c>
      <c r="L1285">
        <v>1</v>
      </c>
      <c r="M1285">
        <v>12</v>
      </c>
      <c r="N1285">
        <v>0.6</v>
      </c>
      <c r="O1285">
        <v>0.35499999999999998</v>
      </c>
      <c r="P1285" t="s">
        <v>42</v>
      </c>
    </row>
    <row r="1286" spans="1:16" hidden="1" x14ac:dyDescent="0.25">
      <c r="A1286" s="12">
        <v>46076.541666666664</v>
      </c>
      <c r="B1286" t="s">
        <v>7</v>
      </c>
      <c r="C1286" t="s">
        <v>29</v>
      </c>
      <c r="D1286">
        <v>9</v>
      </c>
      <c r="E1286">
        <v>25</v>
      </c>
      <c r="F1286">
        <v>21.30720338844462</v>
      </c>
      <c r="G1286" t="str">
        <f>FLOOR(FinalData[[#This Row],[Temperature_C]],2)&amp;"–"&amp;(FLOOR(FinalData[[#This Row],[Temperature_C]],2)+2)&amp;"°C"</f>
        <v>20–22°C</v>
      </c>
      <c r="H1286">
        <v>3.68</v>
      </c>
      <c r="I1286">
        <v>2026</v>
      </c>
      <c r="J1286">
        <v>2</v>
      </c>
      <c r="K1286">
        <v>23</v>
      </c>
      <c r="L1286">
        <v>1</v>
      </c>
      <c r="M1286">
        <v>13</v>
      </c>
      <c r="N1286">
        <v>0.36</v>
      </c>
      <c r="O1286">
        <v>0.40888888888888891</v>
      </c>
      <c r="P1286" t="s">
        <v>42</v>
      </c>
    </row>
    <row r="1287" spans="1:16" hidden="1" x14ac:dyDescent="0.25">
      <c r="A1287" s="12">
        <v>46076.583333333336</v>
      </c>
      <c r="B1287" t="s">
        <v>11</v>
      </c>
      <c r="C1287" t="s">
        <v>8</v>
      </c>
      <c r="D1287">
        <v>8</v>
      </c>
      <c r="E1287">
        <v>40</v>
      </c>
      <c r="F1287">
        <v>23.397791344698351</v>
      </c>
      <c r="G1287" t="str">
        <f>FLOOR(FinalData[[#This Row],[Temperature_C]],2)&amp;"–"&amp;(FLOOR(FinalData[[#This Row],[Temperature_C]],2)+2)&amp;"°C"</f>
        <v>22–24°C</v>
      </c>
      <c r="H1287">
        <v>3.15</v>
      </c>
      <c r="I1287">
        <v>2026</v>
      </c>
      <c r="J1287">
        <v>2</v>
      </c>
      <c r="K1287">
        <v>23</v>
      </c>
      <c r="L1287">
        <v>1</v>
      </c>
      <c r="M1287">
        <v>14</v>
      </c>
      <c r="N1287">
        <v>0.2</v>
      </c>
      <c r="O1287">
        <v>0.39374999999999999</v>
      </c>
      <c r="P1287" t="s">
        <v>42</v>
      </c>
    </row>
    <row r="1288" spans="1:16" hidden="1" x14ac:dyDescent="0.25">
      <c r="A1288" s="12">
        <v>46076.625</v>
      </c>
      <c r="B1288" t="s">
        <v>13</v>
      </c>
      <c r="C1288" t="s">
        <v>26</v>
      </c>
      <c r="D1288">
        <v>7</v>
      </c>
      <c r="E1288">
        <v>30</v>
      </c>
      <c r="F1288">
        <v>23.468719381457969</v>
      </c>
      <c r="G1288" t="str">
        <f>FLOOR(FinalData[[#This Row],[Temperature_C]],2)&amp;"–"&amp;(FLOOR(FinalData[[#This Row],[Temperature_C]],2)+2)&amp;"°C"</f>
        <v>22–24°C</v>
      </c>
      <c r="H1288">
        <v>2.93</v>
      </c>
      <c r="I1288">
        <v>2026</v>
      </c>
      <c r="J1288">
        <v>2</v>
      </c>
      <c r="K1288">
        <v>23</v>
      </c>
      <c r="L1288">
        <v>1</v>
      </c>
      <c r="M1288">
        <v>15</v>
      </c>
      <c r="N1288">
        <v>0.23333333333333334</v>
      </c>
      <c r="O1288">
        <v>0.41857142857142859</v>
      </c>
      <c r="P1288" t="s">
        <v>42</v>
      </c>
    </row>
    <row r="1289" spans="1:16" hidden="1" x14ac:dyDescent="0.25">
      <c r="A1289" s="12">
        <v>46076.666666666664</v>
      </c>
      <c r="B1289" t="s">
        <v>7</v>
      </c>
      <c r="C1289" t="s">
        <v>10</v>
      </c>
      <c r="D1289">
        <v>4</v>
      </c>
      <c r="E1289">
        <v>40</v>
      </c>
      <c r="F1289">
        <v>20.548930555570191</v>
      </c>
      <c r="G1289" t="str">
        <f>FLOOR(FinalData[[#This Row],[Temperature_C]],2)&amp;"–"&amp;(FLOOR(FinalData[[#This Row],[Temperature_C]],2)+2)&amp;"°C"</f>
        <v>20–22°C</v>
      </c>
      <c r="H1289">
        <v>2.06</v>
      </c>
      <c r="I1289">
        <v>2026</v>
      </c>
      <c r="J1289">
        <v>2</v>
      </c>
      <c r="K1289">
        <v>23</v>
      </c>
      <c r="L1289">
        <v>1</v>
      </c>
      <c r="M1289">
        <v>16</v>
      </c>
      <c r="N1289">
        <v>0.1</v>
      </c>
      <c r="O1289">
        <v>0.51500000000000001</v>
      </c>
      <c r="P1289" t="s">
        <v>42</v>
      </c>
    </row>
    <row r="1290" spans="1:16" hidden="1" x14ac:dyDescent="0.25">
      <c r="A1290" s="12">
        <v>46076.708333333336</v>
      </c>
      <c r="B1290" t="s">
        <v>13</v>
      </c>
      <c r="C1290" t="s">
        <v>30</v>
      </c>
      <c r="D1290">
        <v>3</v>
      </c>
      <c r="E1290">
        <v>20</v>
      </c>
      <c r="F1290">
        <v>24.746132132664201</v>
      </c>
      <c r="G1290" t="str">
        <f>FLOOR(FinalData[[#This Row],[Temperature_C]],2)&amp;"–"&amp;(FLOOR(FinalData[[#This Row],[Temperature_C]],2)+2)&amp;"°C"</f>
        <v>24–26°C</v>
      </c>
      <c r="H1290">
        <v>2.14</v>
      </c>
      <c r="I1290">
        <v>2026</v>
      </c>
      <c r="J1290">
        <v>2</v>
      </c>
      <c r="K1290">
        <v>23</v>
      </c>
      <c r="L1290">
        <v>1</v>
      </c>
      <c r="M1290">
        <v>17</v>
      </c>
      <c r="N1290">
        <v>0.15</v>
      </c>
      <c r="O1290">
        <v>0.71333333333333337</v>
      </c>
      <c r="P1290" t="s">
        <v>43</v>
      </c>
    </row>
    <row r="1291" spans="1:16" hidden="1" x14ac:dyDescent="0.25">
      <c r="A1291" s="12">
        <v>46076.75</v>
      </c>
      <c r="B1291" t="s">
        <v>13</v>
      </c>
      <c r="C1291" t="s">
        <v>20</v>
      </c>
      <c r="D1291">
        <v>4</v>
      </c>
      <c r="E1291">
        <v>20</v>
      </c>
      <c r="F1291">
        <v>26.33695632866802</v>
      </c>
      <c r="G1291" t="str">
        <f>FLOOR(FinalData[[#This Row],[Temperature_C]],2)&amp;"–"&amp;(FLOOR(FinalData[[#This Row],[Temperature_C]],2)+2)&amp;"°C"</f>
        <v>26–28°C</v>
      </c>
      <c r="H1291">
        <v>2.54</v>
      </c>
      <c r="I1291">
        <v>2026</v>
      </c>
      <c r="J1291">
        <v>2</v>
      </c>
      <c r="K1291">
        <v>23</v>
      </c>
      <c r="L1291">
        <v>1</v>
      </c>
      <c r="M1291">
        <v>18</v>
      </c>
      <c r="N1291">
        <v>0.2</v>
      </c>
      <c r="O1291">
        <v>0.63500000000000001</v>
      </c>
      <c r="P1291" t="s">
        <v>43</v>
      </c>
    </row>
    <row r="1292" spans="1:16" hidden="1" x14ac:dyDescent="0.25">
      <c r="A1292" s="12">
        <v>46076.791666666664</v>
      </c>
      <c r="B1292" t="s">
        <v>9</v>
      </c>
      <c r="C1292" t="s">
        <v>15</v>
      </c>
      <c r="D1292">
        <v>12</v>
      </c>
      <c r="E1292">
        <v>25</v>
      </c>
      <c r="F1292">
        <v>22.859907112544072</v>
      </c>
      <c r="G1292" t="str">
        <f>FLOOR(FinalData[[#This Row],[Temperature_C]],2)&amp;"–"&amp;(FLOOR(FinalData[[#This Row],[Temperature_C]],2)+2)&amp;"°C"</f>
        <v>22–24°C</v>
      </c>
      <c r="H1292">
        <v>4.1500000000000004</v>
      </c>
      <c r="I1292">
        <v>2026</v>
      </c>
      <c r="J1292">
        <v>2</v>
      </c>
      <c r="K1292">
        <v>23</v>
      </c>
      <c r="L1292">
        <v>1</v>
      </c>
      <c r="M1292">
        <v>19</v>
      </c>
      <c r="N1292">
        <v>0.48</v>
      </c>
      <c r="O1292">
        <v>0.34583333333333338</v>
      </c>
      <c r="P1292" t="s">
        <v>43</v>
      </c>
    </row>
    <row r="1293" spans="1:16" hidden="1" x14ac:dyDescent="0.25">
      <c r="A1293" s="12">
        <v>46076.833333333336</v>
      </c>
      <c r="B1293" t="s">
        <v>18</v>
      </c>
      <c r="C1293" t="s">
        <v>25</v>
      </c>
      <c r="D1293">
        <v>6</v>
      </c>
      <c r="E1293">
        <v>25</v>
      </c>
      <c r="F1293">
        <v>22.176257201513732</v>
      </c>
      <c r="G1293" t="str">
        <f>FLOOR(FinalData[[#This Row],[Temperature_C]],2)&amp;"–"&amp;(FLOOR(FinalData[[#This Row],[Temperature_C]],2)+2)&amp;"°C"</f>
        <v>22–24°C</v>
      </c>
      <c r="H1293">
        <v>2.64</v>
      </c>
      <c r="I1293">
        <v>2026</v>
      </c>
      <c r="J1293">
        <v>2</v>
      </c>
      <c r="K1293">
        <v>23</v>
      </c>
      <c r="L1293">
        <v>1</v>
      </c>
      <c r="M1293">
        <v>20</v>
      </c>
      <c r="N1293">
        <v>0.24</v>
      </c>
      <c r="O1293">
        <v>0.44</v>
      </c>
      <c r="P1293" t="s">
        <v>43</v>
      </c>
    </row>
    <row r="1294" spans="1:16" hidden="1" x14ac:dyDescent="0.25">
      <c r="A1294" s="12">
        <v>46076.875</v>
      </c>
      <c r="B1294" t="s">
        <v>18</v>
      </c>
      <c r="C1294" t="s">
        <v>26</v>
      </c>
      <c r="D1294">
        <v>7</v>
      </c>
      <c r="E1294">
        <v>40</v>
      </c>
      <c r="F1294">
        <v>19.532859543157091</v>
      </c>
      <c r="G1294" t="str">
        <f>FLOOR(FinalData[[#This Row],[Temperature_C]],2)&amp;"–"&amp;(FLOOR(FinalData[[#This Row],[Temperature_C]],2)+2)&amp;"°C"</f>
        <v>18–20°C</v>
      </c>
      <c r="H1294">
        <v>2.2799999999999998</v>
      </c>
      <c r="I1294">
        <v>2026</v>
      </c>
      <c r="J1294">
        <v>2</v>
      </c>
      <c r="K1294">
        <v>23</v>
      </c>
      <c r="L1294">
        <v>1</v>
      </c>
      <c r="M1294">
        <v>21</v>
      </c>
      <c r="N1294">
        <v>0.17499999999999999</v>
      </c>
      <c r="O1294">
        <v>0.32571428571428568</v>
      </c>
      <c r="P1294" t="s">
        <v>40</v>
      </c>
    </row>
    <row r="1295" spans="1:16" hidden="1" x14ac:dyDescent="0.25">
      <c r="A1295" s="12">
        <v>46076.916666666664</v>
      </c>
      <c r="B1295" t="s">
        <v>11</v>
      </c>
      <c r="C1295" t="s">
        <v>29</v>
      </c>
      <c r="D1295">
        <v>11</v>
      </c>
      <c r="E1295">
        <v>20</v>
      </c>
      <c r="F1295">
        <v>23.898216181380771</v>
      </c>
      <c r="G1295" t="str">
        <f>FLOOR(FinalData[[#This Row],[Temperature_C]],2)&amp;"–"&amp;(FLOOR(FinalData[[#This Row],[Temperature_C]],2)+2)&amp;"°C"</f>
        <v>22–24°C</v>
      </c>
      <c r="H1295">
        <v>3.93</v>
      </c>
      <c r="I1295">
        <v>2026</v>
      </c>
      <c r="J1295">
        <v>2</v>
      </c>
      <c r="K1295">
        <v>23</v>
      </c>
      <c r="L1295">
        <v>1</v>
      </c>
      <c r="M1295">
        <v>22</v>
      </c>
      <c r="N1295">
        <v>0.55000000000000004</v>
      </c>
      <c r="O1295">
        <v>0.3572727272727273</v>
      </c>
      <c r="P1295" t="s">
        <v>40</v>
      </c>
    </row>
    <row r="1296" spans="1:16" hidden="1" x14ac:dyDescent="0.25">
      <c r="A1296" s="12">
        <v>46076.958333333336</v>
      </c>
      <c r="B1296" t="s">
        <v>18</v>
      </c>
      <c r="C1296" t="s">
        <v>30</v>
      </c>
      <c r="D1296">
        <v>9</v>
      </c>
      <c r="E1296">
        <v>20</v>
      </c>
      <c r="F1296">
        <v>26.34170105888732</v>
      </c>
      <c r="G1296" t="str">
        <f>FLOOR(FinalData[[#This Row],[Temperature_C]],2)&amp;"–"&amp;(FLOOR(FinalData[[#This Row],[Temperature_C]],2)+2)&amp;"°C"</f>
        <v>26–28°C</v>
      </c>
      <c r="H1296">
        <v>4.3600000000000003</v>
      </c>
      <c r="I1296">
        <v>2026</v>
      </c>
      <c r="J1296">
        <v>2</v>
      </c>
      <c r="K1296">
        <v>23</v>
      </c>
      <c r="L1296">
        <v>1</v>
      </c>
      <c r="M1296">
        <v>23</v>
      </c>
      <c r="N1296">
        <v>0.45</v>
      </c>
      <c r="O1296">
        <v>0.48444444444444446</v>
      </c>
      <c r="P1296" t="s">
        <v>40</v>
      </c>
    </row>
    <row r="1297" spans="1:16" hidden="1" x14ac:dyDescent="0.25">
      <c r="A1297" s="12">
        <v>46077</v>
      </c>
      <c r="B1297" t="s">
        <v>13</v>
      </c>
      <c r="C1297" t="s">
        <v>26</v>
      </c>
      <c r="D1297">
        <v>14</v>
      </c>
      <c r="E1297">
        <v>40</v>
      </c>
      <c r="F1297">
        <v>21.907667791563959</v>
      </c>
      <c r="G1297" t="str">
        <f>FLOOR(FinalData[[#This Row],[Temperature_C]],2)&amp;"–"&amp;(FLOOR(FinalData[[#This Row],[Temperature_C]],2)+2)&amp;"°C"</f>
        <v>20–22°C</v>
      </c>
      <c r="H1297">
        <v>3.89</v>
      </c>
      <c r="I1297">
        <v>2026</v>
      </c>
      <c r="J1297">
        <v>2</v>
      </c>
      <c r="K1297">
        <v>24</v>
      </c>
      <c r="L1297">
        <v>2</v>
      </c>
      <c r="M1297">
        <v>0</v>
      </c>
      <c r="N1297">
        <v>0.35</v>
      </c>
      <c r="O1297">
        <v>0.27785714285714286</v>
      </c>
      <c r="P1297" t="s">
        <v>40</v>
      </c>
    </row>
    <row r="1298" spans="1:16" hidden="1" x14ac:dyDescent="0.25">
      <c r="A1298" s="12">
        <v>46077.041666666664</v>
      </c>
      <c r="B1298" t="s">
        <v>13</v>
      </c>
      <c r="C1298" t="s">
        <v>26</v>
      </c>
      <c r="D1298">
        <v>7</v>
      </c>
      <c r="E1298">
        <v>25</v>
      </c>
      <c r="F1298">
        <v>21.363995630516509</v>
      </c>
      <c r="G1298" t="str">
        <f>FLOOR(FinalData[[#This Row],[Temperature_C]],2)&amp;"–"&amp;(FLOOR(FinalData[[#This Row],[Temperature_C]],2)+2)&amp;"°C"</f>
        <v>20–22°C</v>
      </c>
      <c r="H1298">
        <v>2.68</v>
      </c>
      <c r="I1298">
        <v>2026</v>
      </c>
      <c r="J1298">
        <v>2</v>
      </c>
      <c r="K1298">
        <v>24</v>
      </c>
      <c r="L1298">
        <v>2</v>
      </c>
      <c r="M1298">
        <v>1</v>
      </c>
      <c r="N1298">
        <v>0.28000000000000003</v>
      </c>
      <c r="O1298">
        <v>0.3828571428571429</v>
      </c>
      <c r="P1298" t="s">
        <v>40</v>
      </c>
    </row>
    <row r="1299" spans="1:16" hidden="1" x14ac:dyDescent="0.25">
      <c r="A1299" s="12">
        <v>46077.083333333336</v>
      </c>
      <c r="B1299" t="s">
        <v>9</v>
      </c>
      <c r="C1299" t="s">
        <v>12</v>
      </c>
      <c r="D1299">
        <v>6</v>
      </c>
      <c r="E1299">
        <v>30</v>
      </c>
      <c r="F1299">
        <v>25.19976654710694</v>
      </c>
      <c r="G1299" t="str">
        <f>FLOOR(FinalData[[#This Row],[Temperature_C]],2)&amp;"–"&amp;(FLOOR(FinalData[[#This Row],[Temperature_C]],2)+2)&amp;"°C"</f>
        <v>24–26°C</v>
      </c>
      <c r="H1299">
        <v>2.75</v>
      </c>
      <c r="I1299">
        <v>2026</v>
      </c>
      <c r="J1299">
        <v>2</v>
      </c>
      <c r="K1299">
        <v>24</v>
      </c>
      <c r="L1299">
        <v>2</v>
      </c>
      <c r="M1299">
        <v>2</v>
      </c>
      <c r="N1299">
        <v>0.2</v>
      </c>
      <c r="O1299">
        <v>0.45833333333333331</v>
      </c>
      <c r="P1299" t="s">
        <v>40</v>
      </c>
    </row>
    <row r="1300" spans="1:16" hidden="1" x14ac:dyDescent="0.25">
      <c r="A1300" s="12">
        <v>46077.125</v>
      </c>
      <c r="B1300" t="s">
        <v>9</v>
      </c>
      <c r="C1300" t="s">
        <v>29</v>
      </c>
      <c r="D1300">
        <v>9</v>
      </c>
      <c r="E1300">
        <v>30</v>
      </c>
      <c r="F1300">
        <v>22.282247830263739</v>
      </c>
      <c r="G1300" t="str">
        <f>FLOOR(FinalData[[#This Row],[Temperature_C]],2)&amp;"–"&amp;(FLOOR(FinalData[[#This Row],[Temperature_C]],2)+2)&amp;"°C"</f>
        <v>22–24°C</v>
      </c>
      <c r="H1300">
        <v>3.3</v>
      </c>
      <c r="I1300">
        <v>2026</v>
      </c>
      <c r="J1300">
        <v>2</v>
      </c>
      <c r="K1300">
        <v>24</v>
      </c>
      <c r="L1300">
        <v>2</v>
      </c>
      <c r="M1300">
        <v>3</v>
      </c>
      <c r="N1300">
        <v>0.3</v>
      </c>
      <c r="O1300">
        <v>0.36666666666666664</v>
      </c>
      <c r="P1300" t="s">
        <v>40</v>
      </c>
    </row>
    <row r="1301" spans="1:16" hidden="1" x14ac:dyDescent="0.25">
      <c r="A1301" s="12">
        <v>46077.166666666664</v>
      </c>
      <c r="B1301" t="s">
        <v>9</v>
      </c>
      <c r="C1301" t="s">
        <v>12</v>
      </c>
      <c r="D1301">
        <v>10</v>
      </c>
      <c r="E1301">
        <v>40</v>
      </c>
      <c r="F1301">
        <v>22.525375531609559</v>
      </c>
      <c r="G1301" t="str">
        <f>FLOOR(FinalData[[#This Row],[Temperature_C]],2)&amp;"–"&amp;(FLOOR(FinalData[[#This Row],[Temperature_C]],2)+2)&amp;"°C"</f>
        <v>22–24°C</v>
      </c>
      <c r="H1301">
        <v>3.69</v>
      </c>
      <c r="I1301">
        <v>2026</v>
      </c>
      <c r="J1301">
        <v>2</v>
      </c>
      <c r="K1301">
        <v>24</v>
      </c>
      <c r="L1301">
        <v>2</v>
      </c>
      <c r="M1301">
        <v>4</v>
      </c>
      <c r="N1301">
        <v>0.25</v>
      </c>
      <c r="O1301">
        <v>0.36899999999999999</v>
      </c>
      <c r="P1301" t="s">
        <v>40</v>
      </c>
    </row>
    <row r="1302" spans="1:16" hidden="1" x14ac:dyDescent="0.25">
      <c r="A1302" s="12">
        <v>46077.208333333336</v>
      </c>
      <c r="B1302" t="s">
        <v>9</v>
      </c>
      <c r="C1302" t="s">
        <v>21</v>
      </c>
      <c r="D1302">
        <v>6</v>
      </c>
      <c r="E1302">
        <v>25</v>
      </c>
      <c r="F1302">
        <v>18.947432977265521</v>
      </c>
      <c r="G1302" t="str">
        <f>FLOOR(FinalData[[#This Row],[Temperature_C]],2)&amp;"–"&amp;(FLOOR(FinalData[[#This Row],[Temperature_C]],2)+2)&amp;"°C"</f>
        <v>18–20°C</v>
      </c>
      <c r="H1302">
        <v>2.5299999999999998</v>
      </c>
      <c r="I1302">
        <v>2026</v>
      </c>
      <c r="J1302">
        <v>2</v>
      </c>
      <c r="K1302">
        <v>24</v>
      </c>
      <c r="L1302">
        <v>2</v>
      </c>
      <c r="M1302">
        <v>5</v>
      </c>
      <c r="N1302">
        <v>0.24</v>
      </c>
      <c r="O1302">
        <v>0.42166666666666663</v>
      </c>
      <c r="P1302" t="s">
        <v>40</v>
      </c>
    </row>
    <row r="1303" spans="1:16" hidden="1" x14ac:dyDescent="0.25">
      <c r="A1303" s="12">
        <v>46077.25</v>
      </c>
      <c r="B1303" t="s">
        <v>18</v>
      </c>
      <c r="C1303" t="s">
        <v>30</v>
      </c>
      <c r="D1303">
        <v>9</v>
      </c>
      <c r="E1303">
        <v>25</v>
      </c>
      <c r="F1303">
        <v>22.35725779629562</v>
      </c>
      <c r="G1303" t="str">
        <f>FLOOR(FinalData[[#This Row],[Temperature_C]],2)&amp;"–"&amp;(FLOOR(FinalData[[#This Row],[Temperature_C]],2)+2)&amp;"°C"</f>
        <v>22–24°C</v>
      </c>
      <c r="H1303">
        <v>3.09</v>
      </c>
      <c r="I1303">
        <v>2026</v>
      </c>
      <c r="J1303">
        <v>2</v>
      </c>
      <c r="K1303">
        <v>24</v>
      </c>
      <c r="L1303">
        <v>2</v>
      </c>
      <c r="M1303">
        <v>6</v>
      </c>
      <c r="N1303">
        <v>0.36</v>
      </c>
      <c r="O1303">
        <v>0.34333333333333332</v>
      </c>
      <c r="P1303" t="s">
        <v>40</v>
      </c>
    </row>
    <row r="1304" spans="1:16" hidden="1" x14ac:dyDescent="0.25">
      <c r="A1304" s="12">
        <v>46077.291666666664</v>
      </c>
      <c r="B1304" t="s">
        <v>13</v>
      </c>
      <c r="C1304" t="s">
        <v>31</v>
      </c>
      <c r="D1304">
        <v>3</v>
      </c>
      <c r="E1304">
        <v>25</v>
      </c>
      <c r="F1304">
        <v>20.990547544709091</v>
      </c>
      <c r="G1304" t="str">
        <f>FLOOR(FinalData[[#This Row],[Temperature_C]],2)&amp;"–"&amp;(FLOOR(FinalData[[#This Row],[Temperature_C]],2)+2)&amp;"°C"</f>
        <v>20–22°C</v>
      </c>
      <c r="H1304">
        <v>1.8</v>
      </c>
      <c r="I1304">
        <v>2026</v>
      </c>
      <c r="J1304">
        <v>2</v>
      </c>
      <c r="K1304">
        <v>24</v>
      </c>
      <c r="L1304">
        <v>2</v>
      </c>
      <c r="M1304">
        <v>7</v>
      </c>
      <c r="N1304">
        <v>0.12</v>
      </c>
      <c r="O1304">
        <v>0.6</v>
      </c>
      <c r="P1304" t="s">
        <v>41</v>
      </c>
    </row>
    <row r="1305" spans="1:16" hidden="1" x14ac:dyDescent="0.25">
      <c r="A1305" s="12">
        <v>46077.333333333336</v>
      </c>
      <c r="B1305" t="s">
        <v>13</v>
      </c>
      <c r="C1305" t="s">
        <v>28</v>
      </c>
      <c r="D1305">
        <v>7</v>
      </c>
      <c r="E1305">
        <v>40</v>
      </c>
      <c r="F1305">
        <v>21.802703723601329</v>
      </c>
      <c r="G1305" t="str">
        <f>FLOOR(FinalData[[#This Row],[Temperature_C]],2)&amp;"–"&amp;(FLOOR(FinalData[[#This Row],[Temperature_C]],2)+2)&amp;"°C"</f>
        <v>20–22°C</v>
      </c>
      <c r="H1305">
        <v>2.5099999999999998</v>
      </c>
      <c r="I1305">
        <v>2026</v>
      </c>
      <c r="J1305">
        <v>2</v>
      </c>
      <c r="K1305">
        <v>24</v>
      </c>
      <c r="L1305">
        <v>2</v>
      </c>
      <c r="M1305">
        <v>8</v>
      </c>
      <c r="N1305">
        <v>0.17499999999999999</v>
      </c>
      <c r="O1305">
        <v>0.35857142857142854</v>
      </c>
      <c r="P1305" t="s">
        <v>41</v>
      </c>
    </row>
    <row r="1306" spans="1:16" hidden="1" x14ac:dyDescent="0.25">
      <c r="A1306" s="12">
        <v>46077.375</v>
      </c>
      <c r="B1306" t="s">
        <v>18</v>
      </c>
      <c r="C1306" t="s">
        <v>8</v>
      </c>
      <c r="D1306">
        <v>6</v>
      </c>
      <c r="E1306">
        <v>25</v>
      </c>
      <c r="F1306">
        <v>22.33752138224321</v>
      </c>
      <c r="G1306" t="str">
        <f>FLOOR(FinalData[[#This Row],[Temperature_C]],2)&amp;"–"&amp;(FLOOR(FinalData[[#This Row],[Temperature_C]],2)+2)&amp;"°C"</f>
        <v>22–24°C</v>
      </c>
      <c r="H1306">
        <v>2.4300000000000002</v>
      </c>
      <c r="I1306">
        <v>2026</v>
      </c>
      <c r="J1306">
        <v>2</v>
      </c>
      <c r="K1306">
        <v>24</v>
      </c>
      <c r="L1306">
        <v>2</v>
      </c>
      <c r="M1306">
        <v>9</v>
      </c>
      <c r="N1306">
        <v>0.24</v>
      </c>
      <c r="O1306">
        <v>0.40500000000000003</v>
      </c>
      <c r="P1306" t="s">
        <v>41</v>
      </c>
    </row>
    <row r="1307" spans="1:16" hidden="1" x14ac:dyDescent="0.25">
      <c r="A1307" s="12">
        <v>46077.416666666664</v>
      </c>
      <c r="B1307" t="s">
        <v>9</v>
      </c>
      <c r="C1307" t="s">
        <v>22</v>
      </c>
      <c r="D1307">
        <v>9</v>
      </c>
      <c r="E1307">
        <v>20</v>
      </c>
      <c r="F1307">
        <v>21.620688990198111</v>
      </c>
      <c r="G1307" t="str">
        <f>FLOOR(FinalData[[#This Row],[Temperature_C]],2)&amp;"–"&amp;(FLOOR(FinalData[[#This Row],[Temperature_C]],2)+2)&amp;"°C"</f>
        <v>20–22°C</v>
      </c>
      <c r="H1307">
        <v>3.09</v>
      </c>
      <c r="I1307">
        <v>2026</v>
      </c>
      <c r="J1307">
        <v>2</v>
      </c>
      <c r="K1307">
        <v>24</v>
      </c>
      <c r="L1307">
        <v>2</v>
      </c>
      <c r="M1307">
        <v>10</v>
      </c>
      <c r="N1307">
        <v>0.45</v>
      </c>
      <c r="O1307">
        <v>0.34333333333333332</v>
      </c>
      <c r="P1307" t="s">
        <v>41</v>
      </c>
    </row>
    <row r="1308" spans="1:16" hidden="1" x14ac:dyDescent="0.25">
      <c r="A1308" s="12">
        <v>46077.458333333336</v>
      </c>
      <c r="B1308" t="s">
        <v>13</v>
      </c>
      <c r="C1308" t="s">
        <v>24</v>
      </c>
      <c r="D1308">
        <v>7</v>
      </c>
      <c r="E1308">
        <v>25</v>
      </c>
      <c r="F1308">
        <v>24.54775434688564</v>
      </c>
      <c r="G1308" t="str">
        <f>FLOOR(FinalData[[#This Row],[Temperature_C]],2)&amp;"–"&amp;(FLOOR(FinalData[[#This Row],[Temperature_C]],2)+2)&amp;"°C"</f>
        <v>24–26°C</v>
      </c>
      <c r="H1308">
        <v>3.18</v>
      </c>
      <c r="I1308">
        <v>2026</v>
      </c>
      <c r="J1308">
        <v>2</v>
      </c>
      <c r="K1308">
        <v>24</v>
      </c>
      <c r="L1308">
        <v>2</v>
      </c>
      <c r="M1308">
        <v>11</v>
      </c>
      <c r="N1308">
        <v>0.28000000000000003</v>
      </c>
      <c r="O1308">
        <v>0.45428571428571429</v>
      </c>
      <c r="P1308" t="s">
        <v>41</v>
      </c>
    </row>
    <row r="1309" spans="1:16" hidden="1" x14ac:dyDescent="0.25">
      <c r="A1309" s="12">
        <v>46077.5</v>
      </c>
      <c r="B1309" t="s">
        <v>18</v>
      </c>
      <c r="C1309" t="s">
        <v>15</v>
      </c>
      <c r="D1309">
        <v>6</v>
      </c>
      <c r="E1309">
        <v>25</v>
      </c>
      <c r="F1309">
        <v>25.779585159523659</v>
      </c>
      <c r="G1309" t="str">
        <f>FLOOR(FinalData[[#This Row],[Temperature_C]],2)&amp;"–"&amp;(FLOOR(FinalData[[#This Row],[Temperature_C]],2)+2)&amp;"°C"</f>
        <v>24–26°C</v>
      </c>
      <c r="H1309">
        <v>3.45</v>
      </c>
      <c r="I1309">
        <v>2026</v>
      </c>
      <c r="J1309">
        <v>2</v>
      </c>
      <c r="K1309">
        <v>24</v>
      </c>
      <c r="L1309">
        <v>2</v>
      </c>
      <c r="M1309">
        <v>12</v>
      </c>
      <c r="N1309">
        <v>0.24</v>
      </c>
      <c r="O1309">
        <v>0.57500000000000007</v>
      </c>
      <c r="P1309" t="s">
        <v>42</v>
      </c>
    </row>
    <row r="1310" spans="1:16" hidden="1" x14ac:dyDescent="0.25">
      <c r="A1310" s="12">
        <v>46077.541666666664</v>
      </c>
      <c r="B1310" t="s">
        <v>18</v>
      </c>
      <c r="C1310" t="s">
        <v>31</v>
      </c>
      <c r="D1310">
        <v>6</v>
      </c>
      <c r="E1310">
        <v>30</v>
      </c>
      <c r="F1310">
        <v>22.201486708108071</v>
      </c>
      <c r="G1310" t="str">
        <f>FLOOR(FinalData[[#This Row],[Temperature_C]],2)&amp;"–"&amp;(FLOOR(FinalData[[#This Row],[Temperature_C]],2)+2)&amp;"°C"</f>
        <v>22–24°C</v>
      </c>
      <c r="H1310">
        <v>2.6</v>
      </c>
      <c r="I1310">
        <v>2026</v>
      </c>
      <c r="J1310">
        <v>2</v>
      </c>
      <c r="K1310">
        <v>24</v>
      </c>
      <c r="L1310">
        <v>2</v>
      </c>
      <c r="M1310">
        <v>13</v>
      </c>
      <c r="N1310">
        <v>0.2</v>
      </c>
      <c r="O1310">
        <v>0.43333333333333335</v>
      </c>
      <c r="P1310" t="s">
        <v>42</v>
      </c>
    </row>
    <row r="1311" spans="1:16" hidden="1" x14ac:dyDescent="0.25">
      <c r="A1311" s="12">
        <v>46077.583333333336</v>
      </c>
      <c r="B1311" t="s">
        <v>18</v>
      </c>
      <c r="C1311" t="s">
        <v>30</v>
      </c>
      <c r="D1311">
        <v>6</v>
      </c>
      <c r="E1311">
        <v>40</v>
      </c>
      <c r="F1311">
        <v>21.113514474712449</v>
      </c>
      <c r="G1311" t="str">
        <f>FLOOR(FinalData[[#This Row],[Temperature_C]],2)&amp;"–"&amp;(FLOOR(FinalData[[#This Row],[Temperature_C]],2)+2)&amp;"°C"</f>
        <v>20–22°C</v>
      </c>
      <c r="H1311">
        <v>2.16</v>
      </c>
      <c r="I1311">
        <v>2026</v>
      </c>
      <c r="J1311">
        <v>2</v>
      </c>
      <c r="K1311">
        <v>24</v>
      </c>
      <c r="L1311">
        <v>2</v>
      </c>
      <c r="M1311">
        <v>14</v>
      </c>
      <c r="N1311">
        <v>0.15</v>
      </c>
      <c r="O1311">
        <v>0.36000000000000004</v>
      </c>
      <c r="P1311" t="s">
        <v>42</v>
      </c>
    </row>
    <row r="1312" spans="1:16" hidden="1" x14ac:dyDescent="0.25">
      <c r="A1312" s="12">
        <v>46077.625</v>
      </c>
      <c r="B1312" t="s">
        <v>18</v>
      </c>
      <c r="C1312" t="s">
        <v>14</v>
      </c>
      <c r="D1312">
        <v>16</v>
      </c>
      <c r="E1312">
        <v>20</v>
      </c>
      <c r="F1312">
        <v>24.154524734401839</v>
      </c>
      <c r="G1312" t="str">
        <f>FLOOR(FinalData[[#This Row],[Temperature_C]],2)&amp;"–"&amp;(FLOOR(FinalData[[#This Row],[Temperature_C]],2)+2)&amp;"°C"</f>
        <v>24–26°C</v>
      </c>
      <c r="H1312">
        <v>4.6900000000000004</v>
      </c>
      <c r="I1312">
        <v>2026</v>
      </c>
      <c r="J1312">
        <v>2</v>
      </c>
      <c r="K1312">
        <v>24</v>
      </c>
      <c r="L1312">
        <v>2</v>
      </c>
      <c r="M1312">
        <v>15</v>
      </c>
      <c r="N1312">
        <v>0.8</v>
      </c>
      <c r="O1312">
        <v>0.29312500000000002</v>
      </c>
      <c r="P1312" t="s">
        <v>42</v>
      </c>
    </row>
    <row r="1313" spans="1:16" hidden="1" x14ac:dyDescent="0.25">
      <c r="A1313" s="12">
        <v>46077.666666666664</v>
      </c>
      <c r="B1313" t="s">
        <v>9</v>
      </c>
      <c r="C1313" t="s">
        <v>28</v>
      </c>
      <c r="D1313">
        <v>7</v>
      </c>
      <c r="E1313">
        <v>30</v>
      </c>
      <c r="F1313">
        <v>25.76974218758809</v>
      </c>
      <c r="G1313" t="str">
        <f>FLOOR(FinalData[[#This Row],[Temperature_C]],2)&amp;"–"&amp;(FLOOR(FinalData[[#This Row],[Temperature_C]],2)+2)&amp;"°C"</f>
        <v>24–26°C</v>
      </c>
      <c r="H1313">
        <v>3.23</v>
      </c>
      <c r="I1313">
        <v>2026</v>
      </c>
      <c r="J1313">
        <v>2</v>
      </c>
      <c r="K1313">
        <v>24</v>
      </c>
      <c r="L1313">
        <v>2</v>
      </c>
      <c r="M1313">
        <v>16</v>
      </c>
      <c r="N1313">
        <v>0.23333333333333334</v>
      </c>
      <c r="O1313">
        <v>0.46142857142857141</v>
      </c>
      <c r="P1313" t="s">
        <v>42</v>
      </c>
    </row>
    <row r="1314" spans="1:16" hidden="1" x14ac:dyDescent="0.25">
      <c r="A1314" s="12">
        <v>46077.708333333336</v>
      </c>
      <c r="B1314" t="s">
        <v>7</v>
      </c>
      <c r="C1314" t="s">
        <v>31</v>
      </c>
      <c r="D1314">
        <v>7</v>
      </c>
      <c r="E1314">
        <v>30</v>
      </c>
      <c r="F1314">
        <v>21.349805400108949</v>
      </c>
      <c r="G1314" t="str">
        <f>FLOOR(FinalData[[#This Row],[Temperature_C]],2)&amp;"–"&amp;(FLOOR(FinalData[[#This Row],[Temperature_C]],2)+2)&amp;"°C"</f>
        <v>20–22°C</v>
      </c>
      <c r="H1314">
        <v>2.66</v>
      </c>
      <c r="I1314">
        <v>2026</v>
      </c>
      <c r="J1314">
        <v>2</v>
      </c>
      <c r="K1314">
        <v>24</v>
      </c>
      <c r="L1314">
        <v>2</v>
      </c>
      <c r="M1314">
        <v>17</v>
      </c>
      <c r="N1314">
        <v>0.23333333333333334</v>
      </c>
      <c r="O1314">
        <v>0.38</v>
      </c>
      <c r="P1314" t="s">
        <v>43</v>
      </c>
    </row>
    <row r="1315" spans="1:16" hidden="1" x14ac:dyDescent="0.25">
      <c r="A1315" s="12">
        <v>46077.75</v>
      </c>
      <c r="B1315" t="s">
        <v>11</v>
      </c>
      <c r="C1315" t="s">
        <v>27</v>
      </c>
      <c r="D1315">
        <v>4</v>
      </c>
      <c r="E1315">
        <v>25</v>
      </c>
      <c r="F1315">
        <v>21.414104994027809</v>
      </c>
      <c r="G1315" t="str">
        <f>FLOOR(FinalData[[#This Row],[Temperature_C]],2)&amp;"–"&amp;(FLOOR(FinalData[[#This Row],[Temperature_C]],2)+2)&amp;"°C"</f>
        <v>20–22°C</v>
      </c>
      <c r="H1315">
        <v>2.4300000000000002</v>
      </c>
      <c r="I1315">
        <v>2026</v>
      </c>
      <c r="J1315">
        <v>2</v>
      </c>
      <c r="K1315">
        <v>24</v>
      </c>
      <c r="L1315">
        <v>2</v>
      </c>
      <c r="M1315">
        <v>18</v>
      </c>
      <c r="N1315">
        <v>0.16</v>
      </c>
      <c r="O1315">
        <v>0.60750000000000004</v>
      </c>
      <c r="P1315" t="s">
        <v>43</v>
      </c>
    </row>
    <row r="1316" spans="1:16" hidden="1" x14ac:dyDescent="0.25">
      <c r="A1316" s="12">
        <v>46077.791666666664</v>
      </c>
      <c r="B1316" t="s">
        <v>11</v>
      </c>
      <c r="C1316" t="s">
        <v>21</v>
      </c>
      <c r="D1316">
        <v>6</v>
      </c>
      <c r="E1316">
        <v>30</v>
      </c>
      <c r="F1316">
        <v>21.673323352975391</v>
      </c>
      <c r="G1316" t="str">
        <f>FLOOR(FinalData[[#This Row],[Temperature_C]],2)&amp;"–"&amp;(FLOOR(FinalData[[#This Row],[Temperature_C]],2)+2)&amp;"°C"</f>
        <v>20–22°C</v>
      </c>
      <c r="H1316">
        <v>1.94</v>
      </c>
      <c r="I1316">
        <v>2026</v>
      </c>
      <c r="J1316">
        <v>2</v>
      </c>
      <c r="K1316">
        <v>24</v>
      </c>
      <c r="L1316">
        <v>2</v>
      </c>
      <c r="M1316">
        <v>19</v>
      </c>
      <c r="N1316">
        <v>0.2</v>
      </c>
      <c r="O1316">
        <v>0.32333333333333331</v>
      </c>
      <c r="P1316" t="s">
        <v>43</v>
      </c>
    </row>
    <row r="1317" spans="1:16" hidden="1" x14ac:dyDescent="0.25">
      <c r="A1317" s="12">
        <v>46077.833333333336</v>
      </c>
      <c r="B1317" t="s">
        <v>7</v>
      </c>
      <c r="C1317" t="s">
        <v>30</v>
      </c>
      <c r="D1317">
        <v>11</v>
      </c>
      <c r="E1317">
        <v>20</v>
      </c>
      <c r="F1317">
        <v>23.154727460568189</v>
      </c>
      <c r="G1317" t="str">
        <f>FLOOR(FinalData[[#This Row],[Temperature_C]],2)&amp;"–"&amp;(FLOOR(FinalData[[#This Row],[Temperature_C]],2)+2)&amp;"°C"</f>
        <v>22–24°C</v>
      </c>
      <c r="H1317">
        <v>3.99</v>
      </c>
      <c r="I1317">
        <v>2026</v>
      </c>
      <c r="J1317">
        <v>2</v>
      </c>
      <c r="K1317">
        <v>24</v>
      </c>
      <c r="L1317">
        <v>2</v>
      </c>
      <c r="M1317">
        <v>20</v>
      </c>
      <c r="N1317">
        <v>0.55000000000000004</v>
      </c>
      <c r="O1317">
        <v>0.36272727272727273</v>
      </c>
      <c r="P1317" t="s">
        <v>43</v>
      </c>
    </row>
    <row r="1318" spans="1:16" hidden="1" x14ac:dyDescent="0.25">
      <c r="A1318" s="12">
        <v>46077.875</v>
      </c>
      <c r="B1318" t="s">
        <v>13</v>
      </c>
      <c r="C1318" t="s">
        <v>20</v>
      </c>
      <c r="D1318">
        <v>6</v>
      </c>
      <c r="E1318">
        <v>25</v>
      </c>
      <c r="F1318">
        <v>25.053651191174112</v>
      </c>
      <c r="G1318" t="str">
        <f>FLOOR(FinalData[[#This Row],[Temperature_C]],2)&amp;"–"&amp;(FLOOR(FinalData[[#This Row],[Temperature_C]],2)+2)&amp;"°C"</f>
        <v>24–26°C</v>
      </c>
      <c r="H1318">
        <v>2.68</v>
      </c>
      <c r="I1318">
        <v>2026</v>
      </c>
      <c r="J1318">
        <v>2</v>
      </c>
      <c r="K1318">
        <v>24</v>
      </c>
      <c r="L1318">
        <v>2</v>
      </c>
      <c r="M1318">
        <v>21</v>
      </c>
      <c r="N1318">
        <v>0.24</v>
      </c>
      <c r="O1318">
        <v>0.44666666666666671</v>
      </c>
      <c r="P1318" t="s">
        <v>40</v>
      </c>
    </row>
    <row r="1319" spans="1:16" hidden="1" x14ac:dyDescent="0.25">
      <c r="A1319" s="12">
        <v>46077.916666666664</v>
      </c>
      <c r="B1319" t="s">
        <v>13</v>
      </c>
      <c r="C1319" t="s">
        <v>22</v>
      </c>
      <c r="D1319">
        <v>4</v>
      </c>
      <c r="E1319">
        <v>20</v>
      </c>
      <c r="F1319">
        <v>22.187697166852391</v>
      </c>
      <c r="G1319" t="str">
        <f>FLOOR(FinalData[[#This Row],[Temperature_C]],2)&amp;"–"&amp;(FLOOR(FinalData[[#This Row],[Temperature_C]],2)+2)&amp;"°C"</f>
        <v>22–24°C</v>
      </c>
      <c r="H1319">
        <v>1.54</v>
      </c>
      <c r="I1319">
        <v>2026</v>
      </c>
      <c r="J1319">
        <v>2</v>
      </c>
      <c r="K1319">
        <v>24</v>
      </c>
      <c r="L1319">
        <v>2</v>
      </c>
      <c r="M1319">
        <v>22</v>
      </c>
      <c r="N1319">
        <v>0.2</v>
      </c>
      <c r="O1319">
        <v>0.38500000000000001</v>
      </c>
      <c r="P1319" t="s">
        <v>40</v>
      </c>
    </row>
    <row r="1320" spans="1:16" hidden="1" x14ac:dyDescent="0.25">
      <c r="A1320" s="12">
        <v>46077.958333333336</v>
      </c>
      <c r="B1320" t="s">
        <v>11</v>
      </c>
      <c r="C1320" t="s">
        <v>26</v>
      </c>
      <c r="D1320">
        <v>10</v>
      </c>
      <c r="E1320">
        <v>40</v>
      </c>
      <c r="F1320">
        <v>19.86793876796677</v>
      </c>
      <c r="G1320" t="str">
        <f>FLOOR(FinalData[[#This Row],[Temperature_C]],2)&amp;"–"&amp;(FLOOR(FinalData[[#This Row],[Temperature_C]],2)+2)&amp;"°C"</f>
        <v>18–20°C</v>
      </c>
      <c r="H1320">
        <v>4.4000000000000004</v>
      </c>
      <c r="I1320">
        <v>2026</v>
      </c>
      <c r="J1320">
        <v>2</v>
      </c>
      <c r="K1320">
        <v>24</v>
      </c>
      <c r="L1320">
        <v>2</v>
      </c>
      <c r="M1320">
        <v>23</v>
      </c>
      <c r="N1320">
        <v>0.25</v>
      </c>
      <c r="O1320">
        <v>0.44000000000000006</v>
      </c>
      <c r="P1320" t="s">
        <v>40</v>
      </c>
    </row>
    <row r="1321" spans="1:16" hidden="1" x14ac:dyDescent="0.25">
      <c r="A1321" s="12">
        <v>46078</v>
      </c>
      <c r="B1321" t="s">
        <v>9</v>
      </c>
      <c r="C1321" t="s">
        <v>21</v>
      </c>
      <c r="D1321">
        <v>7</v>
      </c>
      <c r="E1321">
        <v>30</v>
      </c>
      <c r="F1321">
        <v>20.180902239184778</v>
      </c>
      <c r="G1321" t="str">
        <f>FLOOR(FinalData[[#This Row],[Temperature_C]],2)&amp;"–"&amp;(FLOOR(FinalData[[#This Row],[Temperature_C]],2)+2)&amp;"°C"</f>
        <v>20–22°C</v>
      </c>
      <c r="H1321">
        <v>2.85</v>
      </c>
      <c r="I1321">
        <v>2026</v>
      </c>
      <c r="J1321">
        <v>2</v>
      </c>
      <c r="K1321">
        <v>25</v>
      </c>
      <c r="L1321">
        <v>3</v>
      </c>
      <c r="M1321">
        <v>0</v>
      </c>
      <c r="N1321">
        <v>0.23333333333333334</v>
      </c>
      <c r="O1321">
        <v>0.40714285714285714</v>
      </c>
      <c r="P1321" t="s">
        <v>40</v>
      </c>
    </row>
    <row r="1322" spans="1:16" hidden="1" x14ac:dyDescent="0.25">
      <c r="A1322" s="12">
        <v>46078.041666666664</v>
      </c>
      <c r="B1322" t="s">
        <v>11</v>
      </c>
      <c r="C1322" t="s">
        <v>25</v>
      </c>
      <c r="D1322">
        <v>13</v>
      </c>
      <c r="E1322">
        <v>40</v>
      </c>
      <c r="F1322">
        <v>20.300699940068309</v>
      </c>
      <c r="G1322" t="str">
        <f>FLOOR(FinalData[[#This Row],[Temperature_C]],2)&amp;"–"&amp;(FLOOR(FinalData[[#This Row],[Temperature_C]],2)+2)&amp;"°C"</f>
        <v>20–22°C</v>
      </c>
      <c r="H1322">
        <v>4.4800000000000004</v>
      </c>
      <c r="I1322">
        <v>2026</v>
      </c>
      <c r="J1322">
        <v>2</v>
      </c>
      <c r="K1322">
        <v>25</v>
      </c>
      <c r="L1322">
        <v>3</v>
      </c>
      <c r="M1322">
        <v>1</v>
      </c>
      <c r="N1322">
        <v>0.32500000000000001</v>
      </c>
      <c r="O1322">
        <v>0.34461538461538466</v>
      </c>
      <c r="P1322" t="s">
        <v>40</v>
      </c>
    </row>
    <row r="1323" spans="1:16" hidden="1" x14ac:dyDescent="0.25">
      <c r="A1323" s="12">
        <v>46078.083333333336</v>
      </c>
      <c r="B1323" t="s">
        <v>11</v>
      </c>
      <c r="C1323" t="s">
        <v>10</v>
      </c>
      <c r="D1323">
        <v>1</v>
      </c>
      <c r="E1323">
        <v>20</v>
      </c>
      <c r="F1323">
        <v>19.780193597312621</v>
      </c>
      <c r="G1323" t="str">
        <f>FLOOR(FinalData[[#This Row],[Temperature_C]],2)&amp;"–"&amp;(FLOOR(FinalData[[#This Row],[Temperature_C]],2)+2)&amp;"°C"</f>
        <v>18–20°C</v>
      </c>
      <c r="H1323">
        <v>1.76</v>
      </c>
      <c r="I1323">
        <v>2026</v>
      </c>
      <c r="J1323">
        <v>2</v>
      </c>
      <c r="K1323">
        <v>25</v>
      </c>
      <c r="L1323">
        <v>3</v>
      </c>
      <c r="M1323">
        <v>2</v>
      </c>
      <c r="N1323">
        <v>0.05</v>
      </c>
      <c r="O1323">
        <v>1.76</v>
      </c>
      <c r="P1323" t="s">
        <v>40</v>
      </c>
    </row>
    <row r="1324" spans="1:16" hidden="1" x14ac:dyDescent="0.25">
      <c r="A1324" s="12">
        <v>46078.125</v>
      </c>
      <c r="B1324" t="s">
        <v>7</v>
      </c>
      <c r="C1324" t="s">
        <v>10</v>
      </c>
      <c r="D1324">
        <v>17</v>
      </c>
      <c r="E1324">
        <v>40</v>
      </c>
      <c r="F1324">
        <v>24.032110029551131</v>
      </c>
      <c r="G1324" t="str">
        <f>FLOOR(FinalData[[#This Row],[Temperature_C]],2)&amp;"–"&amp;(FLOOR(FinalData[[#This Row],[Temperature_C]],2)+2)&amp;"°C"</f>
        <v>24–26°C</v>
      </c>
      <c r="H1324">
        <v>5.62</v>
      </c>
      <c r="I1324">
        <v>2026</v>
      </c>
      <c r="J1324">
        <v>2</v>
      </c>
      <c r="K1324">
        <v>25</v>
      </c>
      <c r="L1324">
        <v>3</v>
      </c>
      <c r="M1324">
        <v>3</v>
      </c>
      <c r="N1324">
        <v>0.42499999999999999</v>
      </c>
      <c r="O1324">
        <v>0.33058823529411763</v>
      </c>
      <c r="P1324" t="s">
        <v>40</v>
      </c>
    </row>
    <row r="1325" spans="1:16" hidden="1" x14ac:dyDescent="0.25">
      <c r="A1325" s="12">
        <v>46078.166666666664</v>
      </c>
      <c r="B1325" t="s">
        <v>7</v>
      </c>
      <c r="C1325" t="s">
        <v>14</v>
      </c>
      <c r="D1325">
        <v>11</v>
      </c>
      <c r="E1325">
        <v>25</v>
      </c>
      <c r="F1325">
        <v>23.35030888133295</v>
      </c>
      <c r="G1325" t="str">
        <f>FLOOR(FinalData[[#This Row],[Temperature_C]],2)&amp;"–"&amp;(FLOOR(FinalData[[#This Row],[Temperature_C]],2)+2)&amp;"°C"</f>
        <v>22–24°C</v>
      </c>
      <c r="H1325">
        <v>3.54</v>
      </c>
      <c r="I1325">
        <v>2026</v>
      </c>
      <c r="J1325">
        <v>2</v>
      </c>
      <c r="K1325">
        <v>25</v>
      </c>
      <c r="L1325">
        <v>3</v>
      </c>
      <c r="M1325">
        <v>4</v>
      </c>
      <c r="N1325">
        <v>0.44</v>
      </c>
      <c r="O1325">
        <v>0.32181818181818184</v>
      </c>
      <c r="P1325" t="s">
        <v>40</v>
      </c>
    </row>
    <row r="1326" spans="1:16" hidden="1" x14ac:dyDescent="0.25">
      <c r="A1326" s="12">
        <v>46078.208333333336</v>
      </c>
      <c r="B1326" t="s">
        <v>7</v>
      </c>
      <c r="C1326" t="s">
        <v>14</v>
      </c>
      <c r="D1326">
        <v>6</v>
      </c>
      <c r="E1326">
        <v>40</v>
      </c>
      <c r="F1326">
        <v>23.6934480324839</v>
      </c>
      <c r="G1326" t="str">
        <f>FLOOR(FinalData[[#This Row],[Temperature_C]],2)&amp;"–"&amp;(FLOOR(FinalData[[#This Row],[Temperature_C]],2)+2)&amp;"°C"</f>
        <v>22–24°C</v>
      </c>
      <c r="H1326">
        <v>2.4500000000000002</v>
      </c>
      <c r="I1326">
        <v>2026</v>
      </c>
      <c r="J1326">
        <v>2</v>
      </c>
      <c r="K1326">
        <v>25</v>
      </c>
      <c r="L1326">
        <v>3</v>
      </c>
      <c r="M1326">
        <v>5</v>
      </c>
      <c r="N1326">
        <v>0.15</v>
      </c>
      <c r="O1326">
        <v>0.40833333333333338</v>
      </c>
      <c r="P1326" t="s">
        <v>40</v>
      </c>
    </row>
    <row r="1327" spans="1:16" hidden="1" x14ac:dyDescent="0.25">
      <c r="A1327" s="12">
        <v>46078.25</v>
      </c>
      <c r="B1327" t="s">
        <v>11</v>
      </c>
      <c r="C1327" t="s">
        <v>14</v>
      </c>
      <c r="D1327">
        <v>6</v>
      </c>
      <c r="E1327">
        <v>20</v>
      </c>
      <c r="F1327">
        <v>22.516644070973459</v>
      </c>
      <c r="G1327" t="str">
        <f>FLOOR(FinalData[[#This Row],[Temperature_C]],2)&amp;"–"&amp;(FLOOR(FinalData[[#This Row],[Temperature_C]],2)+2)&amp;"°C"</f>
        <v>22–24°C</v>
      </c>
      <c r="H1327">
        <v>2.48</v>
      </c>
      <c r="I1327">
        <v>2026</v>
      </c>
      <c r="J1327">
        <v>2</v>
      </c>
      <c r="K1327">
        <v>25</v>
      </c>
      <c r="L1327">
        <v>3</v>
      </c>
      <c r="M1327">
        <v>6</v>
      </c>
      <c r="N1327">
        <v>0.3</v>
      </c>
      <c r="O1327">
        <v>0.41333333333333333</v>
      </c>
      <c r="P1327" t="s">
        <v>40</v>
      </c>
    </row>
    <row r="1328" spans="1:16" hidden="1" x14ac:dyDescent="0.25">
      <c r="A1328" s="12">
        <v>46078.291666666664</v>
      </c>
      <c r="B1328" t="s">
        <v>13</v>
      </c>
      <c r="C1328" t="s">
        <v>28</v>
      </c>
      <c r="D1328">
        <v>9</v>
      </c>
      <c r="E1328">
        <v>30</v>
      </c>
      <c r="F1328">
        <v>22.546627142597661</v>
      </c>
      <c r="G1328" t="str">
        <f>FLOOR(FinalData[[#This Row],[Temperature_C]],2)&amp;"–"&amp;(FLOOR(FinalData[[#This Row],[Temperature_C]],2)+2)&amp;"°C"</f>
        <v>22–24°C</v>
      </c>
      <c r="H1328">
        <v>2.61</v>
      </c>
      <c r="I1328">
        <v>2026</v>
      </c>
      <c r="J1328">
        <v>2</v>
      </c>
      <c r="K1328">
        <v>25</v>
      </c>
      <c r="L1328">
        <v>3</v>
      </c>
      <c r="M1328">
        <v>7</v>
      </c>
      <c r="N1328">
        <v>0.3</v>
      </c>
      <c r="O1328">
        <v>0.28999999999999998</v>
      </c>
      <c r="P1328" t="s">
        <v>41</v>
      </c>
    </row>
    <row r="1329" spans="1:16" x14ac:dyDescent="0.25">
      <c r="A1329" s="12">
        <v>46078.333333333336</v>
      </c>
      <c r="B1329" t="s">
        <v>11</v>
      </c>
      <c r="C1329" t="s">
        <v>26</v>
      </c>
      <c r="D1329">
        <v>4</v>
      </c>
      <c r="E1329">
        <v>20</v>
      </c>
      <c r="F1329">
        <v>24.580782153070938</v>
      </c>
      <c r="G1329" t="str">
        <f>FLOOR(FinalData[[#This Row],[Temperature_C]],2)&amp;"–"&amp;(FLOOR(FinalData[[#This Row],[Temperature_C]],2)+2)&amp;"°C"</f>
        <v>24–26°C</v>
      </c>
      <c r="H1329">
        <v>2.34</v>
      </c>
      <c r="I1329">
        <v>2026</v>
      </c>
      <c r="J1329">
        <v>2</v>
      </c>
      <c r="K1329">
        <v>25</v>
      </c>
      <c r="L1329">
        <v>3</v>
      </c>
      <c r="M1329">
        <v>8</v>
      </c>
      <c r="N1329">
        <v>0.2</v>
      </c>
      <c r="O1329">
        <v>0.58499999999999996</v>
      </c>
      <c r="P1329" t="s">
        <v>41</v>
      </c>
    </row>
    <row r="1330" spans="1:16" hidden="1" x14ac:dyDescent="0.25">
      <c r="A1330" s="12">
        <v>46078.375</v>
      </c>
      <c r="B1330" t="s">
        <v>18</v>
      </c>
      <c r="C1330" t="s">
        <v>22</v>
      </c>
      <c r="D1330">
        <v>5</v>
      </c>
      <c r="E1330">
        <v>30</v>
      </c>
      <c r="F1330">
        <v>24.323473224193901</v>
      </c>
      <c r="G1330" t="str">
        <f>FLOOR(FinalData[[#This Row],[Temperature_C]],2)&amp;"–"&amp;(FLOOR(FinalData[[#This Row],[Temperature_C]],2)+2)&amp;"°C"</f>
        <v>24–26°C</v>
      </c>
      <c r="H1330">
        <v>2.4700000000000002</v>
      </c>
      <c r="I1330">
        <v>2026</v>
      </c>
      <c r="J1330">
        <v>2</v>
      </c>
      <c r="K1330">
        <v>25</v>
      </c>
      <c r="L1330">
        <v>3</v>
      </c>
      <c r="M1330">
        <v>9</v>
      </c>
      <c r="N1330">
        <v>0.16666666666666666</v>
      </c>
      <c r="O1330">
        <v>0.49400000000000005</v>
      </c>
      <c r="P1330" t="s">
        <v>41</v>
      </c>
    </row>
    <row r="1331" spans="1:16" hidden="1" x14ac:dyDescent="0.25">
      <c r="A1331" s="12">
        <v>46078.416666666664</v>
      </c>
      <c r="B1331" t="s">
        <v>13</v>
      </c>
      <c r="C1331" t="s">
        <v>31</v>
      </c>
      <c r="D1331">
        <v>8</v>
      </c>
      <c r="E1331">
        <v>40</v>
      </c>
      <c r="F1331">
        <v>22.77203962003594</v>
      </c>
      <c r="G1331" t="str">
        <f>FLOOR(FinalData[[#This Row],[Temperature_C]],2)&amp;"–"&amp;(FLOOR(FinalData[[#This Row],[Temperature_C]],2)+2)&amp;"°C"</f>
        <v>22–24°C</v>
      </c>
      <c r="H1331">
        <v>2.91</v>
      </c>
      <c r="I1331">
        <v>2026</v>
      </c>
      <c r="J1331">
        <v>2</v>
      </c>
      <c r="K1331">
        <v>25</v>
      </c>
      <c r="L1331">
        <v>3</v>
      </c>
      <c r="M1331">
        <v>10</v>
      </c>
      <c r="N1331">
        <v>0.2</v>
      </c>
      <c r="O1331">
        <v>0.36375000000000002</v>
      </c>
      <c r="P1331" t="s">
        <v>41</v>
      </c>
    </row>
    <row r="1332" spans="1:16" hidden="1" x14ac:dyDescent="0.25">
      <c r="A1332" s="12">
        <v>46078.458333333336</v>
      </c>
      <c r="B1332" t="s">
        <v>9</v>
      </c>
      <c r="C1332" t="s">
        <v>14</v>
      </c>
      <c r="D1332">
        <v>8</v>
      </c>
      <c r="E1332">
        <v>30</v>
      </c>
      <c r="F1332">
        <v>22.087663305039879</v>
      </c>
      <c r="G1332" t="str">
        <f>FLOOR(FinalData[[#This Row],[Temperature_C]],2)&amp;"–"&amp;(FLOOR(FinalData[[#This Row],[Temperature_C]],2)+2)&amp;"°C"</f>
        <v>22–24°C</v>
      </c>
      <c r="H1332">
        <v>2.96</v>
      </c>
      <c r="I1332">
        <v>2026</v>
      </c>
      <c r="J1332">
        <v>2</v>
      </c>
      <c r="K1332">
        <v>25</v>
      </c>
      <c r="L1332">
        <v>3</v>
      </c>
      <c r="M1332">
        <v>11</v>
      </c>
      <c r="N1332">
        <v>0.26666666666666666</v>
      </c>
      <c r="O1332">
        <v>0.37</v>
      </c>
      <c r="P1332" t="s">
        <v>41</v>
      </c>
    </row>
    <row r="1333" spans="1:16" hidden="1" x14ac:dyDescent="0.25">
      <c r="A1333" s="12">
        <v>46078.5</v>
      </c>
      <c r="B1333" t="s">
        <v>7</v>
      </c>
      <c r="C1333" t="s">
        <v>26</v>
      </c>
      <c r="D1333">
        <v>7</v>
      </c>
      <c r="E1333">
        <v>20</v>
      </c>
      <c r="F1333">
        <v>24.890994609318788</v>
      </c>
      <c r="G1333" t="str">
        <f>FLOOR(FinalData[[#This Row],[Temperature_C]],2)&amp;"–"&amp;(FLOOR(FinalData[[#This Row],[Temperature_C]],2)+2)&amp;"°C"</f>
        <v>24–26°C</v>
      </c>
      <c r="H1333">
        <v>2.96</v>
      </c>
      <c r="I1333">
        <v>2026</v>
      </c>
      <c r="J1333">
        <v>2</v>
      </c>
      <c r="K1333">
        <v>25</v>
      </c>
      <c r="L1333">
        <v>3</v>
      </c>
      <c r="M1333">
        <v>12</v>
      </c>
      <c r="N1333">
        <v>0.35</v>
      </c>
      <c r="O1333">
        <v>0.42285714285714288</v>
      </c>
      <c r="P1333" t="s">
        <v>42</v>
      </c>
    </row>
    <row r="1334" spans="1:16" hidden="1" x14ac:dyDescent="0.25">
      <c r="A1334" s="12">
        <v>46078.541666666664</v>
      </c>
      <c r="B1334" t="s">
        <v>13</v>
      </c>
      <c r="C1334" t="s">
        <v>28</v>
      </c>
      <c r="D1334">
        <v>11</v>
      </c>
      <c r="E1334">
        <v>30</v>
      </c>
      <c r="F1334">
        <v>22.23400157103308</v>
      </c>
      <c r="G1334" t="str">
        <f>FLOOR(FinalData[[#This Row],[Temperature_C]],2)&amp;"–"&amp;(FLOOR(FinalData[[#This Row],[Temperature_C]],2)+2)&amp;"°C"</f>
        <v>22–24°C</v>
      </c>
      <c r="H1334">
        <v>3.72</v>
      </c>
      <c r="I1334">
        <v>2026</v>
      </c>
      <c r="J1334">
        <v>2</v>
      </c>
      <c r="K1334">
        <v>25</v>
      </c>
      <c r="L1334">
        <v>3</v>
      </c>
      <c r="M1334">
        <v>13</v>
      </c>
      <c r="N1334">
        <v>0.36666666666666664</v>
      </c>
      <c r="O1334">
        <v>0.33818181818181819</v>
      </c>
      <c r="P1334" t="s">
        <v>42</v>
      </c>
    </row>
    <row r="1335" spans="1:16" hidden="1" x14ac:dyDescent="0.25">
      <c r="A1335" s="12">
        <v>46078.583333333336</v>
      </c>
      <c r="B1335" t="s">
        <v>11</v>
      </c>
      <c r="C1335" t="s">
        <v>14</v>
      </c>
      <c r="D1335">
        <v>11</v>
      </c>
      <c r="E1335">
        <v>20</v>
      </c>
      <c r="F1335">
        <v>22.377583421652641</v>
      </c>
      <c r="G1335" t="str">
        <f>FLOOR(FinalData[[#This Row],[Temperature_C]],2)&amp;"–"&amp;(FLOOR(FinalData[[#This Row],[Temperature_C]],2)+2)&amp;"°C"</f>
        <v>22–24°C</v>
      </c>
      <c r="H1335">
        <v>3.28</v>
      </c>
      <c r="I1335">
        <v>2026</v>
      </c>
      <c r="J1335">
        <v>2</v>
      </c>
      <c r="K1335">
        <v>25</v>
      </c>
      <c r="L1335">
        <v>3</v>
      </c>
      <c r="M1335">
        <v>14</v>
      </c>
      <c r="N1335">
        <v>0.55000000000000004</v>
      </c>
      <c r="O1335">
        <v>0.29818181818181816</v>
      </c>
      <c r="P1335" t="s">
        <v>42</v>
      </c>
    </row>
    <row r="1336" spans="1:16" hidden="1" x14ac:dyDescent="0.25">
      <c r="A1336" s="12">
        <v>46078.625</v>
      </c>
      <c r="B1336" t="s">
        <v>13</v>
      </c>
      <c r="C1336" t="s">
        <v>21</v>
      </c>
      <c r="D1336">
        <v>9</v>
      </c>
      <c r="E1336">
        <v>20</v>
      </c>
      <c r="F1336">
        <v>22.169817326549339</v>
      </c>
      <c r="G1336" t="str">
        <f>FLOOR(FinalData[[#This Row],[Temperature_C]],2)&amp;"–"&amp;(FLOOR(FinalData[[#This Row],[Temperature_C]],2)+2)&amp;"°C"</f>
        <v>22–24°C</v>
      </c>
      <c r="H1336">
        <v>3.29</v>
      </c>
      <c r="I1336">
        <v>2026</v>
      </c>
      <c r="J1336">
        <v>2</v>
      </c>
      <c r="K1336">
        <v>25</v>
      </c>
      <c r="L1336">
        <v>3</v>
      </c>
      <c r="M1336">
        <v>15</v>
      </c>
      <c r="N1336">
        <v>0.45</v>
      </c>
      <c r="O1336">
        <v>0.36555555555555558</v>
      </c>
      <c r="P1336" t="s">
        <v>42</v>
      </c>
    </row>
    <row r="1337" spans="1:16" hidden="1" x14ac:dyDescent="0.25">
      <c r="A1337" s="12">
        <v>46078.666666666664</v>
      </c>
      <c r="B1337" t="s">
        <v>9</v>
      </c>
      <c r="C1337" t="s">
        <v>26</v>
      </c>
      <c r="D1337">
        <v>7</v>
      </c>
      <c r="E1337">
        <v>30</v>
      </c>
      <c r="F1337">
        <v>22.848202429840679</v>
      </c>
      <c r="G1337" t="str">
        <f>FLOOR(FinalData[[#This Row],[Temperature_C]],2)&amp;"–"&amp;(FLOOR(FinalData[[#This Row],[Temperature_C]],2)+2)&amp;"°C"</f>
        <v>22–24°C</v>
      </c>
      <c r="H1337">
        <v>2.7</v>
      </c>
      <c r="I1337">
        <v>2026</v>
      </c>
      <c r="J1337">
        <v>2</v>
      </c>
      <c r="K1337">
        <v>25</v>
      </c>
      <c r="L1337">
        <v>3</v>
      </c>
      <c r="M1337">
        <v>16</v>
      </c>
      <c r="N1337">
        <v>0.23333333333333334</v>
      </c>
      <c r="O1337">
        <v>0.38571428571428573</v>
      </c>
      <c r="P1337" t="s">
        <v>42</v>
      </c>
    </row>
    <row r="1338" spans="1:16" hidden="1" x14ac:dyDescent="0.25">
      <c r="A1338" s="12">
        <v>46078.708333333336</v>
      </c>
      <c r="B1338" t="s">
        <v>7</v>
      </c>
      <c r="C1338" t="s">
        <v>27</v>
      </c>
      <c r="D1338">
        <v>9</v>
      </c>
      <c r="E1338">
        <v>40</v>
      </c>
      <c r="F1338">
        <v>23.001078725257759</v>
      </c>
      <c r="G1338" t="str">
        <f>FLOOR(FinalData[[#This Row],[Temperature_C]],2)&amp;"–"&amp;(FLOOR(FinalData[[#This Row],[Temperature_C]],2)+2)&amp;"°C"</f>
        <v>22–24°C</v>
      </c>
      <c r="H1338">
        <v>3.29</v>
      </c>
      <c r="I1338">
        <v>2026</v>
      </c>
      <c r="J1338">
        <v>2</v>
      </c>
      <c r="K1338">
        <v>25</v>
      </c>
      <c r="L1338">
        <v>3</v>
      </c>
      <c r="M1338">
        <v>17</v>
      </c>
      <c r="N1338">
        <v>0.22500000000000001</v>
      </c>
      <c r="O1338">
        <v>0.36555555555555558</v>
      </c>
      <c r="P1338" t="s">
        <v>43</v>
      </c>
    </row>
    <row r="1339" spans="1:16" hidden="1" x14ac:dyDescent="0.25">
      <c r="A1339" s="12">
        <v>46078.75</v>
      </c>
      <c r="B1339" t="s">
        <v>13</v>
      </c>
      <c r="C1339" t="s">
        <v>19</v>
      </c>
      <c r="D1339">
        <v>6</v>
      </c>
      <c r="E1339">
        <v>30</v>
      </c>
      <c r="F1339">
        <v>22.06440507204773</v>
      </c>
      <c r="G1339" t="str">
        <f>FLOOR(FinalData[[#This Row],[Temperature_C]],2)&amp;"–"&amp;(FLOOR(FinalData[[#This Row],[Temperature_C]],2)+2)&amp;"°C"</f>
        <v>22–24°C</v>
      </c>
      <c r="H1339">
        <v>2.65</v>
      </c>
      <c r="I1339">
        <v>2026</v>
      </c>
      <c r="J1339">
        <v>2</v>
      </c>
      <c r="K1339">
        <v>25</v>
      </c>
      <c r="L1339">
        <v>3</v>
      </c>
      <c r="M1339">
        <v>18</v>
      </c>
      <c r="N1339">
        <v>0.2</v>
      </c>
      <c r="O1339">
        <v>0.44166666666666665</v>
      </c>
      <c r="P1339" t="s">
        <v>43</v>
      </c>
    </row>
    <row r="1340" spans="1:16" hidden="1" x14ac:dyDescent="0.25">
      <c r="A1340" s="12">
        <v>46078.791666666664</v>
      </c>
      <c r="B1340" t="s">
        <v>13</v>
      </c>
      <c r="C1340" t="s">
        <v>23</v>
      </c>
      <c r="D1340">
        <v>10</v>
      </c>
      <c r="E1340">
        <v>25</v>
      </c>
      <c r="F1340">
        <v>21.303244392235719</v>
      </c>
      <c r="G1340" t="str">
        <f>FLOOR(FinalData[[#This Row],[Temperature_C]],2)&amp;"–"&amp;(FLOOR(FinalData[[#This Row],[Temperature_C]],2)+2)&amp;"°C"</f>
        <v>20–22°C</v>
      </c>
      <c r="H1340">
        <v>3.41</v>
      </c>
      <c r="I1340">
        <v>2026</v>
      </c>
      <c r="J1340">
        <v>2</v>
      </c>
      <c r="K1340">
        <v>25</v>
      </c>
      <c r="L1340">
        <v>3</v>
      </c>
      <c r="M1340">
        <v>19</v>
      </c>
      <c r="N1340">
        <v>0.4</v>
      </c>
      <c r="O1340">
        <v>0.34100000000000003</v>
      </c>
      <c r="P1340" t="s">
        <v>43</v>
      </c>
    </row>
    <row r="1341" spans="1:16" hidden="1" x14ac:dyDescent="0.25">
      <c r="A1341" s="12">
        <v>46078.833333333336</v>
      </c>
      <c r="B1341" t="s">
        <v>9</v>
      </c>
      <c r="C1341" t="s">
        <v>15</v>
      </c>
      <c r="D1341">
        <v>11</v>
      </c>
      <c r="E1341">
        <v>40</v>
      </c>
      <c r="F1341">
        <v>25.596668979550831</v>
      </c>
      <c r="G1341" t="str">
        <f>FLOOR(FinalData[[#This Row],[Temperature_C]],2)&amp;"–"&amp;(FLOOR(FinalData[[#This Row],[Temperature_C]],2)+2)&amp;"°C"</f>
        <v>24–26°C</v>
      </c>
      <c r="H1341">
        <v>3.76</v>
      </c>
      <c r="I1341">
        <v>2026</v>
      </c>
      <c r="J1341">
        <v>2</v>
      </c>
      <c r="K1341">
        <v>25</v>
      </c>
      <c r="L1341">
        <v>3</v>
      </c>
      <c r="M1341">
        <v>20</v>
      </c>
      <c r="N1341">
        <v>0.27500000000000002</v>
      </c>
      <c r="O1341">
        <v>0.3418181818181818</v>
      </c>
      <c r="P1341" t="s">
        <v>43</v>
      </c>
    </row>
    <row r="1342" spans="1:16" hidden="1" x14ac:dyDescent="0.25">
      <c r="A1342" s="12">
        <v>46078.875</v>
      </c>
      <c r="B1342" t="s">
        <v>11</v>
      </c>
      <c r="C1342" t="s">
        <v>17</v>
      </c>
      <c r="D1342">
        <v>7</v>
      </c>
      <c r="E1342">
        <v>25</v>
      </c>
      <c r="F1342">
        <v>23.104041300879238</v>
      </c>
      <c r="G1342" t="str">
        <f>FLOOR(FinalData[[#This Row],[Temperature_C]],2)&amp;"–"&amp;(FLOOR(FinalData[[#This Row],[Temperature_C]],2)+2)&amp;"°C"</f>
        <v>22–24°C</v>
      </c>
      <c r="H1342">
        <v>2.75</v>
      </c>
      <c r="I1342">
        <v>2026</v>
      </c>
      <c r="J1342">
        <v>2</v>
      </c>
      <c r="K1342">
        <v>25</v>
      </c>
      <c r="L1342">
        <v>3</v>
      </c>
      <c r="M1342">
        <v>21</v>
      </c>
      <c r="N1342">
        <v>0.28000000000000003</v>
      </c>
      <c r="O1342">
        <v>0.39285714285714285</v>
      </c>
      <c r="P1342" t="s">
        <v>40</v>
      </c>
    </row>
    <row r="1343" spans="1:16" hidden="1" x14ac:dyDescent="0.25">
      <c r="A1343" s="12">
        <v>46078.916666666664</v>
      </c>
      <c r="B1343" t="s">
        <v>11</v>
      </c>
      <c r="C1343" t="s">
        <v>21</v>
      </c>
      <c r="D1343">
        <v>13</v>
      </c>
      <c r="E1343">
        <v>20</v>
      </c>
      <c r="F1343">
        <v>22.686992339581579</v>
      </c>
      <c r="G1343" t="str">
        <f>FLOOR(FinalData[[#This Row],[Temperature_C]],2)&amp;"–"&amp;(FLOOR(FinalData[[#This Row],[Temperature_C]],2)+2)&amp;"°C"</f>
        <v>22–24°C</v>
      </c>
      <c r="H1343">
        <v>3.99</v>
      </c>
      <c r="I1343">
        <v>2026</v>
      </c>
      <c r="J1343">
        <v>2</v>
      </c>
      <c r="K1343">
        <v>25</v>
      </c>
      <c r="L1343">
        <v>3</v>
      </c>
      <c r="M1343">
        <v>22</v>
      </c>
      <c r="N1343">
        <v>0.65</v>
      </c>
      <c r="O1343">
        <v>0.30692307692307697</v>
      </c>
      <c r="P1343" t="s">
        <v>40</v>
      </c>
    </row>
    <row r="1344" spans="1:16" hidden="1" x14ac:dyDescent="0.25">
      <c r="A1344" s="12">
        <v>46078.958333333336</v>
      </c>
      <c r="B1344" t="s">
        <v>13</v>
      </c>
      <c r="C1344" t="s">
        <v>14</v>
      </c>
      <c r="D1344">
        <v>6</v>
      </c>
      <c r="E1344">
        <v>20</v>
      </c>
      <c r="F1344">
        <v>23.574321755205549</v>
      </c>
      <c r="G1344" t="str">
        <f>FLOOR(FinalData[[#This Row],[Temperature_C]],2)&amp;"–"&amp;(FLOOR(FinalData[[#This Row],[Temperature_C]],2)+2)&amp;"°C"</f>
        <v>22–24°C</v>
      </c>
      <c r="H1344">
        <v>2.4300000000000002</v>
      </c>
      <c r="I1344">
        <v>2026</v>
      </c>
      <c r="J1344">
        <v>2</v>
      </c>
      <c r="K1344">
        <v>25</v>
      </c>
      <c r="L1344">
        <v>3</v>
      </c>
      <c r="M1344">
        <v>23</v>
      </c>
      <c r="N1344">
        <v>0.3</v>
      </c>
      <c r="O1344">
        <v>0.40500000000000003</v>
      </c>
      <c r="P1344" t="s">
        <v>40</v>
      </c>
    </row>
    <row r="1345" spans="1:16" hidden="1" x14ac:dyDescent="0.25">
      <c r="A1345" s="12">
        <v>46079</v>
      </c>
      <c r="B1345" t="s">
        <v>13</v>
      </c>
      <c r="C1345" t="s">
        <v>27</v>
      </c>
      <c r="D1345">
        <v>7</v>
      </c>
      <c r="E1345">
        <v>20</v>
      </c>
      <c r="F1345">
        <v>22.42961105061643</v>
      </c>
      <c r="G1345" t="str">
        <f>FLOOR(FinalData[[#This Row],[Temperature_C]],2)&amp;"–"&amp;(FLOOR(FinalData[[#This Row],[Temperature_C]],2)+2)&amp;"°C"</f>
        <v>22–24°C</v>
      </c>
      <c r="H1345">
        <v>2.77</v>
      </c>
      <c r="I1345">
        <v>2026</v>
      </c>
      <c r="J1345">
        <v>2</v>
      </c>
      <c r="K1345">
        <v>26</v>
      </c>
      <c r="L1345">
        <v>4</v>
      </c>
      <c r="M1345">
        <v>0</v>
      </c>
      <c r="N1345">
        <v>0.35</v>
      </c>
      <c r="O1345">
        <v>0.39571428571428574</v>
      </c>
      <c r="P1345" t="s">
        <v>40</v>
      </c>
    </row>
    <row r="1346" spans="1:16" hidden="1" x14ac:dyDescent="0.25">
      <c r="A1346" s="12">
        <v>46079.041666666664</v>
      </c>
      <c r="B1346" t="s">
        <v>11</v>
      </c>
      <c r="C1346" t="s">
        <v>23</v>
      </c>
      <c r="D1346">
        <v>9</v>
      </c>
      <c r="E1346">
        <v>40</v>
      </c>
      <c r="F1346">
        <v>22.92033800943204</v>
      </c>
      <c r="G1346" t="str">
        <f>FLOOR(FinalData[[#This Row],[Temperature_C]],2)&amp;"–"&amp;(FLOOR(FinalData[[#This Row],[Temperature_C]],2)+2)&amp;"°C"</f>
        <v>22–24°C</v>
      </c>
      <c r="H1346">
        <v>3.6</v>
      </c>
      <c r="I1346">
        <v>2026</v>
      </c>
      <c r="J1346">
        <v>2</v>
      </c>
      <c r="K1346">
        <v>26</v>
      </c>
      <c r="L1346">
        <v>4</v>
      </c>
      <c r="M1346">
        <v>1</v>
      </c>
      <c r="N1346">
        <v>0.22500000000000001</v>
      </c>
      <c r="O1346">
        <v>0.4</v>
      </c>
      <c r="P1346" t="s">
        <v>40</v>
      </c>
    </row>
    <row r="1347" spans="1:16" hidden="1" x14ac:dyDescent="0.25">
      <c r="A1347" s="12">
        <v>46079.083333333336</v>
      </c>
      <c r="B1347" t="s">
        <v>13</v>
      </c>
      <c r="C1347" t="s">
        <v>30</v>
      </c>
      <c r="D1347">
        <v>9</v>
      </c>
      <c r="E1347">
        <v>25</v>
      </c>
      <c r="F1347">
        <v>24.302691954903299</v>
      </c>
      <c r="G1347" t="str">
        <f>FLOOR(FinalData[[#This Row],[Temperature_C]],2)&amp;"–"&amp;(FLOOR(FinalData[[#This Row],[Temperature_C]],2)+2)&amp;"°C"</f>
        <v>24–26°C</v>
      </c>
      <c r="H1347">
        <v>3.21</v>
      </c>
      <c r="I1347">
        <v>2026</v>
      </c>
      <c r="J1347">
        <v>2</v>
      </c>
      <c r="K1347">
        <v>26</v>
      </c>
      <c r="L1347">
        <v>4</v>
      </c>
      <c r="M1347">
        <v>2</v>
      </c>
      <c r="N1347">
        <v>0.36</v>
      </c>
      <c r="O1347">
        <v>0.35666666666666669</v>
      </c>
      <c r="P1347" t="s">
        <v>40</v>
      </c>
    </row>
    <row r="1348" spans="1:16" hidden="1" x14ac:dyDescent="0.25">
      <c r="A1348" s="12">
        <v>46079.125</v>
      </c>
      <c r="B1348" t="s">
        <v>18</v>
      </c>
      <c r="C1348" t="s">
        <v>17</v>
      </c>
      <c r="D1348">
        <v>6</v>
      </c>
      <c r="E1348">
        <v>25</v>
      </c>
      <c r="F1348">
        <v>23.387597427534189</v>
      </c>
      <c r="G1348" t="str">
        <f>FLOOR(FinalData[[#This Row],[Temperature_C]],2)&amp;"–"&amp;(FLOOR(FinalData[[#This Row],[Temperature_C]],2)+2)&amp;"°C"</f>
        <v>22–24°C</v>
      </c>
      <c r="H1348">
        <v>2.82</v>
      </c>
      <c r="I1348">
        <v>2026</v>
      </c>
      <c r="J1348">
        <v>2</v>
      </c>
      <c r="K1348">
        <v>26</v>
      </c>
      <c r="L1348">
        <v>4</v>
      </c>
      <c r="M1348">
        <v>3</v>
      </c>
      <c r="N1348">
        <v>0.24</v>
      </c>
      <c r="O1348">
        <v>0.47</v>
      </c>
      <c r="P1348" t="s">
        <v>40</v>
      </c>
    </row>
    <row r="1349" spans="1:16" hidden="1" x14ac:dyDescent="0.25">
      <c r="A1349" s="12">
        <v>46079.166666666664</v>
      </c>
      <c r="B1349" t="s">
        <v>9</v>
      </c>
      <c r="C1349" t="s">
        <v>29</v>
      </c>
      <c r="D1349">
        <v>10</v>
      </c>
      <c r="E1349">
        <v>40</v>
      </c>
      <c r="F1349">
        <v>21.04933264461955</v>
      </c>
      <c r="G1349" t="str">
        <f>FLOOR(FinalData[[#This Row],[Temperature_C]],2)&amp;"–"&amp;(FLOOR(FinalData[[#This Row],[Temperature_C]],2)+2)&amp;"°C"</f>
        <v>20–22°C</v>
      </c>
      <c r="H1349">
        <v>3.48</v>
      </c>
      <c r="I1349">
        <v>2026</v>
      </c>
      <c r="J1349">
        <v>2</v>
      </c>
      <c r="K1349">
        <v>26</v>
      </c>
      <c r="L1349">
        <v>4</v>
      </c>
      <c r="M1349">
        <v>4</v>
      </c>
      <c r="N1349">
        <v>0.25</v>
      </c>
      <c r="O1349">
        <v>0.34799999999999998</v>
      </c>
      <c r="P1349" t="s">
        <v>40</v>
      </c>
    </row>
    <row r="1350" spans="1:16" hidden="1" x14ac:dyDescent="0.25">
      <c r="A1350" s="12">
        <v>46079.208333333336</v>
      </c>
      <c r="B1350" t="s">
        <v>7</v>
      </c>
      <c r="C1350" t="s">
        <v>28</v>
      </c>
      <c r="D1350">
        <v>4</v>
      </c>
      <c r="E1350">
        <v>20</v>
      </c>
      <c r="F1350">
        <v>25.25286743349206</v>
      </c>
      <c r="G1350" t="str">
        <f>FLOOR(FinalData[[#This Row],[Temperature_C]],2)&amp;"–"&amp;(FLOOR(FinalData[[#This Row],[Temperature_C]],2)+2)&amp;"°C"</f>
        <v>24–26°C</v>
      </c>
      <c r="H1350">
        <v>2.77</v>
      </c>
      <c r="I1350">
        <v>2026</v>
      </c>
      <c r="J1350">
        <v>2</v>
      </c>
      <c r="K1350">
        <v>26</v>
      </c>
      <c r="L1350">
        <v>4</v>
      </c>
      <c r="M1350">
        <v>5</v>
      </c>
      <c r="N1350">
        <v>0.2</v>
      </c>
      <c r="O1350">
        <v>0.6925</v>
      </c>
      <c r="P1350" t="s">
        <v>40</v>
      </c>
    </row>
    <row r="1351" spans="1:16" hidden="1" x14ac:dyDescent="0.25">
      <c r="A1351" s="12">
        <v>46079.25</v>
      </c>
      <c r="B1351" t="s">
        <v>13</v>
      </c>
      <c r="C1351" t="s">
        <v>8</v>
      </c>
      <c r="D1351">
        <v>7</v>
      </c>
      <c r="E1351">
        <v>25</v>
      </c>
      <c r="F1351">
        <v>23.4541261062883</v>
      </c>
      <c r="G1351" t="str">
        <f>FLOOR(FinalData[[#This Row],[Temperature_C]],2)&amp;"–"&amp;(FLOOR(FinalData[[#This Row],[Temperature_C]],2)+2)&amp;"°C"</f>
        <v>22–24°C</v>
      </c>
      <c r="H1351">
        <v>2.74</v>
      </c>
      <c r="I1351">
        <v>2026</v>
      </c>
      <c r="J1351">
        <v>2</v>
      </c>
      <c r="K1351">
        <v>26</v>
      </c>
      <c r="L1351">
        <v>4</v>
      </c>
      <c r="M1351">
        <v>6</v>
      </c>
      <c r="N1351">
        <v>0.28000000000000003</v>
      </c>
      <c r="O1351">
        <v>0.39142857142857146</v>
      </c>
      <c r="P1351" t="s">
        <v>40</v>
      </c>
    </row>
    <row r="1352" spans="1:16" x14ac:dyDescent="0.25">
      <c r="A1352" s="12">
        <v>46079.291666666664</v>
      </c>
      <c r="B1352" t="s">
        <v>11</v>
      </c>
      <c r="C1352" t="s">
        <v>22</v>
      </c>
      <c r="D1352">
        <v>11</v>
      </c>
      <c r="E1352">
        <v>30</v>
      </c>
      <c r="F1352">
        <v>22.225236509970571</v>
      </c>
      <c r="G1352" t="str">
        <f>FLOOR(FinalData[[#This Row],[Temperature_C]],2)&amp;"–"&amp;(FLOOR(FinalData[[#This Row],[Temperature_C]],2)+2)&amp;"°C"</f>
        <v>22–24°C</v>
      </c>
      <c r="H1352">
        <v>3.81</v>
      </c>
      <c r="I1352">
        <v>2026</v>
      </c>
      <c r="J1352">
        <v>2</v>
      </c>
      <c r="K1352">
        <v>26</v>
      </c>
      <c r="L1352">
        <v>4</v>
      </c>
      <c r="M1352">
        <v>7</v>
      </c>
      <c r="N1352">
        <v>0.36666666666666664</v>
      </c>
      <c r="O1352">
        <v>0.34636363636363637</v>
      </c>
      <c r="P1352" t="s">
        <v>41</v>
      </c>
    </row>
    <row r="1353" spans="1:16" x14ac:dyDescent="0.25">
      <c r="A1353" s="12">
        <v>46079.333333333336</v>
      </c>
      <c r="B1353" t="s">
        <v>11</v>
      </c>
      <c r="C1353" t="s">
        <v>31</v>
      </c>
      <c r="D1353">
        <v>13</v>
      </c>
      <c r="E1353">
        <v>40</v>
      </c>
      <c r="F1353">
        <v>20.606969903698129</v>
      </c>
      <c r="G1353" t="str">
        <f>FLOOR(FinalData[[#This Row],[Temperature_C]],2)&amp;"–"&amp;(FLOOR(FinalData[[#This Row],[Temperature_C]],2)+2)&amp;"°C"</f>
        <v>20–22°C</v>
      </c>
      <c r="H1353">
        <v>3.53</v>
      </c>
      <c r="I1353">
        <v>2026</v>
      </c>
      <c r="J1353">
        <v>2</v>
      </c>
      <c r="K1353">
        <v>26</v>
      </c>
      <c r="L1353">
        <v>4</v>
      </c>
      <c r="M1353">
        <v>8</v>
      </c>
      <c r="N1353">
        <v>0.32500000000000001</v>
      </c>
      <c r="O1353">
        <v>0.27153846153846151</v>
      </c>
      <c r="P1353" t="s">
        <v>41</v>
      </c>
    </row>
    <row r="1354" spans="1:16" x14ac:dyDescent="0.25">
      <c r="A1354" s="12">
        <v>46079.375</v>
      </c>
      <c r="B1354" t="s">
        <v>11</v>
      </c>
      <c r="C1354" t="s">
        <v>26</v>
      </c>
      <c r="D1354">
        <v>6</v>
      </c>
      <c r="E1354">
        <v>25</v>
      </c>
      <c r="F1354">
        <v>22.49372010107939</v>
      </c>
      <c r="G1354" t="str">
        <f>FLOOR(FinalData[[#This Row],[Temperature_C]],2)&amp;"–"&amp;(FLOOR(FinalData[[#This Row],[Temperature_C]],2)+2)&amp;"°C"</f>
        <v>22–24°C</v>
      </c>
      <c r="H1354">
        <v>2.86</v>
      </c>
      <c r="I1354">
        <v>2026</v>
      </c>
      <c r="J1354">
        <v>2</v>
      </c>
      <c r="K1354">
        <v>26</v>
      </c>
      <c r="L1354">
        <v>4</v>
      </c>
      <c r="M1354">
        <v>9</v>
      </c>
      <c r="N1354">
        <v>0.24</v>
      </c>
      <c r="O1354">
        <v>0.47666666666666663</v>
      </c>
      <c r="P1354" t="s">
        <v>41</v>
      </c>
    </row>
    <row r="1355" spans="1:16" hidden="1" x14ac:dyDescent="0.25">
      <c r="A1355" s="12">
        <v>46079.416666666664</v>
      </c>
      <c r="B1355" t="s">
        <v>9</v>
      </c>
      <c r="C1355" t="s">
        <v>15</v>
      </c>
      <c r="D1355">
        <v>9</v>
      </c>
      <c r="E1355">
        <v>20</v>
      </c>
      <c r="F1355">
        <v>24.51306380197342</v>
      </c>
      <c r="G1355" t="str">
        <f>FLOOR(FinalData[[#This Row],[Temperature_C]],2)&amp;"–"&amp;(FLOOR(FinalData[[#This Row],[Temperature_C]],2)+2)&amp;"°C"</f>
        <v>24–26°C</v>
      </c>
      <c r="H1355">
        <v>3.21</v>
      </c>
      <c r="I1355">
        <v>2026</v>
      </c>
      <c r="J1355">
        <v>2</v>
      </c>
      <c r="K1355">
        <v>26</v>
      </c>
      <c r="L1355">
        <v>4</v>
      </c>
      <c r="M1355">
        <v>10</v>
      </c>
      <c r="N1355">
        <v>0.45</v>
      </c>
      <c r="O1355">
        <v>0.35666666666666669</v>
      </c>
      <c r="P1355" t="s">
        <v>41</v>
      </c>
    </row>
    <row r="1356" spans="1:16" hidden="1" x14ac:dyDescent="0.25">
      <c r="A1356" s="12">
        <v>46079.458333333336</v>
      </c>
      <c r="B1356" t="s">
        <v>18</v>
      </c>
      <c r="C1356" t="s">
        <v>28</v>
      </c>
      <c r="D1356">
        <v>8</v>
      </c>
      <c r="E1356">
        <v>25</v>
      </c>
      <c r="F1356">
        <v>18.261951376837501</v>
      </c>
      <c r="G1356" t="str">
        <f>FLOOR(FinalData[[#This Row],[Temperature_C]],2)&amp;"–"&amp;(FLOOR(FinalData[[#This Row],[Temperature_C]],2)+2)&amp;"°C"</f>
        <v>18–20°C</v>
      </c>
      <c r="H1356">
        <v>3.3</v>
      </c>
      <c r="I1356">
        <v>2026</v>
      </c>
      <c r="J1356">
        <v>2</v>
      </c>
      <c r="K1356">
        <v>26</v>
      </c>
      <c r="L1356">
        <v>4</v>
      </c>
      <c r="M1356">
        <v>11</v>
      </c>
      <c r="N1356">
        <v>0.32</v>
      </c>
      <c r="O1356">
        <v>0.41249999999999998</v>
      </c>
      <c r="P1356" t="s">
        <v>41</v>
      </c>
    </row>
    <row r="1357" spans="1:16" hidden="1" x14ac:dyDescent="0.25">
      <c r="A1357" s="12">
        <v>46079.5</v>
      </c>
      <c r="B1357" t="s">
        <v>18</v>
      </c>
      <c r="C1357" t="s">
        <v>25</v>
      </c>
      <c r="D1357">
        <v>6</v>
      </c>
      <c r="E1357">
        <v>25</v>
      </c>
      <c r="F1357">
        <v>20.99838161191461</v>
      </c>
      <c r="G1357" t="str">
        <f>FLOOR(FinalData[[#This Row],[Temperature_C]],2)&amp;"–"&amp;(FLOOR(FinalData[[#This Row],[Temperature_C]],2)+2)&amp;"°C"</f>
        <v>20–22°C</v>
      </c>
      <c r="H1357">
        <v>2.63</v>
      </c>
      <c r="I1357">
        <v>2026</v>
      </c>
      <c r="J1357">
        <v>2</v>
      </c>
      <c r="K1357">
        <v>26</v>
      </c>
      <c r="L1357">
        <v>4</v>
      </c>
      <c r="M1357">
        <v>12</v>
      </c>
      <c r="N1357">
        <v>0.24</v>
      </c>
      <c r="O1357">
        <v>0.4383333333333333</v>
      </c>
      <c r="P1357" t="s">
        <v>42</v>
      </c>
    </row>
    <row r="1358" spans="1:16" hidden="1" x14ac:dyDescent="0.25">
      <c r="A1358" s="12">
        <v>46079.541666666664</v>
      </c>
      <c r="B1358" t="s">
        <v>18</v>
      </c>
      <c r="C1358" t="s">
        <v>14</v>
      </c>
      <c r="D1358">
        <v>8</v>
      </c>
      <c r="E1358">
        <v>30</v>
      </c>
      <c r="F1358">
        <v>24.480842428095499</v>
      </c>
      <c r="G1358" t="str">
        <f>FLOOR(FinalData[[#This Row],[Temperature_C]],2)&amp;"–"&amp;(FLOOR(FinalData[[#This Row],[Temperature_C]],2)+2)&amp;"°C"</f>
        <v>24–26°C</v>
      </c>
      <c r="H1358">
        <v>3.37</v>
      </c>
      <c r="I1358">
        <v>2026</v>
      </c>
      <c r="J1358">
        <v>2</v>
      </c>
      <c r="K1358">
        <v>26</v>
      </c>
      <c r="L1358">
        <v>4</v>
      </c>
      <c r="M1358">
        <v>13</v>
      </c>
      <c r="N1358">
        <v>0.26666666666666666</v>
      </c>
      <c r="O1358">
        <v>0.42125000000000001</v>
      </c>
      <c r="P1358" t="s">
        <v>42</v>
      </c>
    </row>
    <row r="1359" spans="1:16" hidden="1" x14ac:dyDescent="0.25">
      <c r="A1359" s="12">
        <v>46079.583333333336</v>
      </c>
      <c r="B1359" t="s">
        <v>11</v>
      </c>
      <c r="C1359" t="s">
        <v>29</v>
      </c>
      <c r="D1359">
        <v>7</v>
      </c>
      <c r="E1359">
        <v>25</v>
      </c>
      <c r="F1359">
        <v>23.34639528541749</v>
      </c>
      <c r="G1359" t="str">
        <f>FLOOR(FinalData[[#This Row],[Temperature_C]],2)&amp;"–"&amp;(FLOOR(FinalData[[#This Row],[Temperature_C]],2)+2)&amp;"°C"</f>
        <v>22–24°C</v>
      </c>
      <c r="H1359">
        <v>2.2000000000000002</v>
      </c>
      <c r="I1359">
        <v>2026</v>
      </c>
      <c r="J1359">
        <v>2</v>
      </c>
      <c r="K1359">
        <v>26</v>
      </c>
      <c r="L1359">
        <v>4</v>
      </c>
      <c r="M1359">
        <v>14</v>
      </c>
      <c r="N1359">
        <v>0.28000000000000003</v>
      </c>
      <c r="O1359">
        <v>0.31428571428571433</v>
      </c>
      <c r="P1359" t="s">
        <v>42</v>
      </c>
    </row>
    <row r="1360" spans="1:16" hidden="1" x14ac:dyDescent="0.25">
      <c r="A1360" s="12">
        <v>46079.625</v>
      </c>
      <c r="B1360" t="s">
        <v>11</v>
      </c>
      <c r="C1360" t="s">
        <v>30</v>
      </c>
      <c r="D1360">
        <v>7</v>
      </c>
      <c r="E1360">
        <v>30</v>
      </c>
      <c r="F1360">
        <v>22.342550374067422</v>
      </c>
      <c r="G1360" t="str">
        <f>FLOOR(FinalData[[#This Row],[Temperature_C]],2)&amp;"–"&amp;(FLOOR(FinalData[[#This Row],[Temperature_C]],2)+2)&amp;"°C"</f>
        <v>22–24°C</v>
      </c>
      <c r="H1360">
        <v>2.1800000000000002</v>
      </c>
      <c r="I1360">
        <v>2026</v>
      </c>
      <c r="J1360">
        <v>2</v>
      </c>
      <c r="K1360">
        <v>26</v>
      </c>
      <c r="L1360">
        <v>4</v>
      </c>
      <c r="M1360">
        <v>15</v>
      </c>
      <c r="N1360">
        <v>0.23333333333333334</v>
      </c>
      <c r="O1360">
        <v>0.31142857142857144</v>
      </c>
      <c r="P1360" t="s">
        <v>42</v>
      </c>
    </row>
    <row r="1361" spans="1:16" hidden="1" x14ac:dyDescent="0.25">
      <c r="A1361" s="12">
        <v>46079.666666666664</v>
      </c>
      <c r="B1361" t="s">
        <v>7</v>
      </c>
      <c r="C1361" t="s">
        <v>29</v>
      </c>
      <c r="D1361">
        <v>6</v>
      </c>
      <c r="E1361">
        <v>25</v>
      </c>
      <c r="F1361">
        <v>21.61570589924786</v>
      </c>
      <c r="G1361" t="str">
        <f>FLOOR(FinalData[[#This Row],[Temperature_C]],2)&amp;"–"&amp;(FLOOR(FinalData[[#This Row],[Temperature_C]],2)+2)&amp;"°C"</f>
        <v>20–22°C</v>
      </c>
      <c r="H1361">
        <v>2.74</v>
      </c>
      <c r="I1361">
        <v>2026</v>
      </c>
      <c r="J1361">
        <v>2</v>
      </c>
      <c r="K1361">
        <v>26</v>
      </c>
      <c r="L1361">
        <v>4</v>
      </c>
      <c r="M1361">
        <v>16</v>
      </c>
      <c r="N1361">
        <v>0.24</v>
      </c>
      <c r="O1361">
        <v>0.45666666666666672</v>
      </c>
      <c r="P1361" t="s">
        <v>42</v>
      </c>
    </row>
    <row r="1362" spans="1:16" hidden="1" x14ac:dyDescent="0.25">
      <c r="A1362" s="12">
        <v>46079.708333333336</v>
      </c>
      <c r="B1362" t="s">
        <v>13</v>
      </c>
      <c r="C1362" t="s">
        <v>17</v>
      </c>
      <c r="D1362">
        <v>6</v>
      </c>
      <c r="E1362">
        <v>25</v>
      </c>
      <c r="F1362">
        <v>26.56911777770717</v>
      </c>
      <c r="G1362" t="str">
        <f>FLOOR(FinalData[[#This Row],[Temperature_C]],2)&amp;"–"&amp;(FLOOR(FinalData[[#This Row],[Temperature_C]],2)+2)&amp;"°C"</f>
        <v>26–28°C</v>
      </c>
      <c r="H1362">
        <v>2.94</v>
      </c>
      <c r="I1362">
        <v>2026</v>
      </c>
      <c r="J1362">
        <v>2</v>
      </c>
      <c r="K1362">
        <v>26</v>
      </c>
      <c r="L1362">
        <v>4</v>
      </c>
      <c r="M1362">
        <v>17</v>
      </c>
      <c r="N1362">
        <v>0.24</v>
      </c>
      <c r="O1362">
        <v>0.49</v>
      </c>
      <c r="P1362" t="s">
        <v>43</v>
      </c>
    </row>
    <row r="1363" spans="1:16" hidden="1" x14ac:dyDescent="0.25">
      <c r="A1363" s="12">
        <v>46079.75</v>
      </c>
      <c r="B1363" t="s">
        <v>13</v>
      </c>
      <c r="C1363" t="s">
        <v>28</v>
      </c>
      <c r="D1363">
        <v>10</v>
      </c>
      <c r="E1363">
        <v>40</v>
      </c>
      <c r="F1363">
        <v>19.171626654518391</v>
      </c>
      <c r="G1363" t="str">
        <f>FLOOR(FinalData[[#This Row],[Temperature_C]],2)&amp;"–"&amp;(FLOOR(FinalData[[#This Row],[Temperature_C]],2)+2)&amp;"°C"</f>
        <v>18–20°C</v>
      </c>
      <c r="H1363">
        <v>3.3</v>
      </c>
      <c r="I1363">
        <v>2026</v>
      </c>
      <c r="J1363">
        <v>2</v>
      </c>
      <c r="K1363">
        <v>26</v>
      </c>
      <c r="L1363">
        <v>4</v>
      </c>
      <c r="M1363">
        <v>18</v>
      </c>
      <c r="N1363">
        <v>0.25</v>
      </c>
      <c r="O1363">
        <v>0.32999999999999996</v>
      </c>
      <c r="P1363" t="s">
        <v>43</v>
      </c>
    </row>
    <row r="1364" spans="1:16" hidden="1" x14ac:dyDescent="0.25">
      <c r="A1364" s="12">
        <v>46079.791666666664</v>
      </c>
      <c r="B1364" t="s">
        <v>18</v>
      </c>
      <c r="C1364" t="s">
        <v>16</v>
      </c>
      <c r="D1364">
        <v>8</v>
      </c>
      <c r="E1364">
        <v>30</v>
      </c>
      <c r="F1364">
        <v>25.568160553084571</v>
      </c>
      <c r="G1364" t="str">
        <f>FLOOR(FinalData[[#This Row],[Temperature_C]],2)&amp;"–"&amp;(FLOOR(FinalData[[#This Row],[Temperature_C]],2)+2)&amp;"°C"</f>
        <v>24–26°C</v>
      </c>
      <c r="H1364">
        <v>3.28</v>
      </c>
      <c r="I1364">
        <v>2026</v>
      </c>
      <c r="J1364">
        <v>2</v>
      </c>
      <c r="K1364">
        <v>26</v>
      </c>
      <c r="L1364">
        <v>4</v>
      </c>
      <c r="M1364">
        <v>19</v>
      </c>
      <c r="N1364">
        <v>0.26666666666666666</v>
      </c>
      <c r="O1364">
        <v>0.41</v>
      </c>
      <c r="P1364" t="s">
        <v>43</v>
      </c>
    </row>
    <row r="1365" spans="1:16" hidden="1" x14ac:dyDescent="0.25">
      <c r="A1365" s="12">
        <v>46079.833333333336</v>
      </c>
      <c r="B1365" t="s">
        <v>13</v>
      </c>
      <c r="C1365" t="s">
        <v>12</v>
      </c>
      <c r="D1365">
        <v>7</v>
      </c>
      <c r="E1365">
        <v>20</v>
      </c>
      <c r="F1365">
        <v>22.358751047386381</v>
      </c>
      <c r="G1365" t="str">
        <f>FLOOR(FinalData[[#This Row],[Temperature_C]],2)&amp;"–"&amp;(FLOOR(FinalData[[#This Row],[Temperature_C]],2)+2)&amp;"°C"</f>
        <v>22–24°C</v>
      </c>
      <c r="H1365">
        <v>2.42</v>
      </c>
      <c r="I1365">
        <v>2026</v>
      </c>
      <c r="J1365">
        <v>2</v>
      </c>
      <c r="K1365">
        <v>26</v>
      </c>
      <c r="L1365">
        <v>4</v>
      </c>
      <c r="M1365">
        <v>20</v>
      </c>
      <c r="N1365">
        <v>0.35</v>
      </c>
      <c r="O1365">
        <v>0.3457142857142857</v>
      </c>
      <c r="P1365" t="s">
        <v>43</v>
      </c>
    </row>
    <row r="1366" spans="1:16" hidden="1" x14ac:dyDescent="0.25">
      <c r="A1366" s="12">
        <v>46079.875</v>
      </c>
      <c r="B1366" t="s">
        <v>13</v>
      </c>
      <c r="C1366" t="s">
        <v>16</v>
      </c>
      <c r="D1366">
        <v>6</v>
      </c>
      <c r="E1366">
        <v>40</v>
      </c>
      <c r="F1366">
        <v>21.60566337036753</v>
      </c>
      <c r="G1366" t="str">
        <f>FLOOR(FinalData[[#This Row],[Temperature_C]],2)&amp;"–"&amp;(FLOOR(FinalData[[#This Row],[Temperature_C]],2)+2)&amp;"°C"</f>
        <v>20–22°C</v>
      </c>
      <c r="H1366">
        <v>1.95</v>
      </c>
      <c r="I1366">
        <v>2026</v>
      </c>
      <c r="J1366">
        <v>2</v>
      </c>
      <c r="K1366">
        <v>26</v>
      </c>
      <c r="L1366">
        <v>4</v>
      </c>
      <c r="M1366">
        <v>21</v>
      </c>
      <c r="N1366">
        <v>0.15</v>
      </c>
      <c r="O1366">
        <v>0.32500000000000001</v>
      </c>
      <c r="P1366" t="s">
        <v>40</v>
      </c>
    </row>
    <row r="1367" spans="1:16" hidden="1" x14ac:dyDescent="0.25">
      <c r="A1367" s="12">
        <v>46079.916666666664</v>
      </c>
      <c r="B1367" t="s">
        <v>11</v>
      </c>
      <c r="C1367" t="s">
        <v>16</v>
      </c>
      <c r="D1367">
        <v>7</v>
      </c>
      <c r="E1367">
        <v>20</v>
      </c>
      <c r="F1367">
        <v>20.75569516978295</v>
      </c>
      <c r="G1367" t="str">
        <f>FLOOR(FinalData[[#This Row],[Temperature_C]],2)&amp;"–"&amp;(FLOOR(FinalData[[#This Row],[Temperature_C]],2)+2)&amp;"°C"</f>
        <v>20–22°C</v>
      </c>
      <c r="H1367">
        <v>2.99</v>
      </c>
      <c r="I1367">
        <v>2026</v>
      </c>
      <c r="J1367">
        <v>2</v>
      </c>
      <c r="K1367">
        <v>26</v>
      </c>
      <c r="L1367">
        <v>4</v>
      </c>
      <c r="M1367">
        <v>22</v>
      </c>
      <c r="N1367">
        <v>0.35</v>
      </c>
      <c r="O1367">
        <v>0.42714285714285716</v>
      </c>
      <c r="P1367" t="s">
        <v>40</v>
      </c>
    </row>
    <row r="1368" spans="1:16" hidden="1" x14ac:dyDescent="0.25">
      <c r="A1368" s="12">
        <v>46079.958333333336</v>
      </c>
      <c r="B1368" t="s">
        <v>9</v>
      </c>
      <c r="C1368" t="s">
        <v>23</v>
      </c>
      <c r="D1368">
        <v>9</v>
      </c>
      <c r="E1368">
        <v>25</v>
      </c>
      <c r="F1368">
        <v>22.177155060687909</v>
      </c>
      <c r="G1368" t="str">
        <f>FLOOR(FinalData[[#This Row],[Temperature_C]],2)&amp;"–"&amp;(FLOOR(FinalData[[#This Row],[Temperature_C]],2)+2)&amp;"°C"</f>
        <v>22–24°C</v>
      </c>
      <c r="H1368">
        <v>3.19</v>
      </c>
      <c r="I1368">
        <v>2026</v>
      </c>
      <c r="J1368">
        <v>2</v>
      </c>
      <c r="K1368">
        <v>26</v>
      </c>
      <c r="L1368">
        <v>4</v>
      </c>
      <c r="M1368">
        <v>23</v>
      </c>
      <c r="N1368">
        <v>0.36</v>
      </c>
      <c r="O1368">
        <v>0.35444444444444445</v>
      </c>
      <c r="P1368" t="s">
        <v>40</v>
      </c>
    </row>
    <row r="1369" spans="1:16" hidden="1" x14ac:dyDescent="0.25">
      <c r="A1369" s="12">
        <v>46080</v>
      </c>
      <c r="B1369" t="s">
        <v>13</v>
      </c>
      <c r="C1369" t="s">
        <v>24</v>
      </c>
      <c r="D1369">
        <v>6</v>
      </c>
      <c r="E1369">
        <v>25</v>
      </c>
      <c r="F1369">
        <v>19.925947997744139</v>
      </c>
      <c r="G1369" t="str">
        <f>FLOOR(FinalData[[#This Row],[Temperature_C]],2)&amp;"–"&amp;(FLOOR(FinalData[[#This Row],[Temperature_C]],2)+2)&amp;"°C"</f>
        <v>18–20°C</v>
      </c>
      <c r="H1369">
        <v>3.27</v>
      </c>
      <c r="I1369">
        <v>2026</v>
      </c>
      <c r="J1369">
        <v>2</v>
      </c>
      <c r="K1369">
        <v>27</v>
      </c>
      <c r="L1369">
        <v>5</v>
      </c>
      <c r="M1369">
        <v>0</v>
      </c>
      <c r="N1369">
        <v>0.24</v>
      </c>
      <c r="O1369">
        <v>0.54500000000000004</v>
      </c>
      <c r="P1369" t="s">
        <v>40</v>
      </c>
    </row>
    <row r="1370" spans="1:16" hidden="1" x14ac:dyDescent="0.25">
      <c r="A1370" s="12">
        <v>46080.041666666664</v>
      </c>
      <c r="B1370" t="s">
        <v>9</v>
      </c>
      <c r="C1370" t="s">
        <v>17</v>
      </c>
      <c r="D1370">
        <v>6</v>
      </c>
      <c r="E1370">
        <v>30</v>
      </c>
      <c r="F1370">
        <v>23.27388356693621</v>
      </c>
      <c r="G1370" t="str">
        <f>FLOOR(FinalData[[#This Row],[Temperature_C]],2)&amp;"–"&amp;(FLOOR(FinalData[[#This Row],[Temperature_C]],2)+2)&amp;"°C"</f>
        <v>22–24°C</v>
      </c>
      <c r="H1370">
        <v>2.3199999999999998</v>
      </c>
      <c r="I1370">
        <v>2026</v>
      </c>
      <c r="J1370">
        <v>2</v>
      </c>
      <c r="K1370">
        <v>27</v>
      </c>
      <c r="L1370">
        <v>5</v>
      </c>
      <c r="M1370">
        <v>1</v>
      </c>
      <c r="N1370">
        <v>0.2</v>
      </c>
      <c r="O1370">
        <v>0.38666666666666666</v>
      </c>
      <c r="P1370" t="s">
        <v>40</v>
      </c>
    </row>
    <row r="1371" spans="1:16" hidden="1" x14ac:dyDescent="0.25">
      <c r="A1371" s="12">
        <v>46080.083333333336</v>
      </c>
      <c r="B1371" t="s">
        <v>11</v>
      </c>
      <c r="C1371" t="s">
        <v>16</v>
      </c>
      <c r="D1371">
        <v>7</v>
      </c>
      <c r="E1371">
        <v>20</v>
      </c>
      <c r="F1371">
        <v>23.617792586538599</v>
      </c>
      <c r="G1371" t="str">
        <f>FLOOR(FinalData[[#This Row],[Temperature_C]],2)&amp;"–"&amp;(FLOOR(FinalData[[#This Row],[Temperature_C]],2)+2)&amp;"°C"</f>
        <v>22–24°C</v>
      </c>
      <c r="H1371">
        <v>2.91</v>
      </c>
      <c r="I1371">
        <v>2026</v>
      </c>
      <c r="J1371">
        <v>2</v>
      </c>
      <c r="K1371">
        <v>27</v>
      </c>
      <c r="L1371">
        <v>5</v>
      </c>
      <c r="M1371">
        <v>2</v>
      </c>
      <c r="N1371">
        <v>0.35</v>
      </c>
      <c r="O1371">
        <v>0.41571428571428576</v>
      </c>
      <c r="P1371" t="s">
        <v>40</v>
      </c>
    </row>
    <row r="1372" spans="1:16" hidden="1" x14ac:dyDescent="0.25">
      <c r="A1372" s="12">
        <v>46080.125</v>
      </c>
      <c r="B1372" t="s">
        <v>11</v>
      </c>
      <c r="C1372" t="s">
        <v>8</v>
      </c>
      <c r="D1372">
        <v>6</v>
      </c>
      <c r="E1372">
        <v>40</v>
      </c>
      <c r="F1372">
        <v>21.159282767386149</v>
      </c>
      <c r="G1372" t="str">
        <f>FLOOR(FinalData[[#This Row],[Temperature_C]],2)&amp;"–"&amp;(FLOOR(FinalData[[#This Row],[Temperature_C]],2)+2)&amp;"°C"</f>
        <v>20–22°C</v>
      </c>
      <c r="H1372">
        <v>2.74</v>
      </c>
      <c r="I1372">
        <v>2026</v>
      </c>
      <c r="J1372">
        <v>2</v>
      </c>
      <c r="K1372">
        <v>27</v>
      </c>
      <c r="L1372">
        <v>5</v>
      </c>
      <c r="M1372">
        <v>3</v>
      </c>
      <c r="N1372">
        <v>0.15</v>
      </c>
      <c r="O1372">
        <v>0.45666666666666672</v>
      </c>
      <c r="P1372" t="s">
        <v>40</v>
      </c>
    </row>
    <row r="1373" spans="1:16" hidden="1" x14ac:dyDescent="0.25">
      <c r="A1373" s="12">
        <v>46080.166666666664</v>
      </c>
      <c r="B1373" t="s">
        <v>13</v>
      </c>
      <c r="C1373" t="s">
        <v>28</v>
      </c>
      <c r="D1373">
        <v>12</v>
      </c>
      <c r="E1373">
        <v>20</v>
      </c>
      <c r="F1373">
        <v>26.187047997218961</v>
      </c>
      <c r="G1373" t="str">
        <f>FLOOR(FinalData[[#This Row],[Temperature_C]],2)&amp;"–"&amp;(FLOOR(FinalData[[#This Row],[Temperature_C]],2)+2)&amp;"°C"</f>
        <v>26–28°C</v>
      </c>
      <c r="H1373">
        <v>4.62</v>
      </c>
      <c r="I1373">
        <v>2026</v>
      </c>
      <c r="J1373">
        <v>2</v>
      </c>
      <c r="K1373">
        <v>27</v>
      </c>
      <c r="L1373">
        <v>5</v>
      </c>
      <c r="M1373">
        <v>4</v>
      </c>
      <c r="N1373">
        <v>0.6</v>
      </c>
      <c r="O1373">
        <v>0.38500000000000001</v>
      </c>
      <c r="P1373" t="s">
        <v>40</v>
      </c>
    </row>
    <row r="1374" spans="1:16" hidden="1" x14ac:dyDescent="0.25">
      <c r="A1374" s="12">
        <v>46080.208333333336</v>
      </c>
      <c r="B1374" t="s">
        <v>9</v>
      </c>
      <c r="C1374" t="s">
        <v>23</v>
      </c>
      <c r="D1374">
        <v>7</v>
      </c>
      <c r="E1374">
        <v>20</v>
      </c>
      <c r="F1374">
        <v>24.548359037086449</v>
      </c>
      <c r="G1374" t="str">
        <f>FLOOR(FinalData[[#This Row],[Temperature_C]],2)&amp;"–"&amp;(FLOOR(FinalData[[#This Row],[Temperature_C]],2)+2)&amp;"°C"</f>
        <v>24–26°C</v>
      </c>
      <c r="H1374">
        <v>2.79</v>
      </c>
      <c r="I1374">
        <v>2026</v>
      </c>
      <c r="J1374">
        <v>2</v>
      </c>
      <c r="K1374">
        <v>27</v>
      </c>
      <c r="L1374">
        <v>5</v>
      </c>
      <c r="M1374">
        <v>5</v>
      </c>
      <c r="N1374">
        <v>0.35</v>
      </c>
      <c r="O1374">
        <v>0.39857142857142858</v>
      </c>
      <c r="P1374" t="s">
        <v>40</v>
      </c>
    </row>
    <row r="1375" spans="1:16" hidden="1" x14ac:dyDescent="0.25">
      <c r="A1375" s="12">
        <v>46080.25</v>
      </c>
      <c r="B1375" t="s">
        <v>7</v>
      </c>
      <c r="C1375" t="s">
        <v>26</v>
      </c>
      <c r="D1375">
        <v>5</v>
      </c>
      <c r="E1375">
        <v>40</v>
      </c>
      <c r="F1375">
        <v>23.839100883827829</v>
      </c>
      <c r="G1375" t="str">
        <f>FLOOR(FinalData[[#This Row],[Temperature_C]],2)&amp;"–"&amp;(FLOOR(FinalData[[#This Row],[Temperature_C]],2)+2)&amp;"°C"</f>
        <v>22–24°C</v>
      </c>
      <c r="H1375">
        <v>1.84</v>
      </c>
      <c r="I1375">
        <v>2026</v>
      </c>
      <c r="J1375">
        <v>2</v>
      </c>
      <c r="K1375">
        <v>27</v>
      </c>
      <c r="L1375">
        <v>5</v>
      </c>
      <c r="M1375">
        <v>6</v>
      </c>
      <c r="N1375">
        <v>0.125</v>
      </c>
      <c r="O1375">
        <v>0.36799999999999999</v>
      </c>
      <c r="P1375" t="s">
        <v>40</v>
      </c>
    </row>
    <row r="1376" spans="1:16" hidden="1" x14ac:dyDescent="0.25">
      <c r="A1376" s="12">
        <v>46080.291666666664</v>
      </c>
      <c r="B1376" t="s">
        <v>13</v>
      </c>
      <c r="C1376" t="s">
        <v>10</v>
      </c>
      <c r="D1376">
        <v>6</v>
      </c>
      <c r="E1376">
        <v>20</v>
      </c>
      <c r="F1376">
        <v>23.971494294910919</v>
      </c>
      <c r="G1376" t="str">
        <f>FLOOR(FinalData[[#This Row],[Temperature_C]],2)&amp;"–"&amp;(FLOOR(FinalData[[#This Row],[Temperature_C]],2)+2)&amp;"°C"</f>
        <v>22–24°C</v>
      </c>
      <c r="H1376">
        <v>3.23</v>
      </c>
      <c r="I1376">
        <v>2026</v>
      </c>
      <c r="J1376">
        <v>2</v>
      </c>
      <c r="K1376">
        <v>27</v>
      </c>
      <c r="L1376">
        <v>5</v>
      </c>
      <c r="M1376">
        <v>7</v>
      </c>
      <c r="N1376">
        <v>0.3</v>
      </c>
      <c r="O1376">
        <v>0.53833333333333333</v>
      </c>
      <c r="P1376" t="s">
        <v>41</v>
      </c>
    </row>
    <row r="1377" spans="1:16" hidden="1" x14ac:dyDescent="0.25">
      <c r="A1377" s="12">
        <v>46080.333333333336</v>
      </c>
      <c r="B1377" t="s">
        <v>13</v>
      </c>
      <c r="C1377" t="s">
        <v>25</v>
      </c>
      <c r="D1377">
        <v>4</v>
      </c>
      <c r="E1377">
        <v>40</v>
      </c>
      <c r="F1377">
        <v>19.02206186450832</v>
      </c>
      <c r="G1377" t="str">
        <f>FLOOR(FinalData[[#This Row],[Temperature_C]],2)&amp;"–"&amp;(FLOOR(FinalData[[#This Row],[Temperature_C]],2)+2)&amp;"°C"</f>
        <v>18–20°C</v>
      </c>
      <c r="H1377">
        <v>2.2599999999999998</v>
      </c>
      <c r="I1377">
        <v>2026</v>
      </c>
      <c r="J1377">
        <v>2</v>
      </c>
      <c r="K1377">
        <v>27</v>
      </c>
      <c r="L1377">
        <v>5</v>
      </c>
      <c r="M1377">
        <v>8</v>
      </c>
      <c r="N1377">
        <v>0.1</v>
      </c>
      <c r="O1377">
        <v>0.56499999999999995</v>
      </c>
      <c r="P1377" t="s">
        <v>41</v>
      </c>
    </row>
    <row r="1378" spans="1:16" x14ac:dyDescent="0.25">
      <c r="A1378" s="12">
        <v>46080.375</v>
      </c>
      <c r="B1378" t="s">
        <v>11</v>
      </c>
      <c r="C1378" t="s">
        <v>23</v>
      </c>
      <c r="D1378">
        <v>7</v>
      </c>
      <c r="E1378">
        <v>25</v>
      </c>
      <c r="F1378">
        <v>25.346458182587</v>
      </c>
      <c r="G1378" t="str">
        <f>FLOOR(FinalData[[#This Row],[Temperature_C]],2)&amp;"–"&amp;(FLOOR(FinalData[[#This Row],[Temperature_C]],2)+2)&amp;"°C"</f>
        <v>24–26°C</v>
      </c>
      <c r="H1378">
        <v>3.05</v>
      </c>
      <c r="I1378">
        <v>2026</v>
      </c>
      <c r="J1378">
        <v>2</v>
      </c>
      <c r="K1378">
        <v>27</v>
      </c>
      <c r="L1378">
        <v>5</v>
      </c>
      <c r="M1378">
        <v>9</v>
      </c>
      <c r="N1378">
        <v>0.28000000000000003</v>
      </c>
      <c r="O1378">
        <v>0.43571428571428567</v>
      </c>
      <c r="P1378" t="s">
        <v>41</v>
      </c>
    </row>
    <row r="1379" spans="1:16" x14ac:dyDescent="0.25">
      <c r="A1379" s="12">
        <v>46080.416666666664</v>
      </c>
      <c r="B1379" t="s">
        <v>11</v>
      </c>
      <c r="C1379" t="s">
        <v>12</v>
      </c>
      <c r="D1379">
        <v>6</v>
      </c>
      <c r="E1379">
        <v>25</v>
      </c>
      <c r="F1379">
        <v>20.759602397117639</v>
      </c>
      <c r="G1379" t="str">
        <f>FLOOR(FinalData[[#This Row],[Temperature_C]],2)&amp;"–"&amp;(FLOOR(FinalData[[#This Row],[Temperature_C]],2)+2)&amp;"°C"</f>
        <v>20–22°C</v>
      </c>
      <c r="H1379">
        <v>2.27</v>
      </c>
      <c r="I1379">
        <v>2026</v>
      </c>
      <c r="J1379">
        <v>2</v>
      </c>
      <c r="K1379">
        <v>27</v>
      </c>
      <c r="L1379">
        <v>5</v>
      </c>
      <c r="M1379">
        <v>10</v>
      </c>
      <c r="N1379">
        <v>0.24</v>
      </c>
      <c r="O1379">
        <v>0.37833333333333335</v>
      </c>
      <c r="P1379" t="s">
        <v>41</v>
      </c>
    </row>
    <row r="1380" spans="1:16" hidden="1" x14ac:dyDescent="0.25">
      <c r="A1380" s="12">
        <v>46080.458333333336</v>
      </c>
      <c r="B1380" t="s">
        <v>9</v>
      </c>
      <c r="C1380" t="s">
        <v>31</v>
      </c>
      <c r="D1380">
        <v>5</v>
      </c>
      <c r="E1380">
        <v>20</v>
      </c>
      <c r="F1380">
        <v>21.69841268986308</v>
      </c>
      <c r="G1380" t="str">
        <f>FLOOR(FinalData[[#This Row],[Temperature_C]],2)&amp;"–"&amp;(FLOOR(FinalData[[#This Row],[Temperature_C]],2)+2)&amp;"°C"</f>
        <v>20–22°C</v>
      </c>
      <c r="H1380">
        <v>1.87</v>
      </c>
      <c r="I1380">
        <v>2026</v>
      </c>
      <c r="J1380">
        <v>2</v>
      </c>
      <c r="K1380">
        <v>27</v>
      </c>
      <c r="L1380">
        <v>5</v>
      </c>
      <c r="M1380">
        <v>11</v>
      </c>
      <c r="N1380">
        <v>0.25</v>
      </c>
      <c r="O1380">
        <v>0.374</v>
      </c>
      <c r="P1380" t="s">
        <v>41</v>
      </c>
    </row>
    <row r="1381" spans="1:16" hidden="1" x14ac:dyDescent="0.25">
      <c r="A1381" s="12">
        <v>46080.5</v>
      </c>
      <c r="B1381" t="s">
        <v>13</v>
      </c>
      <c r="C1381" t="s">
        <v>24</v>
      </c>
      <c r="D1381">
        <v>13</v>
      </c>
      <c r="E1381">
        <v>25</v>
      </c>
      <c r="F1381">
        <v>23.016133518822269</v>
      </c>
      <c r="G1381" t="str">
        <f>FLOOR(FinalData[[#This Row],[Temperature_C]],2)&amp;"–"&amp;(FLOOR(FinalData[[#This Row],[Temperature_C]],2)+2)&amp;"°C"</f>
        <v>22–24°C</v>
      </c>
      <c r="H1381">
        <v>4.2</v>
      </c>
      <c r="I1381">
        <v>2026</v>
      </c>
      <c r="J1381">
        <v>2</v>
      </c>
      <c r="K1381">
        <v>27</v>
      </c>
      <c r="L1381">
        <v>5</v>
      </c>
      <c r="M1381">
        <v>12</v>
      </c>
      <c r="N1381">
        <v>0.52</v>
      </c>
      <c r="O1381">
        <v>0.32307692307692309</v>
      </c>
      <c r="P1381" t="s">
        <v>42</v>
      </c>
    </row>
    <row r="1382" spans="1:16" hidden="1" x14ac:dyDescent="0.25">
      <c r="A1382" s="12">
        <v>46080.541666666664</v>
      </c>
      <c r="B1382" t="s">
        <v>7</v>
      </c>
      <c r="C1382" t="s">
        <v>31</v>
      </c>
      <c r="D1382">
        <v>5</v>
      </c>
      <c r="E1382">
        <v>25</v>
      </c>
      <c r="F1382">
        <v>22.16546926935521</v>
      </c>
      <c r="G1382" t="str">
        <f>FLOOR(FinalData[[#This Row],[Temperature_C]],2)&amp;"–"&amp;(FLOOR(FinalData[[#This Row],[Temperature_C]],2)+2)&amp;"°C"</f>
        <v>22–24°C</v>
      </c>
      <c r="H1382">
        <v>2.0499999999999998</v>
      </c>
      <c r="I1382">
        <v>2026</v>
      </c>
      <c r="J1382">
        <v>2</v>
      </c>
      <c r="K1382">
        <v>27</v>
      </c>
      <c r="L1382">
        <v>5</v>
      </c>
      <c r="M1382">
        <v>13</v>
      </c>
      <c r="N1382">
        <v>0.2</v>
      </c>
      <c r="O1382">
        <v>0.41</v>
      </c>
      <c r="P1382" t="s">
        <v>42</v>
      </c>
    </row>
    <row r="1383" spans="1:16" hidden="1" x14ac:dyDescent="0.25">
      <c r="A1383" s="12">
        <v>46080.583333333336</v>
      </c>
      <c r="B1383" t="s">
        <v>9</v>
      </c>
      <c r="C1383" t="s">
        <v>10</v>
      </c>
      <c r="D1383">
        <v>7</v>
      </c>
      <c r="E1383">
        <v>20</v>
      </c>
      <c r="F1383">
        <v>23.637674806760849</v>
      </c>
      <c r="G1383" t="str">
        <f>FLOOR(FinalData[[#This Row],[Temperature_C]],2)&amp;"–"&amp;(FLOOR(FinalData[[#This Row],[Temperature_C]],2)+2)&amp;"°C"</f>
        <v>22–24°C</v>
      </c>
      <c r="H1383">
        <v>2.2999999999999998</v>
      </c>
      <c r="I1383">
        <v>2026</v>
      </c>
      <c r="J1383">
        <v>2</v>
      </c>
      <c r="K1383">
        <v>27</v>
      </c>
      <c r="L1383">
        <v>5</v>
      </c>
      <c r="M1383">
        <v>14</v>
      </c>
      <c r="N1383">
        <v>0.35</v>
      </c>
      <c r="O1383">
        <v>0.32857142857142857</v>
      </c>
      <c r="P1383" t="s">
        <v>42</v>
      </c>
    </row>
    <row r="1384" spans="1:16" hidden="1" x14ac:dyDescent="0.25">
      <c r="A1384" s="12">
        <v>46080.625</v>
      </c>
      <c r="B1384" t="s">
        <v>18</v>
      </c>
      <c r="C1384" t="s">
        <v>30</v>
      </c>
      <c r="D1384">
        <v>8</v>
      </c>
      <c r="E1384">
        <v>20</v>
      </c>
      <c r="F1384">
        <v>24.18065324888336</v>
      </c>
      <c r="G1384" t="str">
        <f>FLOOR(FinalData[[#This Row],[Temperature_C]],2)&amp;"–"&amp;(FLOOR(FinalData[[#This Row],[Temperature_C]],2)+2)&amp;"°C"</f>
        <v>24–26°C</v>
      </c>
      <c r="H1384">
        <v>3.34</v>
      </c>
      <c r="I1384">
        <v>2026</v>
      </c>
      <c r="J1384">
        <v>2</v>
      </c>
      <c r="K1384">
        <v>27</v>
      </c>
      <c r="L1384">
        <v>5</v>
      </c>
      <c r="M1384">
        <v>15</v>
      </c>
      <c r="N1384">
        <v>0.4</v>
      </c>
      <c r="O1384">
        <v>0.41749999999999998</v>
      </c>
      <c r="P1384" t="s">
        <v>42</v>
      </c>
    </row>
    <row r="1385" spans="1:16" hidden="1" x14ac:dyDescent="0.25">
      <c r="A1385" s="12">
        <v>46080.666666666664</v>
      </c>
      <c r="B1385" t="s">
        <v>18</v>
      </c>
      <c r="C1385" t="s">
        <v>30</v>
      </c>
      <c r="D1385">
        <v>8</v>
      </c>
      <c r="E1385">
        <v>30</v>
      </c>
      <c r="F1385">
        <v>21.354264790004041</v>
      </c>
      <c r="G1385" t="str">
        <f>FLOOR(FinalData[[#This Row],[Temperature_C]],2)&amp;"–"&amp;(FLOOR(FinalData[[#This Row],[Temperature_C]],2)+2)&amp;"°C"</f>
        <v>20–22°C</v>
      </c>
      <c r="H1385">
        <v>3.79</v>
      </c>
      <c r="I1385">
        <v>2026</v>
      </c>
      <c r="J1385">
        <v>2</v>
      </c>
      <c r="K1385">
        <v>27</v>
      </c>
      <c r="L1385">
        <v>5</v>
      </c>
      <c r="M1385">
        <v>16</v>
      </c>
      <c r="N1385">
        <v>0.26666666666666666</v>
      </c>
      <c r="O1385">
        <v>0.47375</v>
      </c>
      <c r="P1385" t="s">
        <v>42</v>
      </c>
    </row>
    <row r="1386" spans="1:16" hidden="1" x14ac:dyDescent="0.25">
      <c r="A1386" s="12">
        <v>46080.708333333336</v>
      </c>
      <c r="B1386" t="s">
        <v>18</v>
      </c>
      <c r="C1386" t="s">
        <v>25</v>
      </c>
      <c r="D1386">
        <v>8</v>
      </c>
      <c r="E1386">
        <v>25</v>
      </c>
      <c r="F1386">
        <v>22.251734637017929</v>
      </c>
      <c r="G1386" t="str">
        <f>FLOOR(FinalData[[#This Row],[Temperature_C]],2)&amp;"–"&amp;(FLOOR(FinalData[[#This Row],[Temperature_C]],2)+2)&amp;"°C"</f>
        <v>22–24°C</v>
      </c>
      <c r="H1386">
        <v>2.95</v>
      </c>
      <c r="I1386">
        <v>2026</v>
      </c>
      <c r="J1386">
        <v>2</v>
      </c>
      <c r="K1386">
        <v>27</v>
      </c>
      <c r="L1386">
        <v>5</v>
      </c>
      <c r="M1386">
        <v>17</v>
      </c>
      <c r="N1386">
        <v>0.32</v>
      </c>
      <c r="O1386">
        <v>0.36875000000000002</v>
      </c>
      <c r="P1386" t="s">
        <v>43</v>
      </c>
    </row>
    <row r="1387" spans="1:16" hidden="1" x14ac:dyDescent="0.25">
      <c r="A1387" s="12">
        <v>46080.75</v>
      </c>
      <c r="B1387" t="s">
        <v>11</v>
      </c>
      <c r="C1387" t="s">
        <v>10</v>
      </c>
      <c r="D1387">
        <v>12</v>
      </c>
      <c r="E1387">
        <v>20</v>
      </c>
      <c r="F1387">
        <v>23.15081825784933</v>
      </c>
      <c r="G1387" t="str">
        <f>FLOOR(FinalData[[#This Row],[Temperature_C]],2)&amp;"–"&amp;(FLOOR(FinalData[[#This Row],[Temperature_C]],2)+2)&amp;"°C"</f>
        <v>22–24°C</v>
      </c>
      <c r="H1387">
        <v>4.12</v>
      </c>
      <c r="I1387">
        <v>2026</v>
      </c>
      <c r="J1387">
        <v>2</v>
      </c>
      <c r="K1387">
        <v>27</v>
      </c>
      <c r="L1387">
        <v>5</v>
      </c>
      <c r="M1387">
        <v>18</v>
      </c>
      <c r="N1387">
        <v>0.6</v>
      </c>
      <c r="O1387">
        <v>0.34333333333333332</v>
      </c>
      <c r="P1387" t="s">
        <v>43</v>
      </c>
    </row>
    <row r="1388" spans="1:16" hidden="1" x14ac:dyDescent="0.25">
      <c r="A1388" s="12">
        <v>46080.791666666664</v>
      </c>
      <c r="B1388" t="s">
        <v>18</v>
      </c>
      <c r="C1388" t="s">
        <v>21</v>
      </c>
      <c r="D1388">
        <v>6</v>
      </c>
      <c r="E1388">
        <v>20</v>
      </c>
      <c r="F1388">
        <v>22.701211572795149</v>
      </c>
      <c r="G1388" t="str">
        <f>FLOOR(FinalData[[#This Row],[Temperature_C]],2)&amp;"–"&amp;(FLOOR(FinalData[[#This Row],[Temperature_C]],2)+2)&amp;"°C"</f>
        <v>22–24°C</v>
      </c>
      <c r="H1388">
        <v>1.95</v>
      </c>
      <c r="I1388">
        <v>2026</v>
      </c>
      <c r="J1388">
        <v>2</v>
      </c>
      <c r="K1388">
        <v>27</v>
      </c>
      <c r="L1388">
        <v>5</v>
      </c>
      <c r="M1388">
        <v>19</v>
      </c>
      <c r="N1388">
        <v>0.3</v>
      </c>
      <c r="O1388">
        <v>0.32500000000000001</v>
      </c>
      <c r="P1388" t="s">
        <v>43</v>
      </c>
    </row>
    <row r="1389" spans="1:16" hidden="1" x14ac:dyDescent="0.25">
      <c r="A1389" s="12">
        <v>46080.833333333336</v>
      </c>
      <c r="B1389" t="s">
        <v>18</v>
      </c>
      <c r="C1389" t="s">
        <v>24</v>
      </c>
      <c r="D1389">
        <v>4</v>
      </c>
      <c r="E1389">
        <v>30</v>
      </c>
      <c r="F1389">
        <v>23.439516167880289</v>
      </c>
      <c r="G1389" t="str">
        <f>FLOOR(FinalData[[#This Row],[Temperature_C]],2)&amp;"–"&amp;(FLOOR(FinalData[[#This Row],[Temperature_C]],2)+2)&amp;"°C"</f>
        <v>22–24°C</v>
      </c>
      <c r="H1389">
        <v>1.59</v>
      </c>
      <c r="I1389">
        <v>2026</v>
      </c>
      <c r="J1389">
        <v>2</v>
      </c>
      <c r="K1389">
        <v>27</v>
      </c>
      <c r="L1389">
        <v>5</v>
      </c>
      <c r="M1389">
        <v>20</v>
      </c>
      <c r="N1389">
        <v>0.13333333333333333</v>
      </c>
      <c r="O1389">
        <v>0.39750000000000002</v>
      </c>
      <c r="P1389" t="s">
        <v>43</v>
      </c>
    </row>
    <row r="1390" spans="1:16" hidden="1" x14ac:dyDescent="0.25">
      <c r="A1390" s="12">
        <v>46080.875</v>
      </c>
      <c r="B1390" t="s">
        <v>13</v>
      </c>
      <c r="C1390" t="s">
        <v>20</v>
      </c>
      <c r="D1390">
        <v>14</v>
      </c>
      <c r="E1390">
        <v>25</v>
      </c>
      <c r="F1390">
        <v>23.826692577376409</v>
      </c>
      <c r="G1390" t="str">
        <f>FLOOR(FinalData[[#This Row],[Temperature_C]],2)&amp;"–"&amp;(FLOOR(FinalData[[#This Row],[Temperature_C]],2)+2)&amp;"°C"</f>
        <v>22–24°C</v>
      </c>
      <c r="H1390">
        <v>4.4800000000000004</v>
      </c>
      <c r="I1390">
        <v>2026</v>
      </c>
      <c r="J1390">
        <v>2</v>
      </c>
      <c r="K1390">
        <v>27</v>
      </c>
      <c r="L1390">
        <v>5</v>
      </c>
      <c r="M1390">
        <v>21</v>
      </c>
      <c r="N1390">
        <v>0.56000000000000005</v>
      </c>
      <c r="O1390">
        <v>0.32</v>
      </c>
      <c r="P1390" t="s">
        <v>40</v>
      </c>
    </row>
    <row r="1391" spans="1:16" hidden="1" x14ac:dyDescent="0.25">
      <c r="A1391" s="12">
        <v>46080.916666666664</v>
      </c>
      <c r="B1391" t="s">
        <v>11</v>
      </c>
      <c r="C1391" t="s">
        <v>27</v>
      </c>
      <c r="D1391">
        <v>9</v>
      </c>
      <c r="E1391">
        <v>40</v>
      </c>
      <c r="F1391">
        <v>22.279916452335101</v>
      </c>
      <c r="G1391" t="str">
        <f>FLOOR(FinalData[[#This Row],[Temperature_C]],2)&amp;"–"&amp;(FLOOR(FinalData[[#This Row],[Temperature_C]],2)+2)&amp;"°C"</f>
        <v>22–24°C</v>
      </c>
      <c r="H1391">
        <v>3.37</v>
      </c>
      <c r="I1391">
        <v>2026</v>
      </c>
      <c r="J1391">
        <v>2</v>
      </c>
      <c r="K1391">
        <v>27</v>
      </c>
      <c r="L1391">
        <v>5</v>
      </c>
      <c r="M1391">
        <v>22</v>
      </c>
      <c r="N1391">
        <v>0.22500000000000001</v>
      </c>
      <c r="O1391">
        <v>0.37444444444444447</v>
      </c>
      <c r="P1391" t="s">
        <v>40</v>
      </c>
    </row>
    <row r="1392" spans="1:16" hidden="1" x14ac:dyDescent="0.25">
      <c r="A1392" s="12">
        <v>46080.958333333336</v>
      </c>
      <c r="B1392" t="s">
        <v>18</v>
      </c>
      <c r="C1392" t="s">
        <v>24</v>
      </c>
      <c r="D1392">
        <v>14</v>
      </c>
      <c r="E1392">
        <v>25</v>
      </c>
      <c r="F1392">
        <v>21.19536569081091</v>
      </c>
      <c r="G1392" t="str">
        <f>FLOOR(FinalData[[#This Row],[Temperature_C]],2)&amp;"–"&amp;(FLOOR(FinalData[[#This Row],[Temperature_C]],2)+2)&amp;"°C"</f>
        <v>20–22°C</v>
      </c>
      <c r="H1392">
        <v>4.32</v>
      </c>
      <c r="I1392">
        <v>2026</v>
      </c>
      <c r="J1392">
        <v>2</v>
      </c>
      <c r="K1392">
        <v>27</v>
      </c>
      <c r="L1392">
        <v>5</v>
      </c>
      <c r="M1392">
        <v>23</v>
      </c>
      <c r="N1392">
        <v>0.56000000000000005</v>
      </c>
      <c r="O1392">
        <v>0.30857142857142861</v>
      </c>
      <c r="P1392" t="s">
        <v>40</v>
      </c>
    </row>
    <row r="1393" spans="1:16" hidden="1" x14ac:dyDescent="0.25">
      <c r="A1393" s="12">
        <v>46081</v>
      </c>
      <c r="B1393" t="s">
        <v>18</v>
      </c>
      <c r="C1393" t="s">
        <v>28</v>
      </c>
      <c r="D1393">
        <v>4</v>
      </c>
      <c r="E1393">
        <v>40</v>
      </c>
      <c r="F1393">
        <v>22.806783030286262</v>
      </c>
      <c r="G1393" t="str">
        <f>FLOOR(FinalData[[#This Row],[Temperature_C]],2)&amp;"–"&amp;(FLOOR(FinalData[[#This Row],[Temperature_C]],2)+2)&amp;"°C"</f>
        <v>22–24°C</v>
      </c>
      <c r="H1393">
        <v>1.87</v>
      </c>
      <c r="I1393">
        <v>2026</v>
      </c>
      <c r="J1393">
        <v>2</v>
      </c>
      <c r="K1393">
        <v>28</v>
      </c>
      <c r="L1393">
        <v>6</v>
      </c>
      <c r="M1393">
        <v>0</v>
      </c>
      <c r="N1393">
        <v>0.1</v>
      </c>
      <c r="O1393">
        <v>0.46750000000000003</v>
      </c>
      <c r="P1393" t="s">
        <v>40</v>
      </c>
    </row>
    <row r="1394" spans="1:16" hidden="1" x14ac:dyDescent="0.25">
      <c r="A1394" s="12">
        <v>46081.041666666664</v>
      </c>
      <c r="B1394" t="s">
        <v>7</v>
      </c>
      <c r="C1394" t="s">
        <v>21</v>
      </c>
      <c r="D1394">
        <v>8</v>
      </c>
      <c r="E1394">
        <v>40</v>
      </c>
      <c r="F1394">
        <v>19.829507978540281</v>
      </c>
      <c r="G1394" t="str">
        <f>FLOOR(FinalData[[#This Row],[Temperature_C]],2)&amp;"–"&amp;(FLOOR(FinalData[[#This Row],[Temperature_C]],2)+2)&amp;"°C"</f>
        <v>18–20°C</v>
      </c>
      <c r="H1394">
        <v>3.23</v>
      </c>
      <c r="I1394">
        <v>2026</v>
      </c>
      <c r="J1394">
        <v>2</v>
      </c>
      <c r="K1394">
        <v>28</v>
      </c>
      <c r="L1394">
        <v>6</v>
      </c>
      <c r="M1394">
        <v>1</v>
      </c>
      <c r="N1394">
        <v>0.2</v>
      </c>
      <c r="O1394">
        <v>0.40375</v>
      </c>
      <c r="P1394" t="s">
        <v>40</v>
      </c>
    </row>
    <row r="1395" spans="1:16" hidden="1" x14ac:dyDescent="0.25">
      <c r="A1395" s="12">
        <v>46081.083333333336</v>
      </c>
      <c r="B1395" t="s">
        <v>11</v>
      </c>
      <c r="C1395" t="s">
        <v>29</v>
      </c>
      <c r="D1395">
        <v>16</v>
      </c>
      <c r="E1395">
        <v>25</v>
      </c>
      <c r="F1395">
        <v>23.79293394325769</v>
      </c>
      <c r="G1395" t="str">
        <f>FLOOR(FinalData[[#This Row],[Temperature_C]],2)&amp;"–"&amp;(FLOOR(FinalData[[#This Row],[Temperature_C]],2)+2)&amp;"°C"</f>
        <v>22–24°C</v>
      </c>
      <c r="H1395">
        <v>5.36</v>
      </c>
      <c r="I1395">
        <v>2026</v>
      </c>
      <c r="J1395">
        <v>2</v>
      </c>
      <c r="K1395">
        <v>28</v>
      </c>
      <c r="L1395">
        <v>6</v>
      </c>
      <c r="M1395">
        <v>2</v>
      </c>
      <c r="N1395">
        <v>0.64</v>
      </c>
      <c r="O1395">
        <v>0.33500000000000002</v>
      </c>
      <c r="P1395" t="s">
        <v>40</v>
      </c>
    </row>
    <row r="1396" spans="1:16" hidden="1" x14ac:dyDescent="0.25">
      <c r="A1396" s="12">
        <v>46081.125</v>
      </c>
      <c r="B1396" t="s">
        <v>18</v>
      </c>
      <c r="C1396" t="s">
        <v>24</v>
      </c>
      <c r="D1396">
        <v>3</v>
      </c>
      <c r="E1396">
        <v>20</v>
      </c>
      <c r="F1396">
        <v>22.338607709114449</v>
      </c>
      <c r="G1396" t="str">
        <f>FLOOR(FinalData[[#This Row],[Temperature_C]],2)&amp;"–"&amp;(FLOOR(FinalData[[#This Row],[Temperature_C]],2)+2)&amp;"°C"</f>
        <v>22–24°C</v>
      </c>
      <c r="H1396">
        <v>0.99</v>
      </c>
      <c r="I1396">
        <v>2026</v>
      </c>
      <c r="J1396">
        <v>2</v>
      </c>
      <c r="K1396">
        <v>28</v>
      </c>
      <c r="L1396">
        <v>6</v>
      </c>
      <c r="M1396">
        <v>3</v>
      </c>
      <c r="N1396">
        <v>0.15</v>
      </c>
      <c r="O1396">
        <v>0.33</v>
      </c>
      <c r="P1396" t="s">
        <v>40</v>
      </c>
    </row>
    <row r="1397" spans="1:16" hidden="1" x14ac:dyDescent="0.25">
      <c r="A1397" s="12">
        <v>46081.166666666664</v>
      </c>
      <c r="B1397" t="s">
        <v>11</v>
      </c>
      <c r="C1397" t="s">
        <v>10</v>
      </c>
      <c r="D1397">
        <v>5</v>
      </c>
      <c r="E1397">
        <v>30</v>
      </c>
      <c r="F1397">
        <v>20.438045131122951</v>
      </c>
      <c r="G1397" t="str">
        <f>FLOOR(FinalData[[#This Row],[Temperature_C]],2)&amp;"–"&amp;(FLOOR(FinalData[[#This Row],[Temperature_C]],2)+2)&amp;"°C"</f>
        <v>20–22°C</v>
      </c>
      <c r="H1397">
        <v>1.98</v>
      </c>
      <c r="I1397">
        <v>2026</v>
      </c>
      <c r="J1397">
        <v>2</v>
      </c>
      <c r="K1397">
        <v>28</v>
      </c>
      <c r="L1397">
        <v>6</v>
      </c>
      <c r="M1397">
        <v>4</v>
      </c>
      <c r="N1397">
        <v>0.16666666666666666</v>
      </c>
      <c r="O1397">
        <v>0.39600000000000002</v>
      </c>
      <c r="P1397" t="s">
        <v>40</v>
      </c>
    </row>
    <row r="1398" spans="1:16" hidden="1" x14ac:dyDescent="0.25">
      <c r="A1398" s="12">
        <v>46081.208333333336</v>
      </c>
      <c r="B1398" t="s">
        <v>9</v>
      </c>
      <c r="C1398" t="s">
        <v>22</v>
      </c>
      <c r="D1398">
        <v>11</v>
      </c>
      <c r="E1398">
        <v>30</v>
      </c>
      <c r="F1398">
        <v>17.728322060973589</v>
      </c>
      <c r="G1398" t="str">
        <f>FLOOR(FinalData[[#This Row],[Temperature_C]],2)&amp;"–"&amp;(FLOOR(FinalData[[#This Row],[Temperature_C]],2)+2)&amp;"°C"</f>
        <v>16–18°C</v>
      </c>
      <c r="H1398">
        <v>3.92</v>
      </c>
      <c r="I1398">
        <v>2026</v>
      </c>
      <c r="J1398">
        <v>2</v>
      </c>
      <c r="K1398">
        <v>28</v>
      </c>
      <c r="L1398">
        <v>6</v>
      </c>
      <c r="M1398">
        <v>5</v>
      </c>
      <c r="N1398">
        <v>0.36666666666666664</v>
      </c>
      <c r="O1398">
        <v>0.35636363636363638</v>
      </c>
      <c r="P1398" t="s">
        <v>40</v>
      </c>
    </row>
    <row r="1399" spans="1:16" hidden="1" x14ac:dyDescent="0.25">
      <c r="A1399" s="12">
        <v>46081.25</v>
      </c>
      <c r="B1399" t="s">
        <v>7</v>
      </c>
      <c r="C1399" t="s">
        <v>21</v>
      </c>
      <c r="D1399">
        <v>8</v>
      </c>
      <c r="E1399">
        <v>25</v>
      </c>
      <c r="F1399">
        <v>24.375527697123541</v>
      </c>
      <c r="G1399" t="str">
        <f>FLOOR(FinalData[[#This Row],[Temperature_C]],2)&amp;"–"&amp;(FLOOR(FinalData[[#This Row],[Temperature_C]],2)+2)&amp;"°C"</f>
        <v>24–26°C</v>
      </c>
      <c r="H1399">
        <v>3.45</v>
      </c>
      <c r="I1399">
        <v>2026</v>
      </c>
      <c r="J1399">
        <v>2</v>
      </c>
      <c r="K1399">
        <v>28</v>
      </c>
      <c r="L1399">
        <v>6</v>
      </c>
      <c r="M1399">
        <v>6</v>
      </c>
      <c r="N1399">
        <v>0.32</v>
      </c>
      <c r="O1399">
        <v>0.43125000000000002</v>
      </c>
      <c r="P1399" t="s">
        <v>40</v>
      </c>
    </row>
    <row r="1400" spans="1:16" hidden="1" x14ac:dyDescent="0.25">
      <c r="A1400" s="12">
        <v>46081.291666666664</v>
      </c>
      <c r="B1400" t="s">
        <v>13</v>
      </c>
      <c r="C1400" t="s">
        <v>27</v>
      </c>
      <c r="D1400">
        <v>9</v>
      </c>
      <c r="E1400">
        <v>20</v>
      </c>
      <c r="F1400">
        <v>21.460585801524289</v>
      </c>
      <c r="G1400" t="str">
        <f>FLOOR(FinalData[[#This Row],[Temperature_C]],2)&amp;"–"&amp;(FLOOR(FinalData[[#This Row],[Temperature_C]],2)+2)&amp;"°C"</f>
        <v>20–22°C</v>
      </c>
      <c r="H1400">
        <v>2.94</v>
      </c>
      <c r="I1400">
        <v>2026</v>
      </c>
      <c r="J1400">
        <v>2</v>
      </c>
      <c r="K1400">
        <v>28</v>
      </c>
      <c r="L1400">
        <v>6</v>
      </c>
      <c r="M1400">
        <v>7</v>
      </c>
      <c r="N1400">
        <v>0.45</v>
      </c>
      <c r="O1400">
        <v>0.32666666666666666</v>
      </c>
      <c r="P1400" t="s">
        <v>41</v>
      </c>
    </row>
    <row r="1401" spans="1:16" x14ac:dyDescent="0.25">
      <c r="A1401" s="12">
        <v>46081.333333333336</v>
      </c>
      <c r="B1401" t="s">
        <v>11</v>
      </c>
      <c r="C1401" t="s">
        <v>23</v>
      </c>
      <c r="D1401">
        <v>10</v>
      </c>
      <c r="E1401">
        <v>40</v>
      </c>
      <c r="F1401">
        <v>24.888954264397</v>
      </c>
      <c r="G1401" t="str">
        <f>FLOOR(FinalData[[#This Row],[Temperature_C]],2)&amp;"–"&amp;(FLOOR(FinalData[[#This Row],[Temperature_C]],2)+2)&amp;"°C"</f>
        <v>24–26°C</v>
      </c>
      <c r="H1401">
        <v>3.86</v>
      </c>
      <c r="I1401">
        <v>2026</v>
      </c>
      <c r="J1401">
        <v>2</v>
      </c>
      <c r="K1401">
        <v>28</v>
      </c>
      <c r="L1401">
        <v>6</v>
      </c>
      <c r="M1401">
        <v>8</v>
      </c>
      <c r="N1401">
        <v>0.25</v>
      </c>
      <c r="O1401">
        <v>0.38600000000000001</v>
      </c>
      <c r="P1401" t="s">
        <v>41</v>
      </c>
    </row>
    <row r="1402" spans="1:16" x14ac:dyDescent="0.25">
      <c r="A1402" s="12">
        <v>46081.375</v>
      </c>
      <c r="B1402" t="s">
        <v>11</v>
      </c>
      <c r="C1402" t="s">
        <v>12</v>
      </c>
      <c r="D1402">
        <v>11</v>
      </c>
      <c r="E1402">
        <v>20</v>
      </c>
      <c r="F1402">
        <v>20.706789607308959</v>
      </c>
      <c r="G1402" t="str">
        <f>FLOOR(FinalData[[#This Row],[Temperature_C]],2)&amp;"–"&amp;(FLOOR(FinalData[[#This Row],[Temperature_C]],2)+2)&amp;"°C"</f>
        <v>20–22°C</v>
      </c>
      <c r="H1402">
        <v>4.08</v>
      </c>
      <c r="I1402">
        <v>2026</v>
      </c>
      <c r="J1402">
        <v>2</v>
      </c>
      <c r="K1402">
        <v>28</v>
      </c>
      <c r="L1402">
        <v>6</v>
      </c>
      <c r="M1402">
        <v>9</v>
      </c>
      <c r="N1402">
        <v>0.55000000000000004</v>
      </c>
      <c r="O1402">
        <v>0.37090909090909091</v>
      </c>
      <c r="P1402" t="s">
        <v>41</v>
      </c>
    </row>
    <row r="1403" spans="1:16" hidden="1" x14ac:dyDescent="0.25">
      <c r="A1403" s="12">
        <v>46081.416666666664</v>
      </c>
      <c r="B1403" t="s">
        <v>7</v>
      </c>
      <c r="C1403" t="s">
        <v>29</v>
      </c>
      <c r="D1403">
        <v>10</v>
      </c>
      <c r="E1403">
        <v>20</v>
      </c>
      <c r="F1403">
        <v>25.59588038707027</v>
      </c>
      <c r="G1403" t="str">
        <f>FLOOR(FinalData[[#This Row],[Temperature_C]],2)&amp;"–"&amp;(FLOOR(FinalData[[#This Row],[Temperature_C]],2)+2)&amp;"°C"</f>
        <v>24–26°C</v>
      </c>
      <c r="H1403">
        <v>4.03</v>
      </c>
      <c r="I1403">
        <v>2026</v>
      </c>
      <c r="J1403">
        <v>2</v>
      </c>
      <c r="K1403">
        <v>28</v>
      </c>
      <c r="L1403">
        <v>6</v>
      </c>
      <c r="M1403">
        <v>10</v>
      </c>
      <c r="N1403">
        <v>0.5</v>
      </c>
      <c r="O1403">
        <v>0.40300000000000002</v>
      </c>
      <c r="P1403" t="s">
        <v>41</v>
      </c>
    </row>
    <row r="1404" spans="1:16" hidden="1" x14ac:dyDescent="0.25">
      <c r="A1404" s="12">
        <v>46081.458333333336</v>
      </c>
      <c r="B1404" t="s">
        <v>13</v>
      </c>
      <c r="C1404" t="s">
        <v>27</v>
      </c>
      <c r="D1404">
        <v>11</v>
      </c>
      <c r="E1404">
        <v>20</v>
      </c>
      <c r="F1404">
        <v>17.43407913531356</v>
      </c>
      <c r="G1404" t="str">
        <f>FLOOR(FinalData[[#This Row],[Temperature_C]],2)&amp;"–"&amp;(FLOOR(FinalData[[#This Row],[Temperature_C]],2)+2)&amp;"°C"</f>
        <v>16–18°C</v>
      </c>
      <c r="H1404">
        <v>4.21</v>
      </c>
      <c r="I1404">
        <v>2026</v>
      </c>
      <c r="J1404">
        <v>2</v>
      </c>
      <c r="K1404">
        <v>28</v>
      </c>
      <c r="L1404">
        <v>6</v>
      </c>
      <c r="M1404">
        <v>11</v>
      </c>
      <c r="N1404">
        <v>0.55000000000000004</v>
      </c>
      <c r="O1404">
        <v>0.38272727272727275</v>
      </c>
      <c r="P1404" t="s">
        <v>41</v>
      </c>
    </row>
    <row r="1405" spans="1:16" hidden="1" x14ac:dyDescent="0.25">
      <c r="A1405" s="12">
        <v>46081.5</v>
      </c>
      <c r="B1405" t="s">
        <v>7</v>
      </c>
      <c r="C1405" t="s">
        <v>24</v>
      </c>
      <c r="D1405">
        <v>10</v>
      </c>
      <c r="E1405">
        <v>20</v>
      </c>
      <c r="F1405">
        <v>22.32978490934395</v>
      </c>
      <c r="G1405" t="str">
        <f>FLOOR(FinalData[[#This Row],[Temperature_C]],2)&amp;"–"&amp;(FLOOR(FinalData[[#This Row],[Temperature_C]],2)+2)&amp;"°C"</f>
        <v>22–24°C</v>
      </c>
      <c r="H1405">
        <v>3.44</v>
      </c>
      <c r="I1405">
        <v>2026</v>
      </c>
      <c r="J1405">
        <v>2</v>
      </c>
      <c r="K1405">
        <v>28</v>
      </c>
      <c r="L1405">
        <v>6</v>
      </c>
      <c r="M1405">
        <v>12</v>
      </c>
      <c r="N1405">
        <v>0.5</v>
      </c>
      <c r="O1405">
        <v>0.34399999999999997</v>
      </c>
      <c r="P1405" t="s">
        <v>42</v>
      </c>
    </row>
    <row r="1406" spans="1:16" hidden="1" x14ac:dyDescent="0.25">
      <c r="A1406" s="12">
        <v>46081.541666666664</v>
      </c>
      <c r="B1406" t="s">
        <v>7</v>
      </c>
      <c r="C1406" t="s">
        <v>15</v>
      </c>
      <c r="D1406">
        <v>5</v>
      </c>
      <c r="E1406">
        <v>20</v>
      </c>
      <c r="F1406">
        <v>22.835938727381681</v>
      </c>
      <c r="G1406" t="str">
        <f>FLOOR(FinalData[[#This Row],[Temperature_C]],2)&amp;"–"&amp;(FLOOR(FinalData[[#This Row],[Temperature_C]],2)+2)&amp;"°C"</f>
        <v>22–24°C</v>
      </c>
      <c r="H1406">
        <v>2.4</v>
      </c>
      <c r="I1406">
        <v>2026</v>
      </c>
      <c r="J1406">
        <v>2</v>
      </c>
      <c r="K1406">
        <v>28</v>
      </c>
      <c r="L1406">
        <v>6</v>
      </c>
      <c r="M1406">
        <v>13</v>
      </c>
      <c r="N1406">
        <v>0.25</v>
      </c>
      <c r="O1406">
        <v>0.48</v>
      </c>
      <c r="P1406" t="s">
        <v>42</v>
      </c>
    </row>
    <row r="1407" spans="1:16" hidden="1" x14ac:dyDescent="0.25">
      <c r="A1407" s="12">
        <v>46081.583333333336</v>
      </c>
      <c r="B1407" t="s">
        <v>7</v>
      </c>
      <c r="C1407" t="s">
        <v>25</v>
      </c>
      <c r="D1407">
        <v>10</v>
      </c>
      <c r="E1407">
        <v>25</v>
      </c>
      <c r="F1407">
        <v>21.079293895715772</v>
      </c>
      <c r="G1407" t="str">
        <f>FLOOR(FinalData[[#This Row],[Temperature_C]],2)&amp;"–"&amp;(FLOOR(FinalData[[#This Row],[Temperature_C]],2)+2)&amp;"°C"</f>
        <v>20–22°C</v>
      </c>
      <c r="H1407">
        <v>2.91</v>
      </c>
      <c r="I1407">
        <v>2026</v>
      </c>
      <c r="J1407">
        <v>2</v>
      </c>
      <c r="K1407">
        <v>28</v>
      </c>
      <c r="L1407">
        <v>6</v>
      </c>
      <c r="M1407">
        <v>14</v>
      </c>
      <c r="N1407">
        <v>0.4</v>
      </c>
      <c r="O1407">
        <v>0.29100000000000004</v>
      </c>
      <c r="P1407" t="s">
        <v>42</v>
      </c>
    </row>
    <row r="1408" spans="1:16" hidden="1" x14ac:dyDescent="0.25">
      <c r="A1408" s="12">
        <v>46081.625</v>
      </c>
      <c r="B1408" t="s">
        <v>18</v>
      </c>
      <c r="C1408" t="s">
        <v>19</v>
      </c>
      <c r="D1408">
        <v>5</v>
      </c>
      <c r="E1408">
        <v>30</v>
      </c>
      <c r="F1408">
        <v>25.85903931705198</v>
      </c>
      <c r="G1408" t="str">
        <f>FLOOR(FinalData[[#This Row],[Temperature_C]],2)&amp;"–"&amp;(FLOOR(FinalData[[#This Row],[Temperature_C]],2)+2)&amp;"°C"</f>
        <v>24–26°C</v>
      </c>
      <c r="H1408">
        <v>2.54</v>
      </c>
      <c r="I1408">
        <v>2026</v>
      </c>
      <c r="J1408">
        <v>2</v>
      </c>
      <c r="K1408">
        <v>28</v>
      </c>
      <c r="L1408">
        <v>6</v>
      </c>
      <c r="M1408">
        <v>15</v>
      </c>
      <c r="N1408">
        <v>0.16666666666666666</v>
      </c>
      <c r="O1408">
        <v>0.50800000000000001</v>
      </c>
      <c r="P1408" t="s">
        <v>42</v>
      </c>
    </row>
    <row r="1409" spans="1:16" hidden="1" x14ac:dyDescent="0.25">
      <c r="A1409" s="12">
        <v>46081.666666666664</v>
      </c>
      <c r="B1409" t="s">
        <v>11</v>
      </c>
      <c r="C1409" t="s">
        <v>16</v>
      </c>
      <c r="D1409">
        <v>13</v>
      </c>
      <c r="E1409">
        <v>30</v>
      </c>
      <c r="F1409">
        <v>23.326511252584329</v>
      </c>
      <c r="G1409" t="str">
        <f>FLOOR(FinalData[[#This Row],[Temperature_C]],2)&amp;"–"&amp;(FLOOR(FinalData[[#This Row],[Temperature_C]],2)+2)&amp;"°C"</f>
        <v>22–24°C</v>
      </c>
      <c r="H1409">
        <v>3.81</v>
      </c>
      <c r="I1409">
        <v>2026</v>
      </c>
      <c r="J1409">
        <v>2</v>
      </c>
      <c r="K1409">
        <v>28</v>
      </c>
      <c r="L1409">
        <v>6</v>
      </c>
      <c r="M1409">
        <v>16</v>
      </c>
      <c r="N1409">
        <v>0.43333333333333335</v>
      </c>
      <c r="O1409">
        <v>0.29307692307692307</v>
      </c>
      <c r="P1409" t="s">
        <v>42</v>
      </c>
    </row>
    <row r="1410" spans="1:16" hidden="1" x14ac:dyDescent="0.25">
      <c r="A1410" s="12">
        <v>46081.708333333336</v>
      </c>
      <c r="B1410" t="s">
        <v>11</v>
      </c>
      <c r="C1410" t="s">
        <v>31</v>
      </c>
      <c r="D1410">
        <v>10</v>
      </c>
      <c r="E1410">
        <v>20</v>
      </c>
      <c r="F1410">
        <v>24.0570257616119</v>
      </c>
      <c r="G1410" t="str">
        <f>FLOOR(FinalData[[#This Row],[Temperature_C]],2)&amp;"–"&amp;(FLOOR(FinalData[[#This Row],[Temperature_C]],2)+2)&amp;"°C"</f>
        <v>24–26°C</v>
      </c>
      <c r="H1410">
        <v>3.45</v>
      </c>
      <c r="I1410">
        <v>2026</v>
      </c>
      <c r="J1410">
        <v>2</v>
      </c>
      <c r="K1410">
        <v>28</v>
      </c>
      <c r="L1410">
        <v>6</v>
      </c>
      <c r="M1410">
        <v>17</v>
      </c>
      <c r="N1410">
        <v>0.5</v>
      </c>
      <c r="O1410">
        <v>0.34500000000000003</v>
      </c>
      <c r="P1410" t="s">
        <v>43</v>
      </c>
    </row>
    <row r="1411" spans="1:16" hidden="1" x14ac:dyDescent="0.25">
      <c r="A1411" s="12">
        <v>46081.75</v>
      </c>
      <c r="B1411" t="s">
        <v>13</v>
      </c>
      <c r="C1411" t="s">
        <v>20</v>
      </c>
      <c r="D1411">
        <v>10</v>
      </c>
      <c r="E1411">
        <v>30</v>
      </c>
      <c r="F1411">
        <v>25.37825956290693</v>
      </c>
      <c r="G1411" t="str">
        <f>FLOOR(FinalData[[#This Row],[Temperature_C]],2)&amp;"–"&amp;(FLOOR(FinalData[[#This Row],[Temperature_C]],2)+2)&amp;"°C"</f>
        <v>24–26°C</v>
      </c>
      <c r="H1411">
        <v>4.33</v>
      </c>
      <c r="I1411">
        <v>2026</v>
      </c>
      <c r="J1411">
        <v>2</v>
      </c>
      <c r="K1411">
        <v>28</v>
      </c>
      <c r="L1411">
        <v>6</v>
      </c>
      <c r="M1411">
        <v>18</v>
      </c>
      <c r="N1411">
        <v>0.33333333333333331</v>
      </c>
      <c r="O1411">
        <v>0.433</v>
      </c>
      <c r="P1411" t="s">
        <v>43</v>
      </c>
    </row>
    <row r="1412" spans="1:16" hidden="1" x14ac:dyDescent="0.25">
      <c r="A1412" s="12">
        <v>46081.791666666664</v>
      </c>
      <c r="B1412" t="s">
        <v>11</v>
      </c>
      <c r="C1412" t="s">
        <v>8</v>
      </c>
      <c r="D1412">
        <v>6</v>
      </c>
      <c r="E1412">
        <v>30</v>
      </c>
      <c r="F1412">
        <v>21.546122804855941</v>
      </c>
      <c r="G1412" t="str">
        <f>FLOOR(FinalData[[#This Row],[Temperature_C]],2)&amp;"–"&amp;(FLOOR(FinalData[[#This Row],[Temperature_C]],2)+2)&amp;"°C"</f>
        <v>20–22°C</v>
      </c>
      <c r="H1412">
        <v>2.19</v>
      </c>
      <c r="I1412">
        <v>2026</v>
      </c>
      <c r="J1412">
        <v>2</v>
      </c>
      <c r="K1412">
        <v>28</v>
      </c>
      <c r="L1412">
        <v>6</v>
      </c>
      <c r="M1412">
        <v>19</v>
      </c>
      <c r="N1412">
        <v>0.2</v>
      </c>
      <c r="O1412">
        <v>0.36499999999999999</v>
      </c>
      <c r="P1412" t="s">
        <v>43</v>
      </c>
    </row>
    <row r="1413" spans="1:16" hidden="1" x14ac:dyDescent="0.25">
      <c r="A1413" s="12">
        <v>46081.833333333336</v>
      </c>
      <c r="B1413" t="s">
        <v>18</v>
      </c>
      <c r="C1413" t="s">
        <v>24</v>
      </c>
      <c r="D1413">
        <v>12</v>
      </c>
      <c r="E1413">
        <v>40</v>
      </c>
      <c r="F1413">
        <v>23.654150436106619</v>
      </c>
      <c r="G1413" t="str">
        <f>FLOOR(FinalData[[#This Row],[Temperature_C]],2)&amp;"–"&amp;(FLOOR(FinalData[[#This Row],[Temperature_C]],2)+2)&amp;"°C"</f>
        <v>22–24°C</v>
      </c>
      <c r="H1413">
        <v>4.09</v>
      </c>
      <c r="I1413">
        <v>2026</v>
      </c>
      <c r="J1413">
        <v>2</v>
      </c>
      <c r="K1413">
        <v>28</v>
      </c>
      <c r="L1413">
        <v>6</v>
      </c>
      <c r="M1413">
        <v>20</v>
      </c>
      <c r="N1413">
        <v>0.3</v>
      </c>
      <c r="O1413">
        <v>0.34083333333333332</v>
      </c>
      <c r="P1413" t="s">
        <v>43</v>
      </c>
    </row>
    <row r="1414" spans="1:16" hidden="1" x14ac:dyDescent="0.25">
      <c r="A1414" s="12">
        <v>46081.875</v>
      </c>
      <c r="B1414" t="s">
        <v>13</v>
      </c>
      <c r="C1414" t="s">
        <v>21</v>
      </c>
      <c r="D1414">
        <v>10</v>
      </c>
      <c r="E1414">
        <v>30</v>
      </c>
      <c r="F1414">
        <v>24.812277836182751</v>
      </c>
      <c r="G1414" t="str">
        <f>FLOOR(FinalData[[#This Row],[Temperature_C]],2)&amp;"–"&amp;(FLOOR(FinalData[[#This Row],[Temperature_C]],2)+2)&amp;"°C"</f>
        <v>24–26°C</v>
      </c>
      <c r="H1414">
        <v>3.97</v>
      </c>
      <c r="I1414">
        <v>2026</v>
      </c>
      <c r="J1414">
        <v>2</v>
      </c>
      <c r="K1414">
        <v>28</v>
      </c>
      <c r="L1414">
        <v>6</v>
      </c>
      <c r="M1414">
        <v>21</v>
      </c>
      <c r="N1414">
        <v>0.33333333333333331</v>
      </c>
      <c r="O1414">
        <v>0.39700000000000002</v>
      </c>
      <c r="P1414" t="s">
        <v>40</v>
      </c>
    </row>
    <row r="1415" spans="1:16" hidden="1" x14ac:dyDescent="0.25">
      <c r="A1415" s="12">
        <v>46081.916666666664</v>
      </c>
      <c r="B1415" t="s">
        <v>18</v>
      </c>
      <c r="C1415" t="s">
        <v>29</v>
      </c>
      <c r="D1415">
        <v>6</v>
      </c>
      <c r="E1415">
        <v>30</v>
      </c>
      <c r="F1415">
        <v>23.271036005583589</v>
      </c>
      <c r="G1415" t="str">
        <f>FLOOR(FinalData[[#This Row],[Temperature_C]],2)&amp;"–"&amp;(FLOOR(FinalData[[#This Row],[Temperature_C]],2)+2)&amp;"°C"</f>
        <v>22–24°C</v>
      </c>
      <c r="H1415">
        <v>2.42</v>
      </c>
      <c r="I1415">
        <v>2026</v>
      </c>
      <c r="J1415">
        <v>2</v>
      </c>
      <c r="K1415">
        <v>28</v>
      </c>
      <c r="L1415">
        <v>6</v>
      </c>
      <c r="M1415">
        <v>22</v>
      </c>
      <c r="N1415">
        <v>0.2</v>
      </c>
      <c r="O1415">
        <v>0.40333333333333332</v>
      </c>
      <c r="P1415" t="s">
        <v>40</v>
      </c>
    </row>
    <row r="1416" spans="1:16" hidden="1" x14ac:dyDescent="0.25">
      <c r="A1416" s="12">
        <v>46081.958333333336</v>
      </c>
      <c r="B1416" t="s">
        <v>9</v>
      </c>
      <c r="C1416" t="s">
        <v>17</v>
      </c>
      <c r="D1416">
        <v>4</v>
      </c>
      <c r="E1416">
        <v>40</v>
      </c>
      <c r="F1416">
        <v>19.388863492029589</v>
      </c>
      <c r="G1416" t="str">
        <f>FLOOR(FinalData[[#This Row],[Temperature_C]],2)&amp;"–"&amp;(FLOOR(FinalData[[#This Row],[Temperature_C]],2)+2)&amp;"°C"</f>
        <v>18–20°C</v>
      </c>
      <c r="H1416">
        <v>2.4900000000000002</v>
      </c>
      <c r="I1416">
        <v>2026</v>
      </c>
      <c r="J1416">
        <v>2</v>
      </c>
      <c r="K1416">
        <v>28</v>
      </c>
      <c r="L1416">
        <v>6</v>
      </c>
      <c r="M1416">
        <v>23</v>
      </c>
      <c r="N1416">
        <v>0.1</v>
      </c>
      <c r="O1416">
        <v>0.62250000000000005</v>
      </c>
      <c r="P1416" t="s">
        <v>40</v>
      </c>
    </row>
    <row r="1417" spans="1:16" hidden="1" x14ac:dyDescent="0.25">
      <c r="A1417" s="12">
        <v>46082</v>
      </c>
      <c r="B1417" t="s">
        <v>11</v>
      </c>
      <c r="C1417" t="s">
        <v>8</v>
      </c>
      <c r="D1417">
        <v>6</v>
      </c>
      <c r="E1417">
        <v>40</v>
      </c>
      <c r="F1417">
        <v>20.502673150474749</v>
      </c>
      <c r="G1417" t="str">
        <f>FLOOR(FinalData[[#This Row],[Temperature_C]],2)&amp;"–"&amp;(FLOOR(FinalData[[#This Row],[Temperature_C]],2)+2)&amp;"°C"</f>
        <v>20–22°C</v>
      </c>
      <c r="H1417">
        <v>2.76</v>
      </c>
      <c r="I1417">
        <v>2026</v>
      </c>
      <c r="J1417">
        <v>3</v>
      </c>
      <c r="K1417">
        <v>1</v>
      </c>
      <c r="L1417">
        <v>0</v>
      </c>
      <c r="M1417">
        <v>0</v>
      </c>
      <c r="N1417">
        <v>0.15</v>
      </c>
      <c r="O1417">
        <v>0.45999999999999996</v>
      </c>
      <c r="P1417" t="s">
        <v>40</v>
      </c>
    </row>
    <row r="1418" spans="1:16" hidden="1" x14ac:dyDescent="0.25">
      <c r="A1418" s="12">
        <v>46082.041666666664</v>
      </c>
      <c r="B1418" t="s">
        <v>18</v>
      </c>
      <c r="C1418" t="s">
        <v>17</v>
      </c>
      <c r="D1418">
        <v>6</v>
      </c>
      <c r="E1418">
        <v>40</v>
      </c>
      <c r="F1418">
        <v>22.08279942762028</v>
      </c>
      <c r="G1418" t="str">
        <f>FLOOR(FinalData[[#This Row],[Temperature_C]],2)&amp;"–"&amp;(FLOOR(FinalData[[#This Row],[Temperature_C]],2)+2)&amp;"°C"</f>
        <v>22–24°C</v>
      </c>
      <c r="H1418">
        <v>2.19</v>
      </c>
      <c r="I1418">
        <v>2026</v>
      </c>
      <c r="J1418">
        <v>3</v>
      </c>
      <c r="K1418">
        <v>1</v>
      </c>
      <c r="L1418">
        <v>0</v>
      </c>
      <c r="M1418">
        <v>1</v>
      </c>
      <c r="N1418">
        <v>0.15</v>
      </c>
      <c r="O1418">
        <v>0.36499999999999999</v>
      </c>
      <c r="P1418" t="s">
        <v>40</v>
      </c>
    </row>
    <row r="1419" spans="1:16" hidden="1" x14ac:dyDescent="0.25">
      <c r="A1419" s="12">
        <v>46082.083333333336</v>
      </c>
      <c r="B1419" t="s">
        <v>7</v>
      </c>
      <c r="C1419" t="s">
        <v>23</v>
      </c>
      <c r="D1419">
        <v>9</v>
      </c>
      <c r="E1419">
        <v>40</v>
      </c>
      <c r="F1419">
        <v>20.654463359749808</v>
      </c>
      <c r="G1419" t="str">
        <f>FLOOR(FinalData[[#This Row],[Temperature_C]],2)&amp;"–"&amp;(FLOOR(FinalData[[#This Row],[Temperature_C]],2)+2)&amp;"°C"</f>
        <v>20–22°C</v>
      </c>
      <c r="H1419">
        <v>3.64</v>
      </c>
      <c r="I1419">
        <v>2026</v>
      </c>
      <c r="J1419">
        <v>3</v>
      </c>
      <c r="K1419">
        <v>1</v>
      </c>
      <c r="L1419">
        <v>0</v>
      </c>
      <c r="M1419">
        <v>2</v>
      </c>
      <c r="N1419">
        <v>0.22500000000000001</v>
      </c>
      <c r="O1419">
        <v>0.40444444444444444</v>
      </c>
      <c r="P1419" t="s">
        <v>40</v>
      </c>
    </row>
    <row r="1420" spans="1:16" hidden="1" x14ac:dyDescent="0.25">
      <c r="A1420" s="12">
        <v>46082.125</v>
      </c>
      <c r="B1420" t="s">
        <v>13</v>
      </c>
      <c r="C1420" t="s">
        <v>16</v>
      </c>
      <c r="D1420">
        <v>4</v>
      </c>
      <c r="E1420">
        <v>25</v>
      </c>
      <c r="F1420">
        <v>21.96065104359273</v>
      </c>
      <c r="G1420" t="str">
        <f>FLOOR(FinalData[[#This Row],[Temperature_C]],2)&amp;"–"&amp;(FLOOR(FinalData[[#This Row],[Temperature_C]],2)+2)&amp;"°C"</f>
        <v>20–22°C</v>
      </c>
      <c r="H1420">
        <v>1.03</v>
      </c>
      <c r="I1420">
        <v>2026</v>
      </c>
      <c r="J1420">
        <v>3</v>
      </c>
      <c r="K1420">
        <v>1</v>
      </c>
      <c r="L1420">
        <v>0</v>
      </c>
      <c r="M1420">
        <v>3</v>
      </c>
      <c r="N1420">
        <v>0.16</v>
      </c>
      <c r="O1420">
        <v>0.25750000000000001</v>
      </c>
      <c r="P1420" t="s">
        <v>40</v>
      </c>
    </row>
    <row r="1421" spans="1:16" hidden="1" x14ac:dyDescent="0.25">
      <c r="A1421" s="12">
        <v>46082.166666666664</v>
      </c>
      <c r="B1421" t="s">
        <v>7</v>
      </c>
      <c r="C1421" t="s">
        <v>31</v>
      </c>
      <c r="D1421">
        <v>10</v>
      </c>
      <c r="E1421">
        <v>40</v>
      </c>
      <c r="F1421">
        <v>22.964307180413019</v>
      </c>
      <c r="G1421" t="str">
        <f>FLOOR(FinalData[[#This Row],[Temperature_C]],2)&amp;"–"&amp;(FLOOR(FinalData[[#This Row],[Temperature_C]],2)+2)&amp;"°C"</f>
        <v>22–24°C</v>
      </c>
      <c r="H1421">
        <v>3.02</v>
      </c>
      <c r="I1421">
        <v>2026</v>
      </c>
      <c r="J1421">
        <v>3</v>
      </c>
      <c r="K1421">
        <v>1</v>
      </c>
      <c r="L1421">
        <v>0</v>
      </c>
      <c r="M1421">
        <v>4</v>
      </c>
      <c r="N1421">
        <v>0.25</v>
      </c>
      <c r="O1421">
        <v>0.30199999999999999</v>
      </c>
      <c r="P1421" t="s">
        <v>40</v>
      </c>
    </row>
    <row r="1422" spans="1:16" hidden="1" x14ac:dyDescent="0.25">
      <c r="A1422" s="12">
        <v>46082.208333333336</v>
      </c>
      <c r="B1422" t="s">
        <v>13</v>
      </c>
      <c r="C1422" t="s">
        <v>8</v>
      </c>
      <c r="D1422">
        <v>13</v>
      </c>
      <c r="E1422">
        <v>30</v>
      </c>
      <c r="F1422">
        <v>23.363553249589511</v>
      </c>
      <c r="G1422" t="str">
        <f>FLOOR(FinalData[[#This Row],[Temperature_C]],2)&amp;"–"&amp;(FLOOR(FinalData[[#This Row],[Temperature_C]],2)+2)&amp;"°C"</f>
        <v>22–24°C</v>
      </c>
      <c r="H1422">
        <v>4.8</v>
      </c>
      <c r="I1422">
        <v>2026</v>
      </c>
      <c r="J1422">
        <v>3</v>
      </c>
      <c r="K1422">
        <v>1</v>
      </c>
      <c r="L1422">
        <v>0</v>
      </c>
      <c r="M1422">
        <v>5</v>
      </c>
      <c r="N1422">
        <v>0.43333333333333335</v>
      </c>
      <c r="O1422">
        <v>0.3692307692307692</v>
      </c>
      <c r="P1422" t="s">
        <v>40</v>
      </c>
    </row>
    <row r="1423" spans="1:16" hidden="1" x14ac:dyDescent="0.25">
      <c r="A1423" s="12">
        <v>46082.25</v>
      </c>
      <c r="B1423" t="s">
        <v>11</v>
      </c>
      <c r="C1423" t="s">
        <v>17</v>
      </c>
      <c r="D1423">
        <v>10</v>
      </c>
      <c r="E1423">
        <v>25</v>
      </c>
      <c r="F1423">
        <v>25.180944338113989</v>
      </c>
      <c r="G1423" t="str">
        <f>FLOOR(FinalData[[#This Row],[Temperature_C]],2)&amp;"–"&amp;(FLOOR(FinalData[[#This Row],[Temperature_C]],2)+2)&amp;"°C"</f>
        <v>24–26°C</v>
      </c>
      <c r="H1423">
        <v>4.09</v>
      </c>
      <c r="I1423">
        <v>2026</v>
      </c>
      <c r="J1423">
        <v>3</v>
      </c>
      <c r="K1423">
        <v>1</v>
      </c>
      <c r="L1423">
        <v>0</v>
      </c>
      <c r="M1423">
        <v>6</v>
      </c>
      <c r="N1423">
        <v>0.4</v>
      </c>
      <c r="O1423">
        <v>0.40899999999999997</v>
      </c>
      <c r="P1423" t="s">
        <v>40</v>
      </c>
    </row>
    <row r="1424" spans="1:16" x14ac:dyDescent="0.25">
      <c r="A1424" s="12">
        <v>46082.291666666664</v>
      </c>
      <c r="B1424" t="s">
        <v>11</v>
      </c>
      <c r="C1424" t="s">
        <v>12</v>
      </c>
      <c r="D1424">
        <v>6</v>
      </c>
      <c r="E1424">
        <v>25</v>
      </c>
      <c r="F1424">
        <v>25.230500986563559</v>
      </c>
      <c r="G1424" t="str">
        <f>FLOOR(FinalData[[#This Row],[Temperature_C]],2)&amp;"–"&amp;(FLOOR(FinalData[[#This Row],[Temperature_C]],2)+2)&amp;"°C"</f>
        <v>24–26°C</v>
      </c>
      <c r="H1424">
        <v>2.7</v>
      </c>
      <c r="I1424">
        <v>2026</v>
      </c>
      <c r="J1424">
        <v>3</v>
      </c>
      <c r="K1424">
        <v>1</v>
      </c>
      <c r="L1424">
        <v>0</v>
      </c>
      <c r="M1424">
        <v>7</v>
      </c>
      <c r="N1424">
        <v>0.24</v>
      </c>
      <c r="O1424">
        <v>0.45</v>
      </c>
      <c r="P1424" t="s">
        <v>41</v>
      </c>
    </row>
    <row r="1425" spans="1:16" hidden="1" x14ac:dyDescent="0.25">
      <c r="A1425" s="12">
        <v>46082.333333333336</v>
      </c>
      <c r="B1425" t="s">
        <v>18</v>
      </c>
      <c r="C1425" t="s">
        <v>16</v>
      </c>
      <c r="D1425">
        <v>3</v>
      </c>
      <c r="E1425">
        <v>25</v>
      </c>
      <c r="F1425">
        <v>21.369365526664279</v>
      </c>
      <c r="G1425" t="str">
        <f>FLOOR(FinalData[[#This Row],[Temperature_C]],2)&amp;"–"&amp;(FLOOR(FinalData[[#This Row],[Temperature_C]],2)+2)&amp;"°C"</f>
        <v>20–22°C</v>
      </c>
      <c r="H1425">
        <v>1.89</v>
      </c>
      <c r="I1425">
        <v>2026</v>
      </c>
      <c r="J1425">
        <v>3</v>
      </c>
      <c r="K1425">
        <v>1</v>
      </c>
      <c r="L1425">
        <v>0</v>
      </c>
      <c r="M1425">
        <v>8</v>
      </c>
      <c r="N1425">
        <v>0.12</v>
      </c>
      <c r="O1425">
        <v>0.63</v>
      </c>
      <c r="P1425" t="s">
        <v>41</v>
      </c>
    </row>
    <row r="1426" spans="1:16" hidden="1" x14ac:dyDescent="0.25">
      <c r="A1426" s="12">
        <v>46082.375</v>
      </c>
      <c r="B1426" t="s">
        <v>7</v>
      </c>
      <c r="C1426" t="s">
        <v>31</v>
      </c>
      <c r="D1426">
        <v>6</v>
      </c>
      <c r="E1426">
        <v>40</v>
      </c>
      <c r="F1426">
        <v>20.437170040443949</v>
      </c>
      <c r="G1426" t="str">
        <f>FLOOR(FinalData[[#This Row],[Temperature_C]],2)&amp;"–"&amp;(FLOOR(FinalData[[#This Row],[Temperature_C]],2)+2)&amp;"°C"</f>
        <v>20–22°C</v>
      </c>
      <c r="H1426">
        <v>2.5099999999999998</v>
      </c>
      <c r="I1426">
        <v>2026</v>
      </c>
      <c r="J1426">
        <v>3</v>
      </c>
      <c r="K1426">
        <v>1</v>
      </c>
      <c r="L1426">
        <v>0</v>
      </c>
      <c r="M1426">
        <v>9</v>
      </c>
      <c r="N1426">
        <v>0.15</v>
      </c>
      <c r="O1426">
        <v>0.41833333333333328</v>
      </c>
      <c r="P1426" t="s">
        <v>41</v>
      </c>
    </row>
    <row r="1427" spans="1:16" hidden="1" x14ac:dyDescent="0.25">
      <c r="A1427" s="12">
        <v>46082.416666666664</v>
      </c>
      <c r="B1427" t="s">
        <v>13</v>
      </c>
      <c r="C1427" t="s">
        <v>25</v>
      </c>
      <c r="D1427">
        <v>8</v>
      </c>
      <c r="E1427">
        <v>30</v>
      </c>
      <c r="F1427">
        <v>21.403054977624819</v>
      </c>
      <c r="G1427" t="str">
        <f>FLOOR(FinalData[[#This Row],[Temperature_C]],2)&amp;"–"&amp;(FLOOR(FinalData[[#This Row],[Temperature_C]],2)+2)&amp;"°C"</f>
        <v>20–22°C</v>
      </c>
      <c r="H1427">
        <v>2.35</v>
      </c>
      <c r="I1427">
        <v>2026</v>
      </c>
      <c r="J1427">
        <v>3</v>
      </c>
      <c r="K1427">
        <v>1</v>
      </c>
      <c r="L1427">
        <v>0</v>
      </c>
      <c r="M1427">
        <v>10</v>
      </c>
      <c r="N1427">
        <v>0.26666666666666666</v>
      </c>
      <c r="O1427">
        <v>0.29375000000000001</v>
      </c>
      <c r="P1427" t="s">
        <v>41</v>
      </c>
    </row>
    <row r="1428" spans="1:16" hidden="1" x14ac:dyDescent="0.25">
      <c r="A1428" s="12">
        <v>46082.458333333336</v>
      </c>
      <c r="B1428" t="s">
        <v>18</v>
      </c>
      <c r="C1428" t="s">
        <v>30</v>
      </c>
      <c r="D1428">
        <v>8</v>
      </c>
      <c r="E1428">
        <v>20</v>
      </c>
      <c r="F1428">
        <v>19.777994464229661</v>
      </c>
      <c r="G1428" t="str">
        <f>FLOOR(FinalData[[#This Row],[Temperature_C]],2)&amp;"–"&amp;(FLOOR(FinalData[[#This Row],[Temperature_C]],2)+2)&amp;"°C"</f>
        <v>18–20°C</v>
      </c>
      <c r="H1428">
        <v>2.86</v>
      </c>
      <c r="I1428">
        <v>2026</v>
      </c>
      <c r="J1428">
        <v>3</v>
      </c>
      <c r="K1428">
        <v>1</v>
      </c>
      <c r="L1428">
        <v>0</v>
      </c>
      <c r="M1428">
        <v>11</v>
      </c>
      <c r="N1428">
        <v>0.4</v>
      </c>
      <c r="O1428">
        <v>0.35749999999999998</v>
      </c>
      <c r="P1428" t="s">
        <v>41</v>
      </c>
    </row>
    <row r="1429" spans="1:16" hidden="1" x14ac:dyDescent="0.25">
      <c r="A1429" s="12">
        <v>46082.5</v>
      </c>
      <c r="B1429" t="s">
        <v>9</v>
      </c>
      <c r="C1429" t="s">
        <v>31</v>
      </c>
      <c r="D1429">
        <v>6</v>
      </c>
      <c r="E1429">
        <v>25</v>
      </c>
      <c r="F1429">
        <v>24.582971854570459</v>
      </c>
      <c r="G1429" t="str">
        <f>FLOOR(FinalData[[#This Row],[Temperature_C]],2)&amp;"–"&amp;(FLOOR(FinalData[[#This Row],[Temperature_C]],2)+2)&amp;"°C"</f>
        <v>24–26°C</v>
      </c>
      <c r="H1429">
        <v>3.14</v>
      </c>
      <c r="I1429">
        <v>2026</v>
      </c>
      <c r="J1429">
        <v>3</v>
      </c>
      <c r="K1429">
        <v>1</v>
      </c>
      <c r="L1429">
        <v>0</v>
      </c>
      <c r="M1429">
        <v>12</v>
      </c>
      <c r="N1429">
        <v>0.24</v>
      </c>
      <c r="O1429">
        <v>0.52333333333333332</v>
      </c>
      <c r="P1429" t="s">
        <v>42</v>
      </c>
    </row>
    <row r="1430" spans="1:16" hidden="1" x14ac:dyDescent="0.25">
      <c r="A1430" s="12">
        <v>46082.541666666664</v>
      </c>
      <c r="B1430" t="s">
        <v>13</v>
      </c>
      <c r="C1430" t="s">
        <v>27</v>
      </c>
      <c r="D1430">
        <v>6</v>
      </c>
      <c r="E1430">
        <v>40</v>
      </c>
      <c r="F1430">
        <v>22.68159657682672</v>
      </c>
      <c r="G1430" t="str">
        <f>FLOOR(FinalData[[#This Row],[Temperature_C]],2)&amp;"–"&amp;(FLOOR(FinalData[[#This Row],[Temperature_C]],2)+2)&amp;"°C"</f>
        <v>22–24°C</v>
      </c>
      <c r="H1430">
        <v>2.71</v>
      </c>
      <c r="I1430">
        <v>2026</v>
      </c>
      <c r="J1430">
        <v>3</v>
      </c>
      <c r="K1430">
        <v>1</v>
      </c>
      <c r="L1430">
        <v>0</v>
      </c>
      <c r="M1430">
        <v>13</v>
      </c>
      <c r="N1430">
        <v>0.15</v>
      </c>
      <c r="O1430">
        <v>0.45166666666666666</v>
      </c>
      <c r="P1430" t="s">
        <v>42</v>
      </c>
    </row>
    <row r="1431" spans="1:16" hidden="1" x14ac:dyDescent="0.25">
      <c r="A1431" s="12">
        <v>46082.583333333336</v>
      </c>
      <c r="B1431" t="s">
        <v>11</v>
      </c>
      <c r="C1431" t="s">
        <v>30</v>
      </c>
      <c r="D1431">
        <v>11</v>
      </c>
      <c r="E1431">
        <v>30</v>
      </c>
      <c r="F1431">
        <v>27.139895478139358</v>
      </c>
      <c r="G1431" t="str">
        <f>FLOOR(FinalData[[#This Row],[Temperature_C]],2)&amp;"–"&amp;(FLOOR(FinalData[[#This Row],[Temperature_C]],2)+2)&amp;"°C"</f>
        <v>26–28°C</v>
      </c>
      <c r="H1431">
        <v>4.58</v>
      </c>
      <c r="I1431">
        <v>2026</v>
      </c>
      <c r="J1431">
        <v>3</v>
      </c>
      <c r="K1431">
        <v>1</v>
      </c>
      <c r="L1431">
        <v>0</v>
      </c>
      <c r="M1431">
        <v>14</v>
      </c>
      <c r="N1431">
        <v>0.36666666666666664</v>
      </c>
      <c r="O1431">
        <v>0.41636363636363638</v>
      </c>
      <c r="P1431" t="s">
        <v>42</v>
      </c>
    </row>
    <row r="1432" spans="1:16" hidden="1" x14ac:dyDescent="0.25">
      <c r="A1432" s="12">
        <v>46082.625</v>
      </c>
      <c r="B1432" t="s">
        <v>13</v>
      </c>
      <c r="C1432" t="s">
        <v>15</v>
      </c>
      <c r="D1432">
        <v>8</v>
      </c>
      <c r="E1432">
        <v>20</v>
      </c>
      <c r="F1432">
        <v>25.377002028069409</v>
      </c>
      <c r="G1432" t="str">
        <f>FLOOR(FinalData[[#This Row],[Temperature_C]],2)&amp;"–"&amp;(FLOOR(FinalData[[#This Row],[Temperature_C]],2)+2)&amp;"°C"</f>
        <v>24–26°C</v>
      </c>
      <c r="H1432">
        <v>3.74</v>
      </c>
      <c r="I1432">
        <v>2026</v>
      </c>
      <c r="J1432">
        <v>3</v>
      </c>
      <c r="K1432">
        <v>1</v>
      </c>
      <c r="L1432">
        <v>0</v>
      </c>
      <c r="M1432">
        <v>15</v>
      </c>
      <c r="N1432">
        <v>0.4</v>
      </c>
      <c r="O1432">
        <v>0.46750000000000003</v>
      </c>
      <c r="P1432" t="s">
        <v>42</v>
      </c>
    </row>
    <row r="1433" spans="1:16" hidden="1" x14ac:dyDescent="0.25">
      <c r="A1433" s="12">
        <v>46082.666666666664</v>
      </c>
      <c r="B1433" t="s">
        <v>7</v>
      </c>
      <c r="C1433" t="s">
        <v>16</v>
      </c>
      <c r="D1433">
        <v>8</v>
      </c>
      <c r="E1433">
        <v>20</v>
      </c>
      <c r="F1433">
        <v>21.20411602871954</v>
      </c>
      <c r="G1433" t="str">
        <f>FLOOR(FinalData[[#This Row],[Temperature_C]],2)&amp;"–"&amp;(FLOOR(FinalData[[#This Row],[Temperature_C]],2)+2)&amp;"°C"</f>
        <v>20–22°C</v>
      </c>
      <c r="H1433">
        <v>2.91</v>
      </c>
      <c r="I1433">
        <v>2026</v>
      </c>
      <c r="J1433">
        <v>3</v>
      </c>
      <c r="K1433">
        <v>1</v>
      </c>
      <c r="L1433">
        <v>0</v>
      </c>
      <c r="M1433">
        <v>16</v>
      </c>
      <c r="N1433">
        <v>0.4</v>
      </c>
      <c r="O1433">
        <v>0.36375000000000002</v>
      </c>
      <c r="P1433" t="s">
        <v>42</v>
      </c>
    </row>
    <row r="1434" spans="1:16" hidden="1" x14ac:dyDescent="0.25">
      <c r="A1434" s="12">
        <v>46082.708333333336</v>
      </c>
      <c r="B1434" t="s">
        <v>9</v>
      </c>
      <c r="C1434" t="s">
        <v>31</v>
      </c>
      <c r="D1434">
        <v>10</v>
      </c>
      <c r="E1434">
        <v>25</v>
      </c>
      <c r="F1434">
        <v>24.56294923772251</v>
      </c>
      <c r="G1434" t="str">
        <f>FLOOR(FinalData[[#This Row],[Temperature_C]],2)&amp;"–"&amp;(FLOOR(FinalData[[#This Row],[Temperature_C]],2)+2)&amp;"°C"</f>
        <v>24–26°C</v>
      </c>
      <c r="H1434">
        <v>3.93</v>
      </c>
      <c r="I1434">
        <v>2026</v>
      </c>
      <c r="J1434">
        <v>3</v>
      </c>
      <c r="K1434">
        <v>1</v>
      </c>
      <c r="L1434">
        <v>0</v>
      </c>
      <c r="M1434">
        <v>17</v>
      </c>
      <c r="N1434">
        <v>0.4</v>
      </c>
      <c r="O1434">
        <v>0.39300000000000002</v>
      </c>
      <c r="P1434" t="s">
        <v>43</v>
      </c>
    </row>
    <row r="1435" spans="1:16" hidden="1" x14ac:dyDescent="0.25">
      <c r="A1435" s="12">
        <v>46082.75</v>
      </c>
      <c r="B1435" t="s">
        <v>13</v>
      </c>
      <c r="C1435" t="s">
        <v>14</v>
      </c>
      <c r="D1435">
        <v>11</v>
      </c>
      <c r="E1435">
        <v>40</v>
      </c>
      <c r="F1435">
        <v>26.84174229987957</v>
      </c>
      <c r="G1435" t="str">
        <f>FLOOR(FinalData[[#This Row],[Temperature_C]],2)&amp;"–"&amp;(FLOOR(FinalData[[#This Row],[Temperature_C]],2)+2)&amp;"°C"</f>
        <v>26–28°C</v>
      </c>
      <c r="H1435">
        <v>4.29</v>
      </c>
      <c r="I1435">
        <v>2026</v>
      </c>
      <c r="J1435">
        <v>3</v>
      </c>
      <c r="K1435">
        <v>1</v>
      </c>
      <c r="L1435">
        <v>0</v>
      </c>
      <c r="M1435">
        <v>18</v>
      </c>
      <c r="N1435">
        <v>0.27500000000000002</v>
      </c>
      <c r="O1435">
        <v>0.39</v>
      </c>
      <c r="P1435" t="s">
        <v>43</v>
      </c>
    </row>
    <row r="1436" spans="1:16" hidden="1" x14ac:dyDescent="0.25">
      <c r="A1436" s="12">
        <v>46082.791666666664</v>
      </c>
      <c r="B1436" t="s">
        <v>7</v>
      </c>
      <c r="C1436" t="s">
        <v>17</v>
      </c>
      <c r="D1436">
        <v>7</v>
      </c>
      <c r="E1436">
        <v>30</v>
      </c>
      <c r="F1436">
        <v>20.32725739344626</v>
      </c>
      <c r="G1436" t="str">
        <f>FLOOR(FinalData[[#This Row],[Temperature_C]],2)&amp;"–"&amp;(FLOOR(FinalData[[#This Row],[Temperature_C]],2)+2)&amp;"°C"</f>
        <v>20–22°C</v>
      </c>
      <c r="H1436">
        <v>2.35</v>
      </c>
      <c r="I1436">
        <v>2026</v>
      </c>
      <c r="J1436">
        <v>3</v>
      </c>
      <c r="K1436">
        <v>1</v>
      </c>
      <c r="L1436">
        <v>0</v>
      </c>
      <c r="M1436">
        <v>19</v>
      </c>
      <c r="N1436">
        <v>0.23333333333333334</v>
      </c>
      <c r="O1436">
        <v>0.33571428571428574</v>
      </c>
      <c r="P1436" t="s">
        <v>43</v>
      </c>
    </row>
    <row r="1437" spans="1:16" hidden="1" x14ac:dyDescent="0.25">
      <c r="A1437" s="12">
        <v>46082.833333333336</v>
      </c>
      <c r="B1437" t="s">
        <v>7</v>
      </c>
      <c r="C1437" t="s">
        <v>16</v>
      </c>
      <c r="D1437">
        <v>9</v>
      </c>
      <c r="E1437">
        <v>20</v>
      </c>
      <c r="F1437">
        <v>24.888432752570399</v>
      </c>
      <c r="G1437" t="str">
        <f>FLOOR(FinalData[[#This Row],[Temperature_C]],2)&amp;"–"&amp;(FLOOR(FinalData[[#This Row],[Temperature_C]],2)+2)&amp;"°C"</f>
        <v>24–26°C</v>
      </c>
      <c r="H1437">
        <v>3.83</v>
      </c>
      <c r="I1437">
        <v>2026</v>
      </c>
      <c r="J1437">
        <v>3</v>
      </c>
      <c r="K1437">
        <v>1</v>
      </c>
      <c r="L1437">
        <v>0</v>
      </c>
      <c r="M1437">
        <v>20</v>
      </c>
      <c r="N1437">
        <v>0.45</v>
      </c>
      <c r="O1437">
        <v>0.42555555555555558</v>
      </c>
      <c r="P1437" t="s">
        <v>43</v>
      </c>
    </row>
    <row r="1438" spans="1:16" hidden="1" x14ac:dyDescent="0.25">
      <c r="A1438" s="12">
        <v>46082.875</v>
      </c>
      <c r="B1438" t="s">
        <v>18</v>
      </c>
      <c r="C1438" t="s">
        <v>30</v>
      </c>
      <c r="D1438">
        <v>9</v>
      </c>
      <c r="E1438">
        <v>25</v>
      </c>
      <c r="F1438">
        <v>23.18725572291061</v>
      </c>
      <c r="G1438" t="str">
        <f>FLOOR(FinalData[[#This Row],[Temperature_C]],2)&amp;"–"&amp;(FLOOR(FinalData[[#This Row],[Temperature_C]],2)+2)&amp;"°C"</f>
        <v>22–24°C</v>
      </c>
      <c r="H1438">
        <v>3.05</v>
      </c>
      <c r="I1438">
        <v>2026</v>
      </c>
      <c r="J1438">
        <v>3</v>
      </c>
      <c r="K1438">
        <v>1</v>
      </c>
      <c r="L1438">
        <v>0</v>
      </c>
      <c r="M1438">
        <v>21</v>
      </c>
      <c r="N1438">
        <v>0.36</v>
      </c>
      <c r="O1438">
        <v>0.33888888888888885</v>
      </c>
      <c r="P1438" t="s">
        <v>40</v>
      </c>
    </row>
    <row r="1439" spans="1:16" hidden="1" x14ac:dyDescent="0.25">
      <c r="A1439" s="12">
        <v>46082.916666666664</v>
      </c>
      <c r="B1439" t="s">
        <v>9</v>
      </c>
      <c r="C1439" t="s">
        <v>20</v>
      </c>
      <c r="D1439">
        <v>7</v>
      </c>
      <c r="E1439">
        <v>25</v>
      </c>
      <c r="F1439">
        <v>22.92352298464381</v>
      </c>
      <c r="G1439" t="str">
        <f>FLOOR(FinalData[[#This Row],[Temperature_C]],2)&amp;"–"&amp;(FLOOR(FinalData[[#This Row],[Temperature_C]],2)+2)&amp;"°C"</f>
        <v>22–24°C</v>
      </c>
      <c r="H1439">
        <v>2.97</v>
      </c>
      <c r="I1439">
        <v>2026</v>
      </c>
      <c r="J1439">
        <v>3</v>
      </c>
      <c r="K1439">
        <v>1</v>
      </c>
      <c r="L1439">
        <v>0</v>
      </c>
      <c r="M1439">
        <v>22</v>
      </c>
      <c r="N1439">
        <v>0.28000000000000003</v>
      </c>
      <c r="O1439">
        <v>0.42428571428571432</v>
      </c>
      <c r="P1439" t="s">
        <v>40</v>
      </c>
    </row>
    <row r="1440" spans="1:16" hidden="1" x14ac:dyDescent="0.25">
      <c r="A1440" s="12">
        <v>46082.958333333336</v>
      </c>
      <c r="B1440" t="s">
        <v>11</v>
      </c>
      <c r="C1440" t="s">
        <v>27</v>
      </c>
      <c r="D1440">
        <v>8</v>
      </c>
      <c r="E1440">
        <v>25</v>
      </c>
      <c r="F1440">
        <v>23.69949563049596</v>
      </c>
      <c r="G1440" t="str">
        <f>FLOOR(FinalData[[#This Row],[Temperature_C]],2)&amp;"–"&amp;(FLOOR(FinalData[[#This Row],[Temperature_C]],2)+2)&amp;"°C"</f>
        <v>22–24°C</v>
      </c>
      <c r="H1440">
        <v>2.31</v>
      </c>
      <c r="I1440">
        <v>2026</v>
      </c>
      <c r="J1440">
        <v>3</v>
      </c>
      <c r="K1440">
        <v>1</v>
      </c>
      <c r="L1440">
        <v>0</v>
      </c>
      <c r="M1440">
        <v>23</v>
      </c>
      <c r="N1440">
        <v>0.32</v>
      </c>
      <c r="O1440">
        <v>0.28875000000000001</v>
      </c>
      <c r="P1440" t="s">
        <v>40</v>
      </c>
    </row>
    <row r="1441" spans="1:16" hidden="1" x14ac:dyDescent="0.25">
      <c r="A1441" s="12">
        <v>46083</v>
      </c>
      <c r="B1441" t="s">
        <v>11</v>
      </c>
      <c r="C1441" t="s">
        <v>8</v>
      </c>
      <c r="D1441">
        <v>11</v>
      </c>
      <c r="E1441">
        <v>20</v>
      </c>
      <c r="F1441">
        <v>22.172937482381339</v>
      </c>
      <c r="G1441" t="str">
        <f>FLOOR(FinalData[[#This Row],[Temperature_C]],2)&amp;"–"&amp;(FLOOR(FinalData[[#This Row],[Temperature_C]],2)+2)&amp;"°C"</f>
        <v>22–24°C</v>
      </c>
      <c r="H1441">
        <v>3.32</v>
      </c>
      <c r="I1441">
        <v>2026</v>
      </c>
      <c r="J1441">
        <v>3</v>
      </c>
      <c r="K1441">
        <v>2</v>
      </c>
      <c r="L1441">
        <v>1</v>
      </c>
      <c r="M1441">
        <v>0</v>
      </c>
      <c r="N1441">
        <v>0.55000000000000004</v>
      </c>
      <c r="O1441">
        <v>0.30181818181818182</v>
      </c>
      <c r="P1441" t="s">
        <v>40</v>
      </c>
    </row>
    <row r="1442" spans="1:16" hidden="1" x14ac:dyDescent="0.25">
      <c r="A1442" s="12">
        <v>46083.041666666664</v>
      </c>
      <c r="B1442" t="s">
        <v>18</v>
      </c>
      <c r="C1442" t="s">
        <v>15</v>
      </c>
      <c r="D1442">
        <v>2</v>
      </c>
      <c r="E1442">
        <v>20</v>
      </c>
      <c r="F1442">
        <v>28.601753895218781</v>
      </c>
      <c r="G1442" t="str">
        <f>FLOOR(FinalData[[#This Row],[Temperature_C]],2)&amp;"–"&amp;(FLOOR(FinalData[[#This Row],[Temperature_C]],2)+2)&amp;"°C"</f>
        <v>28–30°C</v>
      </c>
      <c r="H1442">
        <v>2.44</v>
      </c>
      <c r="I1442">
        <v>2026</v>
      </c>
      <c r="J1442">
        <v>3</v>
      </c>
      <c r="K1442">
        <v>2</v>
      </c>
      <c r="L1442">
        <v>1</v>
      </c>
      <c r="M1442">
        <v>1</v>
      </c>
      <c r="N1442">
        <v>0.1</v>
      </c>
      <c r="O1442">
        <v>1.22</v>
      </c>
      <c r="P1442" t="s">
        <v>40</v>
      </c>
    </row>
    <row r="1443" spans="1:16" hidden="1" x14ac:dyDescent="0.25">
      <c r="A1443" s="12">
        <v>46083.083333333336</v>
      </c>
      <c r="B1443" t="s">
        <v>11</v>
      </c>
      <c r="C1443" t="s">
        <v>26</v>
      </c>
      <c r="D1443">
        <v>2</v>
      </c>
      <c r="E1443">
        <v>40</v>
      </c>
      <c r="F1443">
        <v>21.800700977098131</v>
      </c>
      <c r="G1443" t="str">
        <f>FLOOR(FinalData[[#This Row],[Temperature_C]],2)&amp;"–"&amp;(FLOOR(FinalData[[#This Row],[Temperature_C]],2)+2)&amp;"°C"</f>
        <v>20–22°C</v>
      </c>
      <c r="H1443">
        <v>1.46</v>
      </c>
      <c r="I1443">
        <v>2026</v>
      </c>
      <c r="J1443">
        <v>3</v>
      </c>
      <c r="K1443">
        <v>2</v>
      </c>
      <c r="L1443">
        <v>1</v>
      </c>
      <c r="M1443">
        <v>2</v>
      </c>
      <c r="N1443">
        <v>0.05</v>
      </c>
      <c r="O1443">
        <v>0.73</v>
      </c>
      <c r="P1443" t="s">
        <v>40</v>
      </c>
    </row>
    <row r="1444" spans="1:16" hidden="1" x14ac:dyDescent="0.25">
      <c r="A1444" s="12">
        <v>46083.125</v>
      </c>
      <c r="B1444" t="s">
        <v>18</v>
      </c>
      <c r="C1444" t="s">
        <v>27</v>
      </c>
      <c r="D1444">
        <v>12</v>
      </c>
      <c r="E1444">
        <v>30</v>
      </c>
      <c r="F1444">
        <v>26.775373158016091</v>
      </c>
      <c r="G1444" t="str">
        <f>FLOOR(FinalData[[#This Row],[Temperature_C]],2)&amp;"–"&amp;(FLOOR(FinalData[[#This Row],[Temperature_C]],2)+2)&amp;"°C"</f>
        <v>26–28°C</v>
      </c>
      <c r="H1444">
        <v>4.1500000000000004</v>
      </c>
      <c r="I1444">
        <v>2026</v>
      </c>
      <c r="J1444">
        <v>3</v>
      </c>
      <c r="K1444">
        <v>2</v>
      </c>
      <c r="L1444">
        <v>1</v>
      </c>
      <c r="M1444">
        <v>3</v>
      </c>
      <c r="N1444">
        <v>0.4</v>
      </c>
      <c r="O1444">
        <v>0.34583333333333338</v>
      </c>
      <c r="P1444" t="s">
        <v>40</v>
      </c>
    </row>
    <row r="1445" spans="1:16" hidden="1" x14ac:dyDescent="0.25">
      <c r="A1445" s="12">
        <v>46083.166666666664</v>
      </c>
      <c r="B1445" t="s">
        <v>18</v>
      </c>
      <c r="C1445" t="s">
        <v>20</v>
      </c>
      <c r="D1445">
        <v>5</v>
      </c>
      <c r="E1445">
        <v>30</v>
      </c>
      <c r="F1445">
        <v>22.324995867685072</v>
      </c>
      <c r="G1445" t="str">
        <f>FLOOR(FinalData[[#This Row],[Temperature_C]],2)&amp;"–"&amp;(FLOOR(FinalData[[#This Row],[Temperature_C]],2)+2)&amp;"°C"</f>
        <v>22–24°C</v>
      </c>
      <c r="H1445">
        <v>2.27</v>
      </c>
      <c r="I1445">
        <v>2026</v>
      </c>
      <c r="J1445">
        <v>3</v>
      </c>
      <c r="K1445">
        <v>2</v>
      </c>
      <c r="L1445">
        <v>1</v>
      </c>
      <c r="M1445">
        <v>4</v>
      </c>
      <c r="N1445">
        <v>0.16666666666666666</v>
      </c>
      <c r="O1445">
        <v>0.45400000000000001</v>
      </c>
      <c r="P1445" t="s">
        <v>40</v>
      </c>
    </row>
    <row r="1446" spans="1:16" hidden="1" x14ac:dyDescent="0.25">
      <c r="A1446" s="12">
        <v>46083.208333333336</v>
      </c>
      <c r="B1446" t="s">
        <v>13</v>
      </c>
      <c r="C1446" t="s">
        <v>12</v>
      </c>
      <c r="D1446">
        <v>9</v>
      </c>
      <c r="E1446">
        <v>20</v>
      </c>
      <c r="F1446">
        <v>25.513008235880221</v>
      </c>
      <c r="G1446" t="str">
        <f>FLOOR(FinalData[[#This Row],[Temperature_C]],2)&amp;"–"&amp;(FLOOR(FinalData[[#This Row],[Temperature_C]],2)+2)&amp;"°C"</f>
        <v>24–26°C</v>
      </c>
      <c r="H1446">
        <v>3.91</v>
      </c>
      <c r="I1446">
        <v>2026</v>
      </c>
      <c r="J1446">
        <v>3</v>
      </c>
      <c r="K1446">
        <v>2</v>
      </c>
      <c r="L1446">
        <v>1</v>
      </c>
      <c r="M1446">
        <v>5</v>
      </c>
      <c r="N1446">
        <v>0.45</v>
      </c>
      <c r="O1446">
        <v>0.43444444444444447</v>
      </c>
      <c r="P1446" t="s">
        <v>40</v>
      </c>
    </row>
    <row r="1447" spans="1:16" hidden="1" x14ac:dyDescent="0.25">
      <c r="A1447" s="12">
        <v>46083.25</v>
      </c>
      <c r="B1447" t="s">
        <v>9</v>
      </c>
      <c r="C1447" t="s">
        <v>19</v>
      </c>
      <c r="D1447">
        <v>5</v>
      </c>
      <c r="E1447">
        <v>30</v>
      </c>
      <c r="F1447">
        <v>26.158067402183999</v>
      </c>
      <c r="G1447" t="str">
        <f>FLOOR(FinalData[[#This Row],[Temperature_C]],2)&amp;"–"&amp;(FLOOR(FinalData[[#This Row],[Temperature_C]],2)+2)&amp;"°C"</f>
        <v>26–28°C</v>
      </c>
      <c r="H1447">
        <v>2.83</v>
      </c>
      <c r="I1447">
        <v>2026</v>
      </c>
      <c r="J1447">
        <v>3</v>
      </c>
      <c r="K1447">
        <v>2</v>
      </c>
      <c r="L1447">
        <v>1</v>
      </c>
      <c r="M1447">
        <v>6</v>
      </c>
      <c r="N1447">
        <v>0.16666666666666666</v>
      </c>
      <c r="O1447">
        <v>0.56600000000000006</v>
      </c>
      <c r="P1447" t="s">
        <v>40</v>
      </c>
    </row>
    <row r="1448" spans="1:16" hidden="1" x14ac:dyDescent="0.25">
      <c r="A1448" s="12">
        <v>46083.291666666664</v>
      </c>
      <c r="B1448" t="s">
        <v>7</v>
      </c>
      <c r="C1448" t="s">
        <v>16</v>
      </c>
      <c r="D1448">
        <v>12</v>
      </c>
      <c r="E1448">
        <v>25</v>
      </c>
      <c r="F1448">
        <v>21.96406540156698</v>
      </c>
      <c r="G1448" t="str">
        <f>FLOOR(FinalData[[#This Row],[Temperature_C]],2)&amp;"–"&amp;(FLOOR(FinalData[[#This Row],[Temperature_C]],2)+2)&amp;"°C"</f>
        <v>20–22°C</v>
      </c>
      <c r="H1448">
        <v>3.27</v>
      </c>
      <c r="I1448">
        <v>2026</v>
      </c>
      <c r="J1448">
        <v>3</v>
      </c>
      <c r="K1448">
        <v>2</v>
      </c>
      <c r="L1448">
        <v>1</v>
      </c>
      <c r="M1448">
        <v>7</v>
      </c>
      <c r="N1448">
        <v>0.48</v>
      </c>
      <c r="O1448">
        <v>0.27250000000000002</v>
      </c>
      <c r="P1448" t="s">
        <v>41</v>
      </c>
    </row>
    <row r="1449" spans="1:16" hidden="1" x14ac:dyDescent="0.25">
      <c r="A1449" s="12">
        <v>46083.333333333336</v>
      </c>
      <c r="B1449" t="s">
        <v>7</v>
      </c>
      <c r="C1449" t="s">
        <v>24</v>
      </c>
      <c r="D1449">
        <v>7</v>
      </c>
      <c r="E1449">
        <v>20</v>
      </c>
      <c r="F1449">
        <v>23.333935246668329</v>
      </c>
      <c r="G1449" t="str">
        <f>FLOOR(FinalData[[#This Row],[Temperature_C]],2)&amp;"–"&amp;(FLOOR(FinalData[[#This Row],[Temperature_C]],2)+2)&amp;"°C"</f>
        <v>22–24°C</v>
      </c>
      <c r="H1449">
        <v>3.19</v>
      </c>
      <c r="I1449">
        <v>2026</v>
      </c>
      <c r="J1449">
        <v>3</v>
      </c>
      <c r="K1449">
        <v>2</v>
      </c>
      <c r="L1449">
        <v>1</v>
      </c>
      <c r="M1449">
        <v>8</v>
      </c>
      <c r="N1449">
        <v>0.35</v>
      </c>
      <c r="O1449">
        <v>0.45571428571428568</v>
      </c>
      <c r="P1449" t="s">
        <v>41</v>
      </c>
    </row>
    <row r="1450" spans="1:16" hidden="1" x14ac:dyDescent="0.25">
      <c r="A1450" s="12">
        <v>46083.375</v>
      </c>
      <c r="B1450" t="s">
        <v>18</v>
      </c>
      <c r="C1450" t="s">
        <v>25</v>
      </c>
      <c r="D1450">
        <v>10</v>
      </c>
      <c r="E1450">
        <v>40</v>
      </c>
      <c r="F1450">
        <v>23.141717809640632</v>
      </c>
      <c r="G1450" t="str">
        <f>FLOOR(FinalData[[#This Row],[Temperature_C]],2)&amp;"–"&amp;(FLOOR(FinalData[[#This Row],[Temperature_C]],2)+2)&amp;"°C"</f>
        <v>22–24°C</v>
      </c>
      <c r="H1450">
        <v>3.5</v>
      </c>
      <c r="I1450">
        <v>2026</v>
      </c>
      <c r="J1450">
        <v>3</v>
      </c>
      <c r="K1450">
        <v>2</v>
      </c>
      <c r="L1450">
        <v>1</v>
      </c>
      <c r="M1450">
        <v>9</v>
      </c>
      <c r="N1450">
        <v>0.25</v>
      </c>
      <c r="O1450">
        <v>0.35</v>
      </c>
      <c r="P1450" t="s">
        <v>41</v>
      </c>
    </row>
    <row r="1451" spans="1:16" hidden="1" x14ac:dyDescent="0.25">
      <c r="A1451" s="12">
        <v>46083.416666666664</v>
      </c>
      <c r="B1451" t="s">
        <v>9</v>
      </c>
      <c r="C1451" t="s">
        <v>25</v>
      </c>
      <c r="D1451">
        <v>9</v>
      </c>
      <c r="E1451">
        <v>20</v>
      </c>
      <c r="F1451">
        <v>26.958768942828598</v>
      </c>
      <c r="G1451" t="str">
        <f>FLOOR(FinalData[[#This Row],[Temperature_C]],2)&amp;"–"&amp;(FLOOR(FinalData[[#This Row],[Temperature_C]],2)+2)&amp;"°C"</f>
        <v>26–28°C</v>
      </c>
      <c r="H1451">
        <v>3.71</v>
      </c>
      <c r="I1451">
        <v>2026</v>
      </c>
      <c r="J1451">
        <v>3</v>
      </c>
      <c r="K1451">
        <v>2</v>
      </c>
      <c r="L1451">
        <v>1</v>
      </c>
      <c r="M1451">
        <v>10</v>
      </c>
      <c r="N1451">
        <v>0.45</v>
      </c>
      <c r="O1451">
        <v>0.41222222222222221</v>
      </c>
      <c r="P1451" t="s">
        <v>41</v>
      </c>
    </row>
    <row r="1452" spans="1:16" x14ac:dyDescent="0.25">
      <c r="A1452" s="12">
        <v>46083.458333333336</v>
      </c>
      <c r="B1452" t="s">
        <v>11</v>
      </c>
      <c r="C1452" t="s">
        <v>16</v>
      </c>
      <c r="D1452">
        <v>9</v>
      </c>
      <c r="E1452">
        <v>20</v>
      </c>
      <c r="F1452">
        <v>23.28640438499276</v>
      </c>
      <c r="G1452" t="str">
        <f>FLOOR(FinalData[[#This Row],[Temperature_C]],2)&amp;"–"&amp;(FLOOR(FinalData[[#This Row],[Temperature_C]],2)+2)&amp;"°C"</f>
        <v>22–24°C</v>
      </c>
      <c r="H1452">
        <v>2.8</v>
      </c>
      <c r="I1452">
        <v>2026</v>
      </c>
      <c r="J1452">
        <v>3</v>
      </c>
      <c r="K1452">
        <v>2</v>
      </c>
      <c r="L1452">
        <v>1</v>
      </c>
      <c r="M1452">
        <v>11</v>
      </c>
      <c r="N1452">
        <v>0.45</v>
      </c>
      <c r="O1452">
        <v>0.31111111111111112</v>
      </c>
      <c r="P1452" t="s">
        <v>41</v>
      </c>
    </row>
    <row r="1453" spans="1:16" hidden="1" x14ac:dyDescent="0.25">
      <c r="A1453" s="12">
        <v>46083.5</v>
      </c>
      <c r="B1453" t="s">
        <v>18</v>
      </c>
      <c r="C1453" t="s">
        <v>10</v>
      </c>
      <c r="D1453">
        <v>13</v>
      </c>
      <c r="E1453">
        <v>40</v>
      </c>
      <c r="F1453">
        <v>21.47959084248923</v>
      </c>
      <c r="G1453" t="str">
        <f>FLOOR(FinalData[[#This Row],[Temperature_C]],2)&amp;"–"&amp;(FLOOR(FinalData[[#This Row],[Temperature_C]],2)+2)&amp;"°C"</f>
        <v>20–22°C</v>
      </c>
      <c r="H1453">
        <v>4.09</v>
      </c>
      <c r="I1453">
        <v>2026</v>
      </c>
      <c r="J1453">
        <v>3</v>
      </c>
      <c r="K1453">
        <v>2</v>
      </c>
      <c r="L1453">
        <v>1</v>
      </c>
      <c r="M1453">
        <v>12</v>
      </c>
      <c r="N1453">
        <v>0.32500000000000001</v>
      </c>
      <c r="O1453">
        <v>0.31461538461538463</v>
      </c>
      <c r="P1453" t="s">
        <v>42</v>
      </c>
    </row>
    <row r="1454" spans="1:16" hidden="1" x14ac:dyDescent="0.25">
      <c r="A1454" s="12">
        <v>46083.541666666664</v>
      </c>
      <c r="B1454" t="s">
        <v>11</v>
      </c>
      <c r="C1454" t="s">
        <v>8</v>
      </c>
      <c r="D1454">
        <v>11</v>
      </c>
      <c r="E1454">
        <v>30</v>
      </c>
      <c r="F1454">
        <v>23.186042576442858</v>
      </c>
      <c r="G1454" t="str">
        <f>FLOOR(FinalData[[#This Row],[Temperature_C]],2)&amp;"–"&amp;(FLOOR(FinalData[[#This Row],[Temperature_C]],2)+2)&amp;"°C"</f>
        <v>22–24°C</v>
      </c>
      <c r="H1454">
        <v>4</v>
      </c>
      <c r="I1454">
        <v>2026</v>
      </c>
      <c r="J1454">
        <v>3</v>
      </c>
      <c r="K1454">
        <v>2</v>
      </c>
      <c r="L1454">
        <v>1</v>
      </c>
      <c r="M1454">
        <v>13</v>
      </c>
      <c r="N1454">
        <v>0.36666666666666664</v>
      </c>
      <c r="O1454">
        <v>0.36363636363636365</v>
      </c>
      <c r="P1454" t="s">
        <v>42</v>
      </c>
    </row>
    <row r="1455" spans="1:16" hidden="1" x14ac:dyDescent="0.25">
      <c r="A1455" s="12">
        <v>46083.583333333336</v>
      </c>
      <c r="B1455" t="s">
        <v>11</v>
      </c>
      <c r="C1455" t="s">
        <v>22</v>
      </c>
      <c r="D1455">
        <v>14</v>
      </c>
      <c r="E1455">
        <v>25</v>
      </c>
      <c r="F1455">
        <v>22.0529532368916</v>
      </c>
      <c r="G1455" t="str">
        <f>FLOOR(FinalData[[#This Row],[Temperature_C]],2)&amp;"–"&amp;(FLOOR(FinalData[[#This Row],[Temperature_C]],2)+2)&amp;"°C"</f>
        <v>22–24°C</v>
      </c>
      <c r="H1455">
        <v>4.25</v>
      </c>
      <c r="I1455">
        <v>2026</v>
      </c>
      <c r="J1455">
        <v>3</v>
      </c>
      <c r="K1455">
        <v>2</v>
      </c>
      <c r="L1455">
        <v>1</v>
      </c>
      <c r="M1455">
        <v>14</v>
      </c>
      <c r="N1455">
        <v>0.56000000000000005</v>
      </c>
      <c r="O1455">
        <v>0.30357142857142855</v>
      </c>
      <c r="P1455" t="s">
        <v>42</v>
      </c>
    </row>
    <row r="1456" spans="1:16" hidden="1" x14ac:dyDescent="0.25">
      <c r="A1456" s="12">
        <v>46083.625</v>
      </c>
      <c r="B1456" t="s">
        <v>7</v>
      </c>
      <c r="C1456" t="s">
        <v>12</v>
      </c>
      <c r="D1456">
        <v>7</v>
      </c>
      <c r="E1456">
        <v>30</v>
      </c>
      <c r="F1456">
        <v>22.141635419544691</v>
      </c>
      <c r="G1456" t="str">
        <f>FLOOR(FinalData[[#This Row],[Temperature_C]],2)&amp;"–"&amp;(FLOOR(FinalData[[#This Row],[Temperature_C]],2)+2)&amp;"°C"</f>
        <v>22–24°C</v>
      </c>
      <c r="H1456">
        <v>2.6</v>
      </c>
      <c r="I1456">
        <v>2026</v>
      </c>
      <c r="J1456">
        <v>3</v>
      </c>
      <c r="K1456">
        <v>2</v>
      </c>
      <c r="L1456">
        <v>1</v>
      </c>
      <c r="M1456">
        <v>15</v>
      </c>
      <c r="N1456">
        <v>0.23333333333333334</v>
      </c>
      <c r="O1456">
        <v>0.37142857142857144</v>
      </c>
      <c r="P1456" t="s">
        <v>42</v>
      </c>
    </row>
    <row r="1457" spans="1:16" hidden="1" x14ac:dyDescent="0.25">
      <c r="A1457" s="12">
        <v>46083.666666666664</v>
      </c>
      <c r="B1457" t="s">
        <v>11</v>
      </c>
      <c r="C1457" t="s">
        <v>24</v>
      </c>
      <c r="D1457">
        <v>7</v>
      </c>
      <c r="E1457">
        <v>25</v>
      </c>
      <c r="F1457">
        <v>26.415097778643521</v>
      </c>
      <c r="G1457" t="str">
        <f>FLOOR(FinalData[[#This Row],[Temperature_C]],2)&amp;"–"&amp;(FLOOR(FinalData[[#This Row],[Temperature_C]],2)+2)&amp;"°C"</f>
        <v>26–28°C</v>
      </c>
      <c r="H1457">
        <v>3.49</v>
      </c>
      <c r="I1457">
        <v>2026</v>
      </c>
      <c r="J1457">
        <v>3</v>
      </c>
      <c r="K1457">
        <v>2</v>
      </c>
      <c r="L1457">
        <v>1</v>
      </c>
      <c r="M1457">
        <v>16</v>
      </c>
      <c r="N1457">
        <v>0.28000000000000003</v>
      </c>
      <c r="O1457">
        <v>0.49857142857142861</v>
      </c>
      <c r="P1457" t="s">
        <v>42</v>
      </c>
    </row>
    <row r="1458" spans="1:16" hidden="1" x14ac:dyDescent="0.25">
      <c r="A1458" s="12">
        <v>46083.708333333336</v>
      </c>
      <c r="B1458" t="s">
        <v>11</v>
      </c>
      <c r="C1458" t="s">
        <v>24</v>
      </c>
      <c r="D1458">
        <v>13</v>
      </c>
      <c r="E1458">
        <v>40</v>
      </c>
      <c r="F1458">
        <v>23.31419730128766</v>
      </c>
      <c r="G1458" t="str">
        <f>FLOOR(FinalData[[#This Row],[Temperature_C]],2)&amp;"–"&amp;(FLOOR(FinalData[[#This Row],[Temperature_C]],2)+2)&amp;"°C"</f>
        <v>22–24°C</v>
      </c>
      <c r="H1458">
        <v>4.2699999999999996</v>
      </c>
      <c r="I1458">
        <v>2026</v>
      </c>
      <c r="J1458">
        <v>3</v>
      </c>
      <c r="K1458">
        <v>2</v>
      </c>
      <c r="L1458">
        <v>1</v>
      </c>
      <c r="M1458">
        <v>17</v>
      </c>
      <c r="N1458">
        <v>0.32500000000000001</v>
      </c>
      <c r="O1458">
        <v>0.32846153846153842</v>
      </c>
      <c r="P1458" t="s">
        <v>43</v>
      </c>
    </row>
    <row r="1459" spans="1:16" hidden="1" x14ac:dyDescent="0.25">
      <c r="A1459" s="12">
        <v>46083.75</v>
      </c>
      <c r="B1459" t="s">
        <v>11</v>
      </c>
      <c r="C1459" t="s">
        <v>31</v>
      </c>
      <c r="D1459">
        <v>8</v>
      </c>
      <c r="E1459">
        <v>20</v>
      </c>
      <c r="F1459">
        <v>19.064339753814838</v>
      </c>
      <c r="G1459" t="str">
        <f>FLOOR(FinalData[[#This Row],[Temperature_C]],2)&amp;"–"&amp;(FLOOR(FinalData[[#This Row],[Temperature_C]],2)+2)&amp;"°C"</f>
        <v>18–20°C</v>
      </c>
      <c r="H1459">
        <v>2.91</v>
      </c>
      <c r="I1459">
        <v>2026</v>
      </c>
      <c r="J1459">
        <v>3</v>
      </c>
      <c r="K1459">
        <v>2</v>
      </c>
      <c r="L1459">
        <v>1</v>
      </c>
      <c r="M1459">
        <v>18</v>
      </c>
      <c r="N1459">
        <v>0.4</v>
      </c>
      <c r="O1459">
        <v>0.36375000000000002</v>
      </c>
      <c r="P1459" t="s">
        <v>43</v>
      </c>
    </row>
    <row r="1460" spans="1:16" hidden="1" x14ac:dyDescent="0.25">
      <c r="A1460" s="12">
        <v>46083.791666666664</v>
      </c>
      <c r="B1460" t="s">
        <v>11</v>
      </c>
      <c r="C1460" t="s">
        <v>10</v>
      </c>
      <c r="D1460">
        <v>7</v>
      </c>
      <c r="E1460">
        <v>20</v>
      </c>
      <c r="F1460">
        <v>23.139775991738819</v>
      </c>
      <c r="G1460" t="str">
        <f>FLOOR(FinalData[[#This Row],[Temperature_C]],2)&amp;"–"&amp;(FLOOR(FinalData[[#This Row],[Temperature_C]],2)+2)&amp;"°C"</f>
        <v>22–24°C</v>
      </c>
      <c r="H1460">
        <v>3.07</v>
      </c>
      <c r="I1460">
        <v>2026</v>
      </c>
      <c r="J1460">
        <v>3</v>
      </c>
      <c r="K1460">
        <v>2</v>
      </c>
      <c r="L1460">
        <v>1</v>
      </c>
      <c r="M1460">
        <v>19</v>
      </c>
      <c r="N1460">
        <v>0.35</v>
      </c>
      <c r="O1460">
        <v>0.43857142857142856</v>
      </c>
      <c r="P1460" t="s">
        <v>43</v>
      </c>
    </row>
    <row r="1461" spans="1:16" hidden="1" x14ac:dyDescent="0.25">
      <c r="A1461" s="12">
        <v>46083.833333333336</v>
      </c>
      <c r="B1461" t="s">
        <v>11</v>
      </c>
      <c r="C1461" t="s">
        <v>16</v>
      </c>
      <c r="D1461">
        <v>8</v>
      </c>
      <c r="E1461">
        <v>40</v>
      </c>
      <c r="F1461">
        <v>18.28307171558507</v>
      </c>
      <c r="G1461" t="str">
        <f>FLOOR(FinalData[[#This Row],[Temperature_C]],2)&amp;"–"&amp;(FLOOR(FinalData[[#This Row],[Temperature_C]],2)+2)&amp;"°C"</f>
        <v>18–20°C</v>
      </c>
      <c r="H1461">
        <v>3.74</v>
      </c>
      <c r="I1461">
        <v>2026</v>
      </c>
      <c r="J1461">
        <v>3</v>
      </c>
      <c r="K1461">
        <v>2</v>
      </c>
      <c r="L1461">
        <v>1</v>
      </c>
      <c r="M1461">
        <v>20</v>
      </c>
      <c r="N1461">
        <v>0.2</v>
      </c>
      <c r="O1461">
        <v>0.46750000000000003</v>
      </c>
      <c r="P1461" t="s">
        <v>43</v>
      </c>
    </row>
    <row r="1462" spans="1:16" hidden="1" x14ac:dyDescent="0.25">
      <c r="A1462" s="12">
        <v>46083.875</v>
      </c>
      <c r="B1462" t="s">
        <v>13</v>
      </c>
      <c r="C1462" t="s">
        <v>17</v>
      </c>
      <c r="D1462">
        <v>6</v>
      </c>
      <c r="E1462">
        <v>40</v>
      </c>
      <c r="F1462">
        <v>24.05905088865612</v>
      </c>
      <c r="G1462" t="str">
        <f>FLOOR(FinalData[[#This Row],[Temperature_C]],2)&amp;"–"&amp;(FLOOR(FinalData[[#This Row],[Temperature_C]],2)+2)&amp;"°C"</f>
        <v>24–26°C</v>
      </c>
      <c r="H1462">
        <v>2.87</v>
      </c>
      <c r="I1462">
        <v>2026</v>
      </c>
      <c r="J1462">
        <v>3</v>
      </c>
      <c r="K1462">
        <v>2</v>
      </c>
      <c r="L1462">
        <v>1</v>
      </c>
      <c r="M1462">
        <v>21</v>
      </c>
      <c r="N1462">
        <v>0.15</v>
      </c>
      <c r="O1462">
        <v>0.47833333333333333</v>
      </c>
      <c r="P1462" t="s">
        <v>40</v>
      </c>
    </row>
    <row r="1463" spans="1:16" hidden="1" x14ac:dyDescent="0.25">
      <c r="A1463" s="12">
        <v>46083.916666666664</v>
      </c>
      <c r="B1463" t="s">
        <v>11</v>
      </c>
      <c r="C1463" t="s">
        <v>12</v>
      </c>
      <c r="D1463">
        <v>7</v>
      </c>
      <c r="E1463">
        <v>40</v>
      </c>
      <c r="F1463">
        <v>25.7460846587696</v>
      </c>
      <c r="G1463" t="str">
        <f>FLOOR(FinalData[[#This Row],[Temperature_C]],2)&amp;"–"&amp;(FLOOR(FinalData[[#This Row],[Temperature_C]],2)+2)&amp;"°C"</f>
        <v>24–26°C</v>
      </c>
      <c r="H1463">
        <v>2.79</v>
      </c>
      <c r="I1463">
        <v>2026</v>
      </c>
      <c r="J1463">
        <v>3</v>
      </c>
      <c r="K1463">
        <v>2</v>
      </c>
      <c r="L1463">
        <v>1</v>
      </c>
      <c r="M1463">
        <v>22</v>
      </c>
      <c r="N1463">
        <v>0.17499999999999999</v>
      </c>
      <c r="O1463">
        <v>0.39857142857142858</v>
      </c>
      <c r="P1463" t="s">
        <v>40</v>
      </c>
    </row>
    <row r="1464" spans="1:16" hidden="1" x14ac:dyDescent="0.25">
      <c r="A1464" s="12">
        <v>46083.958333333336</v>
      </c>
      <c r="B1464" t="s">
        <v>11</v>
      </c>
      <c r="C1464" t="s">
        <v>31</v>
      </c>
      <c r="D1464">
        <v>8</v>
      </c>
      <c r="E1464">
        <v>25</v>
      </c>
      <c r="F1464">
        <v>22.97014925511408</v>
      </c>
      <c r="G1464" t="str">
        <f>FLOOR(FinalData[[#This Row],[Temperature_C]],2)&amp;"–"&amp;(FLOOR(FinalData[[#This Row],[Temperature_C]],2)+2)&amp;"°C"</f>
        <v>22–24°C</v>
      </c>
      <c r="H1464">
        <v>2.77</v>
      </c>
      <c r="I1464">
        <v>2026</v>
      </c>
      <c r="J1464">
        <v>3</v>
      </c>
      <c r="K1464">
        <v>2</v>
      </c>
      <c r="L1464">
        <v>1</v>
      </c>
      <c r="M1464">
        <v>23</v>
      </c>
      <c r="N1464">
        <v>0.32</v>
      </c>
      <c r="O1464">
        <v>0.34625</v>
      </c>
      <c r="P1464" t="s">
        <v>40</v>
      </c>
    </row>
    <row r="1465" spans="1:16" hidden="1" x14ac:dyDescent="0.25">
      <c r="A1465" s="12">
        <v>46084</v>
      </c>
      <c r="B1465" t="s">
        <v>9</v>
      </c>
      <c r="C1465" t="s">
        <v>26</v>
      </c>
      <c r="D1465">
        <v>11</v>
      </c>
      <c r="E1465">
        <v>30</v>
      </c>
      <c r="F1465">
        <v>19.985002166796502</v>
      </c>
      <c r="G1465" t="str">
        <f>FLOOR(FinalData[[#This Row],[Temperature_C]],2)&amp;"–"&amp;(FLOOR(FinalData[[#This Row],[Temperature_C]],2)+2)&amp;"°C"</f>
        <v>18–20°C</v>
      </c>
      <c r="H1465">
        <v>4.1500000000000004</v>
      </c>
      <c r="I1465">
        <v>2026</v>
      </c>
      <c r="J1465">
        <v>3</v>
      </c>
      <c r="K1465">
        <v>3</v>
      </c>
      <c r="L1465">
        <v>2</v>
      </c>
      <c r="M1465">
        <v>0</v>
      </c>
      <c r="N1465">
        <v>0.36666666666666664</v>
      </c>
      <c r="O1465">
        <v>0.37727272727272732</v>
      </c>
      <c r="P1465" t="s">
        <v>40</v>
      </c>
    </row>
    <row r="1466" spans="1:16" hidden="1" x14ac:dyDescent="0.25">
      <c r="A1466" s="12">
        <v>46084.041666666664</v>
      </c>
      <c r="B1466" t="s">
        <v>9</v>
      </c>
      <c r="C1466" t="s">
        <v>23</v>
      </c>
      <c r="D1466">
        <v>4</v>
      </c>
      <c r="E1466">
        <v>40</v>
      </c>
      <c r="F1466">
        <v>24.135186729217921</v>
      </c>
      <c r="G1466" t="str">
        <f>FLOOR(FinalData[[#This Row],[Temperature_C]],2)&amp;"–"&amp;(FLOOR(FinalData[[#This Row],[Temperature_C]],2)+2)&amp;"°C"</f>
        <v>24–26°C</v>
      </c>
      <c r="H1466">
        <v>2.0099999999999998</v>
      </c>
      <c r="I1466">
        <v>2026</v>
      </c>
      <c r="J1466">
        <v>3</v>
      </c>
      <c r="K1466">
        <v>3</v>
      </c>
      <c r="L1466">
        <v>2</v>
      </c>
      <c r="M1466">
        <v>1</v>
      </c>
      <c r="N1466">
        <v>0.1</v>
      </c>
      <c r="O1466">
        <v>0.50249999999999995</v>
      </c>
      <c r="P1466" t="s">
        <v>40</v>
      </c>
    </row>
    <row r="1467" spans="1:16" hidden="1" x14ac:dyDescent="0.25">
      <c r="A1467" s="12">
        <v>46084.083333333336</v>
      </c>
      <c r="B1467" t="s">
        <v>18</v>
      </c>
      <c r="C1467" t="s">
        <v>12</v>
      </c>
      <c r="D1467">
        <v>6</v>
      </c>
      <c r="E1467">
        <v>25</v>
      </c>
      <c r="F1467">
        <v>22.550159538128959</v>
      </c>
      <c r="G1467" t="str">
        <f>FLOOR(FinalData[[#This Row],[Temperature_C]],2)&amp;"–"&amp;(FLOOR(FinalData[[#This Row],[Temperature_C]],2)+2)&amp;"°C"</f>
        <v>22–24°C</v>
      </c>
      <c r="H1467">
        <v>2.19</v>
      </c>
      <c r="I1467">
        <v>2026</v>
      </c>
      <c r="J1467">
        <v>3</v>
      </c>
      <c r="K1467">
        <v>3</v>
      </c>
      <c r="L1467">
        <v>2</v>
      </c>
      <c r="M1467">
        <v>2</v>
      </c>
      <c r="N1467">
        <v>0.24</v>
      </c>
      <c r="O1467">
        <v>0.36499999999999999</v>
      </c>
      <c r="P1467" t="s">
        <v>40</v>
      </c>
    </row>
    <row r="1468" spans="1:16" hidden="1" x14ac:dyDescent="0.25">
      <c r="A1468" s="12">
        <v>46084.125</v>
      </c>
      <c r="B1468" t="s">
        <v>11</v>
      </c>
      <c r="C1468" t="s">
        <v>8</v>
      </c>
      <c r="D1468">
        <v>11</v>
      </c>
      <c r="E1468">
        <v>20</v>
      </c>
      <c r="F1468">
        <v>24.653892121885601</v>
      </c>
      <c r="G1468" t="str">
        <f>FLOOR(FinalData[[#This Row],[Temperature_C]],2)&amp;"–"&amp;(FLOOR(FinalData[[#This Row],[Temperature_C]],2)+2)&amp;"°C"</f>
        <v>24–26°C</v>
      </c>
      <c r="H1468">
        <v>4.32</v>
      </c>
      <c r="I1468">
        <v>2026</v>
      </c>
      <c r="J1468">
        <v>3</v>
      </c>
      <c r="K1468">
        <v>3</v>
      </c>
      <c r="L1468">
        <v>2</v>
      </c>
      <c r="M1468">
        <v>3</v>
      </c>
      <c r="N1468">
        <v>0.55000000000000004</v>
      </c>
      <c r="O1468">
        <v>0.39272727272727276</v>
      </c>
      <c r="P1468" t="s">
        <v>40</v>
      </c>
    </row>
    <row r="1469" spans="1:16" hidden="1" x14ac:dyDescent="0.25">
      <c r="A1469" s="12">
        <v>46084.166666666664</v>
      </c>
      <c r="B1469" t="s">
        <v>9</v>
      </c>
      <c r="C1469" t="s">
        <v>23</v>
      </c>
      <c r="D1469">
        <v>12</v>
      </c>
      <c r="E1469">
        <v>30</v>
      </c>
      <c r="F1469">
        <v>25.269372039855121</v>
      </c>
      <c r="G1469" t="str">
        <f>FLOOR(FinalData[[#This Row],[Temperature_C]],2)&amp;"–"&amp;(FLOOR(FinalData[[#This Row],[Temperature_C]],2)+2)&amp;"°C"</f>
        <v>24–26°C</v>
      </c>
      <c r="H1469">
        <v>4.47</v>
      </c>
      <c r="I1469">
        <v>2026</v>
      </c>
      <c r="J1469">
        <v>3</v>
      </c>
      <c r="K1469">
        <v>3</v>
      </c>
      <c r="L1469">
        <v>2</v>
      </c>
      <c r="M1469">
        <v>4</v>
      </c>
      <c r="N1469">
        <v>0.4</v>
      </c>
      <c r="O1469">
        <v>0.3725</v>
      </c>
      <c r="P1469" t="s">
        <v>40</v>
      </c>
    </row>
    <row r="1470" spans="1:16" hidden="1" x14ac:dyDescent="0.25">
      <c r="A1470" s="12">
        <v>46084.208333333336</v>
      </c>
      <c r="B1470" t="s">
        <v>9</v>
      </c>
      <c r="C1470" t="s">
        <v>22</v>
      </c>
      <c r="D1470">
        <v>5</v>
      </c>
      <c r="E1470">
        <v>30</v>
      </c>
      <c r="F1470">
        <v>24.16669389948304</v>
      </c>
      <c r="G1470" t="str">
        <f>FLOOR(FinalData[[#This Row],[Temperature_C]],2)&amp;"–"&amp;(FLOOR(FinalData[[#This Row],[Temperature_C]],2)+2)&amp;"°C"</f>
        <v>24–26°C</v>
      </c>
      <c r="H1470">
        <v>2.2799999999999998</v>
      </c>
      <c r="I1470">
        <v>2026</v>
      </c>
      <c r="J1470">
        <v>3</v>
      </c>
      <c r="K1470">
        <v>3</v>
      </c>
      <c r="L1470">
        <v>2</v>
      </c>
      <c r="M1470">
        <v>5</v>
      </c>
      <c r="N1470">
        <v>0.16666666666666666</v>
      </c>
      <c r="O1470">
        <v>0.45599999999999996</v>
      </c>
      <c r="P1470" t="s">
        <v>40</v>
      </c>
    </row>
    <row r="1471" spans="1:16" hidden="1" x14ac:dyDescent="0.25">
      <c r="A1471" s="12">
        <v>46084.25</v>
      </c>
      <c r="B1471" t="s">
        <v>11</v>
      </c>
      <c r="C1471" t="s">
        <v>10</v>
      </c>
      <c r="D1471">
        <v>6</v>
      </c>
      <c r="E1471">
        <v>40</v>
      </c>
      <c r="F1471">
        <v>27.108191165847291</v>
      </c>
      <c r="G1471" t="str">
        <f>FLOOR(FinalData[[#This Row],[Temperature_C]],2)&amp;"–"&amp;(FLOOR(FinalData[[#This Row],[Temperature_C]],2)+2)&amp;"°C"</f>
        <v>26–28°C</v>
      </c>
      <c r="H1471">
        <v>3.2</v>
      </c>
      <c r="I1471">
        <v>2026</v>
      </c>
      <c r="J1471">
        <v>3</v>
      </c>
      <c r="K1471">
        <v>3</v>
      </c>
      <c r="L1471">
        <v>2</v>
      </c>
      <c r="M1471">
        <v>6</v>
      </c>
      <c r="N1471">
        <v>0.15</v>
      </c>
      <c r="O1471">
        <v>0.53333333333333333</v>
      </c>
      <c r="P1471" t="s">
        <v>40</v>
      </c>
    </row>
    <row r="1472" spans="1:16" hidden="1" x14ac:dyDescent="0.25">
      <c r="A1472" s="12">
        <v>46084.291666666664</v>
      </c>
      <c r="B1472" t="s">
        <v>7</v>
      </c>
      <c r="C1472" t="s">
        <v>12</v>
      </c>
      <c r="D1472">
        <v>15</v>
      </c>
      <c r="E1472">
        <v>30</v>
      </c>
      <c r="F1472">
        <v>21.752319502625479</v>
      </c>
      <c r="G1472" t="str">
        <f>FLOOR(FinalData[[#This Row],[Temperature_C]],2)&amp;"–"&amp;(FLOOR(FinalData[[#This Row],[Temperature_C]],2)+2)&amp;"°C"</f>
        <v>20–22°C</v>
      </c>
      <c r="H1472">
        <v>4.5</v>
      </c>
      <c r="I1472">
        <v>2026</v>
      </c>
      <c r="J1472">
        <v>3</v>
      </c>
      <c r="K1472">
        <v>3</v>
      </c>
      <c r="L1472">
        <v>2</v>
      </c>
      <c r="M1472">
        <v>7</v>
      </c>
      <c r="N1472">
        <v>0.5</v>
      </c>
      <c r="O1472">
        <v>0.3</v>
      </c>
      <c r="P1472" t="s">
        <v>41</v>
      </c>
    </row>
    <row r="1473" spans="1:16" hidden="1" x14ac:dyDescent="0.25">
      <c r="A1473" s="12">
        <v>46084.333333333336</v>
      </c>
      <c r="B1473" t="s">
        <v>9</v>
      </c>
      <c r="C1473" t="s">
        <v>15</v>
      </c>
      <c r="D1473">
        <v>7</v>
      </c>
      <c r="E1473">
        <v>25</v>
      </c>
      <c r="F1473">
        <v>23.69477968341711</v>
      </c>
      <c r="G1473" t="str">
        <f>FLOOR(FinalData[[#This Row],[Temperature_C]],2)&amp;"–"&amp;(FLOOR(FinalData[[#This Row],[Temperature_C]],2)+2)&amp;"°C"</f>
        <v>22–24°C</v>
      </c>
      <c r="H1473">
        <v>2.93</v>
      </c>
      <c r="I1473">
        <v>2026</v>
      </c>
      <c r="J1473">
        <v>3</v>
      </c>
      <c r="K1473">
        <v>3</v>
      </c>
      <c r="L1473">
        <v>2</v>
      </c>
      <c r="M1473">
        <v>8</v>
      </c>
      <c r="N1473">
        <v>0.28000000000000003</v>
      </c>
      <c r="O1473">
        <v>0.41857142857142859</v>
      </c>
      <c r="P1473" t="s">
        <v>41</v>
      </c>
    </row>
    <row r="1474" spans="1:16" hidden="1" x14ac:dyDescent="0.25">
      <c r="A1474" s="12">
        <v>46084.375</v>
      </c>
      <c r="B1474" t="s">
        <v>7</v>
      </c>
      <c r="C1474" t="s">
        <v>25</v>
      </c>
      <c r="D1474">
        <v>9</v>
      </c>
      <c r="E1474">
        <v>25</v>
      </c>
      <c r="F1474">
        <v>23.124863406654889</v>
      </c>
      <c r="G1474" t="str">
        <f>FLOOR(FinalData[[#This Row],[Temperature_C]],2)&amp;"–"&amp;(FLOOR(FinalData[[#This Row],[Temperature_C]],2)+2)&amp;"°C"</f>
        <v>22–24°C</v>
      </c>
      <c r="H1474">
        <v>3.32</v>
      </c>
      <c r="I1474">
        <v>2026</v>
      </c>
      <c r="J1474">
        <v>3</v>
      </c>
      <c r="K1474">
        <v>3</v>
      </c>
      <c r="L1474">
        <v>2</v>
      </c>
      <c r="M1474">
        <v>9</v>
      </c>
      <c r="N1474">
        <v>0.36</v>
      </c>
      <c r="O1474">
        <v>0.36888888888888888</v>
      </c>
      <c r="P1474" t="s">
        <v>41</v>
      </c>
    </row>
    <row r="1475" spans="1:16" x14ac:dyDescent="0.25">
      <c r="A1475" s="12">
        <v>46084.416666666664</v>
      </c>
      <c r="B1475" t="s">
        <v>11</v>
      </c>
      <c r="C1475" t="s">
        <v>22</v>
      </c>
      <c r="D1475">
        <v>9</v>
      </c>
      <c r="E1475">
        <v>25</v>
      </c>
      <c r="F1475">
        <v>21.301165060567389</v>
      </c>
      <c r="G1475" t="str">
        <f>FLOOR(FinalData[[#This Row],[Temperature_C]],2)&amp;"–"&amp;(FLOOR(FinalData[[#This Row],[Temperature_C]],2)+2)&amp;"°C"</f>
        <v>20–22°C</v>
      </c>
      <c r="H1475">
        <v>3.2</v>
      </c>
      <c r="I1475">
        <v>2026</v>
      </c>
      <c r="J1475">
        <v>3</v>
      </c>
      <c r="K1475">
        <v>3</v>
      </c>
      <c r="L1475">
        <v>2</v>
      </c>
      <c r="M1475">
        <v>10</v>
      </c>
      <c r="N1475">
        <v>0.36</v>
      </c>
      <c r="O1475">
        <v>0.35555555555555557</v>
      </c>
      <c r="P1475" t="s">
        <v>41</v>
      </c>
    </row>
    <row r="1476" spans="1:16" hidden="1" x14ac:dyDescent="0.25">
      <c r="A1476" s="12">
        <v>46084.458333333336</v>
      </c>
      <c r="B1476" t="s">
        <v>13</v>
      </c>
      <c r="C1476" t="s">
        <v>29</v>
      </c>
      <c r="D1476">
        <v>3</v>
      </c>
      <c r="E1476">
        <v>30</v>
      </c>
      <c r="F1476">
        <v>24.500939723870189</v>
      </c>
      <c r="G1476" t="str">
        <f>FLOOR(FinalData[[#This Row],[Temperature_C]],2)&amp;"–"&amp;(FLOOR(FinalData[[#This Row],[Temperature_C]],2)+2)&amp;"°C"</f>
        <v>24–26°C</v>
      </c>
      <c r="H1476">
        <v>1.91</v>
      </c>
      <c r="I1476">
        <v>2026</v>
      </c>
      <c r="J1476">
        <v>3</v>
      </c>
      <c r="K1476">
        <v>3</v>
      </c>
      <c r="L1476">
        <v>2</v>
      </c>
      <c r="M1476">
        <v>11</v>
      </c>
      <c r="N1476">
        <v>0.1</v>
      </c>
      <c r="O1476">
        <v>0.6366666666666666</v>
      </c>
      <c r="P1476" t="s">
        <v>41</v>
      </c>
    </row>
    <row r="1477" spans="1:16" hidden="1" x14ac:dyDescent="0.25">
      <c r="A1477" s="12">
        <v>46084.5</v>
      </c>
      <c r="B1477" t="s">
        <v>18</v>
      </c>
      <c r="C1477" t="s">
        <v>31</v>
      </c>
      <c r="D1477">
        <v>5</v>
      </c>
      <c r="E1477">
        <v>30</v>
      </c>
      <c r="F1477">
        <v>23.521312309410401</v>
      </c>
      <c r="G1477" t="str">
        <f>FLOOR(FinalData[[#This Row],[Temperature_C]],2)&amp;"–"&amp;(FLOOR(FinalData[[#This Row],[Temperature_C]],2)+2)&amp;"°C"</f>
        <v>22–24°C</v>
      </c>
      <c r="H1477">
        <v>2.67</v>
      </c>
      <c r="I1477">
        <v>2026</v>
      </c>
      <c r="J1477">
        <v>3</v>
      </c>
      <c r="K1477">
        <v>3</v>
      </c>
      <c r="L1477">
        <v>2</v>
      </c>
      <c r="M1477">
        <v>12</v>
      </c>
      <c r="N1477">
        <v>0.16666666666666666</v>
      </c>
      <c r="O1477">
        <v>0.53400000000000003</v>
      </c>
      <c r="P1477" t="s">
        <v>42</v>
      </c>
    </row>
    <row r="1478" spans="1:16" hidden="1" x14ac:dyDescent="0.25">
      <c r="A1478" s="12">
        <v>46084.541666666664</v>
      </c>
      <c r="B1478" t="s">
        <v>13</v>
      </c>
      <c r="C1478" t="s">
        <v>22</v>
      </c>
      <c r="D1478">
        <v>10</v>
      </c>
      <c r="E1478">
        <v>40</v>
      </c>
      <c r="F1478">
        <v>25.774381426372681</v>
      </c>
      <c r="G1478" t="str">
        <f>FLOOR(FinalData[[#This Row],[Temperature_C]],2)&amp;"–"&amp;(FLOOR(FinalData[[#This Row],[Temperature_C]],2)+2)&amp;"°C"</f>
        <v>24–26°C</v>
      </c>
      <c r="H1478">
        <v>3.65</v>
      </c>
      <c r="I1478">
        <v>2026</v>
      </c>
      <c r="J1478">
        <v>3</v>
      </c>
      <c r="K1478">
        <v>3</v>
      </c>
      <c r="L1478">
        <v>2</v>
      </c>
      <c r="M1478">
        <v>13</v>
      </c>
      <c r="N1478">
        <v>0.25</v>
      </c>
      <c r="O1478">
        <v>0.36499999999999999</v>
      </c>
      <c r="P1478" t="s">
        <v>42</v>
      </c>
    </row>
    <row r="1479" spans="1:16" hidden="1" x14ac:dyDescent="0.25">
      <c r="A1479" s="12">
        <v>46084.583333333336</v>
      </c>
      <c r="B1479" t="s">
        <v>13</v>
      </c>
      <c r="C1479" t="s">
        <v>20</v>
      </c>
      <c r="D1479">
        <v>11</v>
      </c>
      <c r="E1479">
        <v>40</v>
      </c>
      <c r="F1479">
        <v>23.279324255372991</v>
      </c>
      <c r="G1479" t="str">
        <f>FLOOR(FinalData[[#This Row],[Temperature_C]],2)&amp;"–"&amp;(FLOOR(FinalData[[#This Row],[Temperature_C]],2)+2)&amp;"°C"</f>
        <v>22–24°C</v>
      </c>
      <c r="H1479">
        <v>3.76</v>
      </c>
      <c r="I1479">
        <v>2026</v>
      </c>
      <c r="J1479">
        <v>3</v>
      </c>
      <c r="K1479">
        <v>3</v>
      </c>
      <c r="L1479">
        <v>2</v>
      </c>
      <c r="M1479">
        <v>14</v>
      </c>
      <c r="N1479">
        <v>0.27500000000000002</v>
      </c>
      <c r="O1479">
        <v>0.3418181818181818</v>
      </c>
      <c r="P1479" t="s">
        <v>42</v>
      </c>
    </row>
    <row r="1480" spans="1:16" hidden="1" x14ac:dyDescent="0.25">
      <c r="A1480" s="12">
        <v>46084.625</v>
      </c>
      <c r="B1480" t="s">
        <v>11</v>
      </c>
      <c r="C1480" t="s">
        <v>20</v>
      </c>
      <c r="D1480">
        <v>9</v>
      </c>
      <c r="E1480">
        <v>30</v>
      </c>
      <c r="F1480">
        <v>21.750180075153839</v>
      </c>
      <c r="G1480" t="str">
        <f>FLOOR(FinalData[[#This Row],[Temperature_C]],2)&amp;"–"&amp;(FLOOR(FinalData[[#This Row],[Temperature_C]],2)+2)&amp;"°C"</f>
        <v>20–22°C</v>
      </c>
      <c r="H1480">
        <v>3.02</v>
      </c>
      <c r="I1480">
        <v>2026</v>
      </c>
      <c r="J1480">
        <v>3</v>
      </c>
      <c r="K1480">
        <v>3</v>
      </c>
      <c r="L1480">
        <v>2</v>
      </c>
      <c r="M1480">
        <v>15</v>
      </c>
      <c r="N1480">
        <v>0.3</v>
      </c>
      <c r="O1480">
        <v>0.33555555555555555</v>
      </c>
      <c r="P1480" t="s">
        <v>42</v>
      </c>
    </row>
    <row r="1481" spans="1:16" hidden="1" x14ac:dyDescent="0.25">
      <c r="A1481" s="12">
        <v>46084.666666666664</v>
      </c>
      <c r="B1481" t="s">
        <v>11</v>
      </c>
      <c r="C1481" t="s">
        <v>19</v>
      </c>
      <c r="D1481">
        <v>13</v>
      </c>
      <c r="E1481">
        <v>40</v>
      </c>
      <c r="F1481">
        <v>21.197719897596262</v>
      </c>
      <c r="G1481" t="str">
        <f>FLOOR(FinalData[[#This Row],[Temperature_C]],2)&amp;"–"&amp;(FLOOR(FinalData[[#This Row],[Temperature_C]],2)+2)&amp;"°C"</f>
        <v>20–22°C</v>
      </c>
      <c r="H1481">
        <v>3.95</v>
      </c>
      <c r="I1481">
        <v>2026</v>
      </c>
      <c r="J1481">
        <v>3</v>
      </c>
      <c r="K1481">
        <v>3</v>
      </c>
      <c r="L1481">
        <v>2</v>
      </c>
      <c r="M1481">
        <v>16</v>
      </c>
      <c r="N1481">
        <v>0.32500000000000001</v>
      </c>
      <c r="O1481">
        <v>0.30384615384615388</v>
      </c>
      <c r="P1481" t="s">
        <v>42</v>
      </c>
    </row>
    <row r="1482" spans="1:16" hidden="1" x14ac:dyDescent="0.25">
      <c r="A1482" s="12">
        <v>46084.708333333336</v>
      </c>
      <c r="B1482" t="s">
        <v>13</v>
      </c>
      <c r="C1482" t="s">
        <v>26</v>
      </c>
      <c r="D1482">
        <v>8</v>
      </c>
      <c r="E1482">
        <v>30</v>
      </c>
      <c r="F1482">
        <v>21.550171692469011</v>
      </c>
      <c r="G1482" t="str">
        <f>FLOOR(FinalData[[#This Row],[Temperature_C]],2)&amp;"–"&amp;(FLOOR(FinalData[[#This Row],[Temperature_C]],2)+2)&amp;"°C"</f>
        <v>20–22°C</v>
      </c>
      <c r="H1482">
        <v>3.08</v>
      </c>
      <c r="I1482">
        <v>2026</v>
      </c>
      <c r="J1482">
        <v>3</v>
      </c>
      <c r="K1482">
        <v>3</v>
      </c>
      <c r="L1482">
        <v>2</v>
      </c>
      <c r="M1482">
        <v>17</v>
      </c>
      <c r="N1482">
        <v>0.26666666666666666</v>
      </c>
      <c r="O1482">
        <v>0.38500000000000001</v>
      </c>
      <c r="P1482" t="s">
        <v>43</v>
      </c>
    </row>
    <row r="1483" spans="1:16" hidden="1" x14ac:dyDescent="0.25">
      <c r="A1483" s="12">
        <v>46084.75</v>
      </c>
      <c r="B1483" t="s">
        <v>13</v>
      </c>
      <c r="C1483" t="s">
        <v>21</v>
      </c>
      <c r="D1483">
        <v>16</v>
      </c>
      <c r="E1483">
        <v>25</v>
      </c>
      <c r="F1483">
        <v>23.038615058452262</v>
      </c>
      <c r="G1483" t="str">
        <f>FLOOR(FinalData[[#This Row],[Temperature_C]],2)&amp;"–"&amp;(FLOOR(FinalData[[#This Row],[Temperature_C]],2)+2)&amp;"°C"</f>
        <v>22–24°C</v>
      </c>
      <c r="H1483">
        <v>4.5999999999999996</v>
      </c>
      <c r="I1483">
        <v>2026</v>
      </c>
      <c r="J1483">
        <v>3</v>
      </c>
      <c r="K1483">
        <v>3</v>
      </c>
      <c r="L1483">
        <v>2</v>
      </c>
      <c r="M1483">
        <v>18</v>
      </c>
      <c r="N1483">
        <v>0.64</v>
      </c>
      <c r="O1483">
        <v>0.28749999999999998</v>
      </c>
      <c r="P1483" t="s">
        <v>43</v>
      </c>
    </row>
    <row r="1484" spans="1:16" hidden="1" x14ac:dyDescent="0.25">
      <c r="A1484" s="12">
        <v>46084.833333333336</v>
      </c>
      <c r="B1484" t="s">
        <v>18</v>
      </c>
      <c r="C1484" t="s">
        <v>28</v>
      </c>
      <c r="D1484">
        <v>2</v>
      </c>
      <c r="E1484">
        <v>30</v>
      </c>
      <c r="F1484">
        <v>21.875812379703628</v>
      </c>
      <c r="G1484" t="str">
        <f>FLOOR(FinalData[[#This Row],[Temperature_C]],2)&amp;"–"&amp;(FLOOR(FinalData[[#This Row],[Temperature_C]],2)+2)&amp;"°C"</f>
        <v>20–22°C</v>
      </c>
      <c r="H1484">
        <v>1.82</v>
      </c>
      <c r="I1484">
        <v>2026</v>
      </c>
      <c r="J1484">
        <v>3</v>
      </c>
      <c r="K1484">
        <v>3</v>
      </c>
      <c r="L1484">
        <v>2</v>
      </c>
      <c r="M1484">
        <v>20</v>
      </c>
      <c r="N1484">
        <v>6.6666666666666666E-2</v>
      </c>
      <c r="O1484">
        <v>0.91</v>
      </c>
      <c r="P1484" t="s">
        <v>43</v>
      </c>
    </row>
    <row r="1485" spans="1:16" hidden="1" x14ac:dyDescent="0.25">
      <c r="A1485" s="12">
        <v>46084.875</v>
      </c>
      <c r="B1485" t="s">
        <v>7</v>
      </c>
      <c r="C1485" t="s">
        <v>8</v>
      </c>
      <c r="D1485">
        <v>11</v>
      </c>
      <c r="E1485">
        <v>20</v>
      </c>
      <c r="F1485">
        <v>21.92497945830991</v>
      </c>
      <c r="G1485" t="str">
        <f>FLOOR(FinalData[[#This Row],[Temperature_C]],2)&amp;"–"&amp;(FLOOR(FinalData[[#This Row],[Temperature_C]],2)+2)&amp;"°C"</f>
        <v>20–22°C</v>
      </c>
      <c r="H1485">
        <v>3.4</v>
      </c>
      <c r="I1485">
        <v>2026</v>
      </c>
      <c r="J1485">
        <v>3</v>
      </c>
      <c r="K1485">
        <v>3</v>
      </c>
      <c r="L1485">
        <v>2</v>
      </c>
      <c r="M1485">
        <v>21</v>
      </c>
      <c r="N1485">
        <v>0.55000000000000004</v>
      </c>
      <c r="O1485">
        <v>0.30909090909090908</v>
      </c>
      <c r="P1485" t="s">
        <v>40</v>
      </c>
    </row>
    <row r="1486" spans="1:16" hidden="1" x14ac:dyDescent="0.25">
      <c r="A1486" s="12">
        <v>46084.916666666664</v>
      </c>
      <c r="B1486" t="s">
        <v>13</v>
      </c>
      <c r="C1486" t="s">
        <v>16</v>
      </c>
      <c r="D1486">
        <v>7</v>
      </c>
      <c r="E1486">
        <v>25</v>
      </c>
      <c r="F1486">
        <v>23.642926174605961</v>
      </c>
      <c r="G1486" t="str">
        <f>FLOOR(FinalData[[#This Row],[Temperature_C]],2)&amp;"–"&amp;(FLOOR(FinalData[[#This Row],[Temperature_C]],2)+2)&amp;"°C"</f>
        <v>22–24°C</v>
      </c>
      <c r="H1486">
        <v>3.22</v>
      </c>
      <c r="I1486">
        <v>2026</v>
      </c>
      <c r="J1486">
        <v>3</v>
      </c>
      <c r="K1486">
        <v>3</v>
      </c>
      <c r="L1486">
        <v>2</v>
      </c>
      <c r="M1486">
        <v>22</v>
      </c>
      <c r="N1486">
        <v>0.28000000000000003</v>
      </c>
      <c r="O1486">
        <v>0.46</v>
      </c>
      <c r="P1486" t="s">
        <v>40</v>
      </c>
    </row>
    <row r="1487" spans="1:16" hidden="1" x14ac:dyDescent="0.25">
      <c r="A1487" s="12">
        <v>46084.958333333336</v>
      </c>
      <c r="B1487" t="s">
        <v>11</v>
      </c>
      <c r="C1487" t="s">
        <v>28</v>
      </c>
      <c r="D1487">
        <v>10</v>
      </c>
      <c r="E1487">
        <v>20</v>
      </c>
      <c r="F1487">
        <v>21.591279351558239</v>
      </c>
      <c r="G1487" t="str">
        <f>FLOOR(FinalData[[#This Row],[Temperature_C]],2)&amp;"–"&amp;(FLOOR(FinalData[[#This Row],[Temperature_C]],2)+2)&amp;"°C"</f>
        <v>20–22°C</v>
      </c>
      <c r="H1487">
        <v>3.42</v>
      </c>
      <c r="I1487">
        <v>2026</v>
      </c>
      <c r="J1487">
        <v>3</v>
      </c>
      <c r="K1487">
        <v>3</v>
      </c>
      <c r="L1487">
        <v>2</v>
      </c>
      <c r="M1487">
        <v>23</v>
      </c>
      <c r="N1487">
        <v>0.5</v>
      </c>
      <c r="O1487">
        <v>0.34199999999999997</v>
      </c>
      <c r="P1487" t="s">
        <v>40</v>
      </c>
    </row>
    <row r="1488" spans="1:16" hidden="1" x14ac:dyDescent="0.25">
      <c r="A1488" s="12">
        <v>46085</v>
      </c>
      <c r="B1488" t="s">
        <v>7</v>
      </c>
      <c r="C1488" t="s">
        <v>30</v>
      </c>
      <c r="D1488">
        <v>6</v>
      </c>
      <c r="E1488">
        <v>20</v>
      </c>
      <c r="F1488">
        <v>24.607858559169749</v>
      </c>
      <c r="G1488" t="str">
        <f>FLOOR(FinalData[[#This Row],[Temperature_C]],2)&amp;"–"&amp;(FLOOR(FinalData[[#This Row],[Temperature_C]],2)+2)&amp;"°C"</f>
        <v>24–26°C</v>
      </c>
      <c r="H1488">
        <v>2.71</v>
      </c>
      <c r="I1488">
        <v>2026</v>
      </c>
      <c r="J1488">
        <v>3</v>
      </c>
      <c r="K1488">
        <v>4</v>
      </c>
      <c r="L1488">
        <v>3</v>
      </c>
      <c r="M1488">
        <v>0</v>
      </c>
      <c r="N1488">
        <v>0.3</v>
      </c>
      <c r="O1488">
        <v>0.45166666666666666</v>
      </c>
      <c r="P1488" t="s">
        <v>40</v>
      </c>
    </row>
    <row r="1489" spans="1:16" hidden="1" x14ac:dyDescent="0.25">
      <c r="A1489" s="12">
        <v>46085.041666666664</v>
      </c>
      <c r="B1489" t="s">
        <v>7</v>
      </c>
      <c r="C1489" t="s">
        <v>20</v>
      </c>
      <c r="D1489">
        <v>11</v>
      </c>
      <c r="E1489">
        <v>30</v>
      </c>
      <c r="F1489">
        <v>20.74725920771003</v>
      </c>
      <c r="G1489" t="str">
        <f>FLOOR(FinalData[[#This Row],[Temperature_C]],2)&amp;"–"&amp;(FLOOR(FinalData[[#This Row],[Temperature_C]],2)+2)&amp;"°C"</f>
        <v>20–22°C</v>
      </c>
      <c r="H1489">
        <v>3.93</v>
      </c>
      <c r="I1489">
        <v>2026</v>
      </c>
      <c r="J1489">
        <v>3</v>
      </c>
      <c r="K1489">
        <v>4</v>
      </c>
      <c r="L1489">
        <v>3</v>
      </c>
      <c r="M1489">
        <v>1</v>
      </c>
      <c r="N1489">
        <v>0.36666666666666664</v>
      </c>
      <c r="O1489">
        <v>0.3572727272727273</v>
      </c>
      <c r="P1489" t="s">
        <v>40</v>
      </c>
    </row>
    <row r="1490" spans="1:16" hidden="1" x14ac:dyDescent="0.25">
      <c r="A1490" s="12">
        <v>46085.083333333336</v>
      </c>
      <c r="B1490" t="s">
        <v>13</v>
      </c>
      <c r="C1490" t="s">
        <v>15</v>
      </c>
      <c r="D1490">
        <v>8</v>
      </c>
      <c r="E1490">
        <v>25</v>
      </c>
      <c r="F1490">
        <v>23.72381567272198</v>
      </c>
      <c r="G1490" t="str">
        <f>FLOOR(FinalData[[#This Row],[Temperature_C]],2)&amp;"–"&amp;(FLOOR(FinalData[[#This Row],[Temperature_C]],2)+2)&amp;"°C"</f>
        <v>22–24°C</v>
      </c>
      <c r="H1490">
        <v>2.69</v>
      </c>
      <c r="I1490">
        <v>2026</v>
      </c>
      <c r="J1490">
        <v>3</v>
      </c>
      <c r="K1490">
        <v>4</v>
      </c>
      <c r="L1490">
        <v>3</v>
      </c>
      <c r="M1490">
        <v>2</v>
      </c>
      <c r="N1490">
        <v>0.32</v>
      </c>
      <c r="O1490">
        <v>0.33624999999999999</v>
      </c>
      <c r="P1490" t="s">
        <v>40</v>
      </c>
    </row>
    <row r="1491" spans="1:16" hidden="1" x14ac:dyDescent="0.25">
      <c r="A1491" s="12">
        <v>46085.125</v>
      </c>
      <c r="B1491" t="s">
        <v>18</v>
      </c>
      <c r="C1491" t="s">
        <v>19</v>
      </c>
      <c r="D1491">
        <v>9</v>
      </c>
      <c r="E1491">
        <v>40</v>
      </c>
      <c r="F1491">
        <v>21.734384801555631</v>
      </c>
      <c r="G1491" t="str">
        <f>FLOOR(FinalData[[#This Row],[Temperature_C]],2)&amp;"–"&amp;(FLOOR(FinalData[[#This Row],[Temperature_C]],2)+2)&amp;"°C"</f>
        <v>20–22°C</v>
      </c>
      <c r="H1491">
        <v>3.51</v>
      </c>
      <c r="I1491">
        <v>2026</v>
      </c>
      <c r="J1491">
        <v>3</v>
      </c>
      <c r="K1491">
        <v>4</v>
      </c>
      <c r="L1491">
        <v>3</v>
      </c>
      <c r="M1491">
        <v>3</v>
      </c>
      <c r="N1491">
        <v>0.22500000000000001</v>
      </c>
      <c r="O1491">
        <v>0.38999999999999996</v>
      </c>
      <c r="P1491" t="s">
        <v>40</v>
      </c>
    </row>
    <row r="1492" spans="1:16" hidden="1" x14ac:dyDescent="0.25">
      <c r="A1492" s="12">
        <v>46085.166666666664</v>
      </c>
      <c r="B1492" t="s">
        <v>18</v>
      </c>
      <c r="C1492" t="s">
        <v>16</v>
      </c>
      <c r="D1492">
        <v>9</v>
      </c>
      <c r="E1492">
        <v>30</v>
      </c>
      <c r="F1492">
        <v>21.925671475223361</v>
      </c>
      <c r="G1492" t="str">
        <f>FLOOR(FinalData[[#This Row],[Temperature_C]],2)&amp;"–"&amp;(FLOOR(FinalData[[#This Row],[Temperature_C]],2)+2)&amp;"°C"</f>
        <v>20–22°C</v>
      </c>
      <c r="H1492">
        <v>2.62</v>
      </c>
      <c r="I1492">
        <v>2026</v>
      </c>
      <c r="J1492">
        <v>3</v>
      </c>
      <c r="K1492">
        <v>4</v>
      </c>
      <c r="L1492">
        <v>3</v>
      </c>
      <c r="M1492">
        <v>4</v>
      </c>
      <c r="N1492">
        <v>0.3</v>
      </c>
      <c r="O1492">
        <v>0.2911111111111111</v>
      </c>
      <c r="P1492" t="s">
        <v>40</v>
      </c>
    </row>
    <row r="1493" spans="1:16" hidden="1" x14ac:dyDescent="0.25">
      <c r="A1493" s="12">
        <v>46085.208333333336</v>
      </c>
      <c r="B1493" t="s">
        <v>11</v>
      </c>
      <c r="C1493" t="s">
        <v>16</v>
      </c>
      <c r="D1493">
        <v>8</v>
      </c>
      <c r="E1493">
        <v>25</v>
      </c>
      <c r="F1493">
        <v>27.723781406340429</v>
      </c>
      <c r="G1493" t="str">
        <f>FLOOR(FinalData[[#This Row],[Temperature_C]],2)&amp;"–"&amp;(FLOOR(FinalData[[#This Row],[Temperature_C]],2)+2)&amp;"°C"</f>
        <v>26–28°C</v>
      </c>
      <c r="H1493">
        <v>3.67</v>
      </c>
      <c r="I1493">
        <v>2026</v>
      </c>
      <c r="J1493">
        <v>3</v>
      </c>
      <c r="K1493">
        <v>4</v>
      </c>
      <c r="L1493">
        <v>3</v>
      </c>
      <c r="M1493">
        <v>5</v>
      </c>
      <c r="N1493">
        <v>0.32</v>
      </c>
      <c r="O1493">
        <v>0.45874999999999999</v>
      </c>
      <c r="P1493" t="s">
        <v>40</v>
      </c>
    </row>
    <row r="1494" spans="1:16" hidden="1" x14ac:dyDescent="0.25">
      <c r="A1494" s="12">
        <v>46085.25</v>
      </c>
      <c r="B1494" t="s">
        <v>13</v>
      </c>
      <c r="C1494" t="s">
        <v>23</v>
      </c>
      <c r="D1494">
        <v>14</v>
      </c>
      <c r="E1494">
        <v>30</v>
      </c>
      <c r="F1494">
        <v>23.922456522997599</v>
      </c>
      <c r="G1494" t="str">
        <f>FLOOR(FinalData[[#This Row],[Temperature_C]],2)&amp;"–"&amp;(FLOOR(FinalData[[#This Row],[Temperature_C]],2)+2)&amp;"°C"</f>
        <v>22–24°C</v>
      </c>
      <c r="H1494">
        <v>4.43</v>
      </c>
      <c r="I1494">
        <v>2026</v>
      </c>
      <c r="J1494">
        <v>3</v>
      </c>
      <c r="K1494">
        <v>4</v>
      </c>
      <c r="L1494">
        <v>3</v>
      </c>
      <c r="M1494">
        <v>6</v>
      </c>
      <c r="N1494">
        <v>0.46666666666666667</v>
      </c>
      <c r="O1494">
        <v>0.31642857142857139</v>
      </c>
      <c r="P1494" t="s">
        <v>40</v>
      </c>
    </row>
    <row r="1495" spans="1:16" x14ac:dyDescent="0.25">
      <c r="A1495" s="12">
        <v>46085.291666666664</v>
      </c>
      <c r="B1495" t="s">
        <v>11</v>
      </c>
      <c r="C1495" t="s">
        <v>12</v>
      </c>
      <c r="D1495">
        <v>1</v>
      </c>
      <c r="E1495">
        <v>25</v>
      </c>
      <c r="F1495">
        <v>26.512755975255981</v>
      </c>
      <c r="G1495" t="str">
        <f>FLOOR(FinalData[[#This Row],[Temperature_C]],2)&amp;"–"&amp;(FLOOR(FinalData[[#This Row],[Temperature_C]],2)+2)&amp;"°C"</f>
        <v>26–28°C</v>
      </c>
      <c r="H1495">
        <v>2.19</v>
      </c>
      <c r="I1495">
        <v>2026</v>
      </c>
      <c r="J1495">
        <v>3</v>
      </c>
      <c r="K1495">
        <v>4</v>
      </c>
      <c r="L1495">
        <v>3</v>
      </c>
      <c r="M1495">
        <v>7</v>
      </c>
      <c r="N1495">
        <v>0.04</v>
      </c>
      <c r="O1495">
        <v>2.19</v>
      </c>
      <c r="P1495" t="s">
        <v>41</v>
      </c>
    </row>
    <row r="1496" spans="1:16" hidden="1" x14ac:dyDescent="0.25">
      <c r="A1496" s="12">
        <v>46085.333333333336</v>
      </c>
      <c r="B1496" t="s">
        <v>7</v>
      </c>
      <c r="C1496" t="s">
        <v>21</v>
      </c>
      <c r="D1496">
        <v>9</v>
      </c>
      <c r="E1496">
        <v>20</v>
      </c>
      <c r="F1496">
        <v>22.292418537715371</v>
      </c>
      <c r="G1496" t="str">
        <f>FLOOR(FinalData[[#This Row],[Temperature_C]],2)&amp;"–"&amp;(FLOOR(FinalData[[#This Row],[Temperature_C]],2)+2)&amp;"°C"</f>
        <v>22–24°C</v>
      </c>
      <c r="H1496">
        <v>3.12</v>
      </c>
      <c r="I1496">
        <v>2026</v>
      </c>
      <c r="J1496">
        <v>3</v>
      </c>
      <c r="K1496">
        <v>4</v>
      </c>
      <c r="L1496">
        <v>3</v>
      </c>
      <c r="M1496">
        <v>8</v>
      </c>
      <c r="N1496">
        <v>0.45</v>
      </c>
      <c r="O1496">
        <v>0.34666666666666668</v>
      </c>
      <c r="P1496" t="s">
        <v>41</v>
      </c>
    </row>
    <row r="1497" spans="1:16" hidden="1" x14ac:dyDescent="0.25">
      <c r="A1497" s="12">
        <v>46085.375</v>
      </c>
      <c r="B1497" t="s">
        <v>18</v>
      </c>
      <c r="C1497" t="s">
        <v>28</v>
      </c>
      <c r="D1497">
        <v>10</v>
      </c>
      <c r="E1497">
        <v>30</v>
      </c>
      <c r="F1497">
        <v>21.370994815435161</v>
      </c>
      <c r="G1497" t="str">
        <f>FLOOR(FinalData[[#This Row],[Temperature_C]],2)&amp;"–"&amp;(FLOOR(FinalData[[#This Row],[Temperature_C]],2)+2)&amp;"°C"</f>
        <v>20–22°C</v>
      </c>
      <c r="H1497">
        <v>3.2</v>
      </c>
      <c r="I1497">
        <v>2026</v>
      </c>
      <c r="J1497">
        <v>3</v>
      </c>
      <c r="K1497">
        <v>4</v>
      </c>
      <c r="L1497">
        <v>3</v>
      </c>
      <c r="M1497">
        <v>9</v>
      </c>
      <c r="N1497">
        <v>0.33333333333333331</v>
      </c>
      <c r="O1497">
        <v>0.32</v>
      </c>
      <c r="P1497" t="s">
        <v>41</v>
      </c>
    </row>
    <row r="1498" spans="1:16" hidden="1" x14ac:dyDescent="0.25">
      <c r="A1498" s="12">
        <v>46085.416666666664</v>
      </c>
      <c r="B1498" t="s">
        <v>13</v>
      </c>
      <c r="C1498" t="s">
        <v>24</v>
      </c>
      <c r="D1498">
        <v>7</v>
      </c>
      <c r="E1498">
        <v>40</v>
      </c>
      <c r="F1498">
        <v>24.933080829998829</v>
      </c>
      <c r="G1498" t="str">
        <f>FLOOR(FinalData[[#This Row],[Temperature_C]],2)&amp;"–"&amp;(FLOOR(FinalData[[#This Row],[Temperature_C]],2)+2)&amp;"°C"</f>
        <v>24–26°C</v>
      </c>
      <c r="H1498">
        <v>3.42</v>
      </c>
      <c r="I1498">
        <v>2026</v>
      </c>
      <c r="J1498">
        <v>3</v>
      </c>
      <c r="K1498">
        <v>4</v>
      </c>
      <c r="L1498">
        <v>3</v>
      </c>
      <c r="M1498">
        <v>10</v>
      </c>
      <c r="N1498">
        <v>0.17499999999999999</v>
      </c>
      <c r="O1498">
        <v>0.48857142857142855</v>
      </c>
      <c r="P1498" t="s">
        <v>41</v>
      </c>
    </row>
    <row r="1499" spans="1:16" ht="15.75" hidden="1" thickBot="1" x14ac:dyDescent="0.3">
      <c r="A1499" s="13">
        <v>46085.458333333336</v>
      </c>
      <c r="B1499" s="1" t="s">
        <v>13</v>
      </c>
      <c r="C1499" s="1" t="s">
        <v>31</v>
      </c>
      <c r="D1499" s="1">
        <v>7</v>
      </c>
      <c r="E1499" s="1">
        <v>25</v>
      </c>
      <c r="F1499" s="1">
        <v>24.337837752687449</v>
      </c>
      <c r="G1499" s="1" t="str">
        <f>FLOOR(FinalData[[#This Row],[Temperature_C]],2)&amp;"–"&amp;(FLOOR(FinalData[[#This Row],[Temperature_C]],2)+2)&amp;"°C"</f>
        <v>24–26°C</v>
      </c>
      <c r="H1499" s="1">
        <v>2.72</v>
      </c>
      <c r="I1499" s="1">
        <v>2026</v>
      </c>
      <c r="J1499" s="1">
        <v>3</v>
      </c>
      <c r="K1499" s="1">
        <v>4</v>
      </c>
      <c r="L1499" s="1">
        <v>3</v>
      </c>
      <c r="M1499" s="1">
        <v>11</v>
      </c>
      <c r="N1499" s="1">
        <v>0.28000000000000003</v>
      </c>
      <c r="O1499" s="1">
        <v>0.38857142857142862</v>
      </c>
      <c r="P1499" s="1" t="s">
        <v>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D313-C292-41FD-9BA9-B0C758EB2984}">
  <dimension ref="A1:T1026"/>
  <sheetViews>
    <sheetView topLeftCell="A13" workbookViewId="0">
      <selection activeCell="H2" sqref="H2"/>
    </sheetView>
  </sheetViews>
  <sheetFormatPr defaultRowHeight="15" x14ac:dyDescent="0.25"/>
  <cols>
    <col min="6" max="6" width="18.140625" customWidth="1"/>
    <col min="7" max="7" width="17.85546875" customWidth="1"/>
    <col min="8" max="8" width="13" customWidth="1"/>
    <col min="9" max="9" width="11.28515625" customWidth="1"/>
    <col min="10" max="10" width="4.5703125" customWidth="1"/>
    <col min="11" max="11" width="4.85546875" customWidth="1"/>
    <col min="12" max="12" width="17.5703125" customWidth="1"/>
    <col min="13" max="13" width="13.85546875" customWidth="1"/>
    <col min="14" max="14" width="15.5703125" customWidth="1"/>
    <col min="15" max="15" width="15.28515625" customWidth="1"/>
    <col min="16" max="16" width="20.85546875" customWidth="1"/>
    <col min="17" max="17" width="14.7109375" customWidth="1"/>
    <col min="18" max="18" width="16.28515625" customWidth="1"/>
    <col min="19" max="19" width="13.42578125" customWidth="1"/>
  </cols>
  <sheetData>
    <row r="1" spans="1:17" ht="30.75" thickBot="1" x14ac:dyDescent="0.3">
      <c r="A1" s="7" t="s">
        <v>6</v>
      </c>
      <c r="B1" s="6" t="s">
        <v>3</v>
      </c>
      <c r="C1" s="7" t="s">
        <v>5</v>
      </c>
      <c r="D1" s="7" t="s">
        <v>37</v>
      </c>
    </row>
    <row r="2" spans="1:17" x14ac:dyDescent="0.25">
      <c r="A2" s="8">
        <v>2.84</v>
      </c>
      <c r="B2" s="6">
        <v>6</v>
      </c>
      <c r="C2" s="8">
        <v>23.558082580000001</v>
      </c>
      <c r="D2" s="8">
        <v>0.2</v>
      </c>
      <c r="F2" s="2"/>
      <c r="G2" s="2" t="s">
        <v>3</v>
      </c>
      <c r="H2" s="2" t="s">
        <v>5</v>
      </c>
      <c r="I2" s="2" t="s">
        <v>6</v>
      </c>
      <c r="J2" s="2" t="s">
        <v>37</v>
      </c>
      <c r="L2" t="s">
        <v>63</v>
      </c>
    </row>
    <row r="3" spans="1:17" ht="15.75" thickBot="1" x14ac:dyDescent="0.3">
      <c r="A3" s="8">
        <v>1.95</v>
      </c>
      <c r="B3" s="6">
        <v>6</v>
      </c>
      <c r="C3" s="8">
        <v>23.48392454</v>
      </c>
      <c r="D3" s="8">
        <v>0.2</v>
      </c>
      <c r="F3" t="s">
        <v>3</v>
      </c>
      <c r="G3">
        <v>1</v>
      </c>
    </row>
    <row r="4" spans="1:17" x14ac:dyDescent="0.25">
      <c r="A4" s="8">
        <v>3.84</v>
      </c>
      <c r="B4" s="6">
        <v>8</v>
      </c>
      <c r="C4" s="8">
        <v>28.118976060000001</v>
      </c>
      <c r="D4" s="8">
        <v>0.2</v>
      </c>
      <c r="F4" t="s">
        <v>5</v>
      </c>
      <c r="G4">
        <v>-3.3648302107338546E-2</v>
      </c>
      <c r="H4">
        <v>1</v>
      </c>
      <c r="L4" s="5" t="s">
        <v>64</v>
      </c>
      <c r="M4" s="5"/>
    </row>
    <row r="5" spans="1:17" x14ac:dyDescent="0.25">
      <c r="A5" s="8">
        <v>1.86</v>
      </c>
      <c r="B5" s="6">
        <v>3</v>
      </c>
      <c r="C5" s="8">
        <v>21.799492300000001</v>
      </c>
      <c r="D5" s="8">
        <v>0.1</v>
      </c>
      <c r="F5" t="s">
        <v>6</v>
      </c>
      <c r="G5">
        <v>0.87146573572848851</v>
      </c>
      <c r="H5">
        <v>0.12389331693204612</v>
      </c>
      <c r="I5">
        <v>1</v>
      </c>
      <c r="L5" t="s">
        <v>65</v>
      </c>
      <c r="M5">
        <v>0.88484715196273689</v>
      </c>
    </row>
    <row r="6" spans="1:17" ht="15.75" thickBot="1" x14ac:dyDescent="0.3">
      <c r="A6" s="8">
        <v>2.25</v>
      </c>
      <c r="B6" s="6">
        <v>5</v>
      </c>
      <c r="C6" s="8">
        <v>22.541099089999999</v>
      </c>
      <c r="D6" s="8">
        <v>0.2</v>
      </c>
      <c r="F6" s="1" t="s">
        <v>37</v>
      </c>
      <c r="G6" s="1">
        <v>0.79443679491247376</v>
      </c>
      <c r="H6" s="1">
        <v>-3.4643831183004563E-2</v>
      </c>
      <c r="I6" s="1">
        <v>0.70090423037371319</v>
      </c>
      <c r="J6" s="1">
        <v>1</v>
      </c>
      <c r="L6" t="s">
        <v>66</v>
      </c>
      <c r="M6">
        <v>0.78295448233656695</v>
      </c>
    </row>
    <row r="7" spans="1:17" ht="15.75" thickBot="1" x14ac:dyDescent="0.3">
      <c r="A7" s="8">
        <v>3.23</v>
      </c>
      <c r="B7" s="6">
        <v>11</v>
      </c>
      <c r="C7" s="8">
        <v>20.981829309999998</v>
      </c>
      <c r="D7" s="8">
        <v>0.55000000000000004</v>
      </c>
      <c r="L7" t="s">
        <v>67</v>
      </c>
      <c r="M7">
        <v>0.78251908510955881</v>
      </c>
    </row>
    <row r="8" spans="1:17" x14ac:dyDescent="0.25">
      <c r="A8" s="8">
        <v>3.14</v>
      </c>
      <c r="B8" s="6">
        <v>7</v>
      </c>
      <c r="C8" s="8">
        <v>24.16424559</v>
      </c>
      <c r="D8" s="8">
        <v>0.35</v>
      </c>
      <c r="F8" s="5" t="s">
        <v>6</v>
      </c>
      <c r="G8" s="5"/>
      <c r="L8" t="s">
        <v>46</v>
      </c>
      <c r="M8">
        <v>0.34906987882877299</v>
      </c>
    </row>
    <row r="9" spans="1:17" ht="15.75" thickBot="1" x14ac:dyDescent="0.3">
      <c r="A9" s="8">
        <v>2.52</v>
      </c>
      <c r="B9" s="6">
        <v>7</v>
      </c>
      <c r="C9" s="8">
        <v>22.64453576</v>
      </c>
      <c r="D9" s="8">
        <v>0.35</v>
      </c>
      <c r="L9" s="1" t="s">
        <v>68</v>
      </c>
      <c r="M9" s="1">
        <v>1000</v>
      </c>
    </row>
    <row r="10" spans="1:17" x14ac:dyDescent="0.25">
      <c r="A10" s="8">
        <v>3.89</v>
      </c>
      <c r="B10" s="6">
        <v>12</v>
      </c>
      <c r="C10" s="8">
        <v>23.174094140000001</v>
      </c>
      <c r="D10" s="8">
        <v>0.6</v>
      </c>
      <c r="F10" t="s">
        <v>45</v>
      </c>
      <c r="G10">
        <v>3.0497062750333725</v>
      </c>
    </row>
    <row r="11" spans="1:17" ht="15.75" thickBot="1" x14ac:dyDescent="0.3">
      <c r="A11" s="8">
        <v>2.4900000000000002</v>
      </c>
      <c r="B11" s="6">
        <v>7</v>
      </c>
      <c r="C11" s="8">
        <v>21.383012789999999</v>
      </c>
      <c r="D11" s="8">
        <v>0.17499999999999999</v>
      </c>
      <c r="F11" t="s">
        <v>46</v>
      </c>
      <c r="G11">
        <v>1.9737344797580807E-2</v>
      </c>
      <c r="L11" t="s">
        <v>69</v>
      </c>
    </row>
    <row r="12" spans="1:17" x14ac:dyDescent="0.25">
      <c r="A12" s="8">
        <v>4.24</v>
      </c>
      <c r="B12" s="6">
        <v>12</v>
      </c>
      <c r="C12" s="8">
        <v>25.54746724</v>
      </c>
      <c r="D12" s="8">
        <v>0.4</v>
      </c>
      <c r="F12" t="s">
        <v>47</v>
      </c>
      <c r="G12">
        <v>3.0149999999999997</v>
      </c>
      <c r="L12" s="2"/>
      <c r="M12" s="2" t="s">
        <v>74</v>
      </c>
      <c r="N12" s="2" t="s">
        <v>75</v>
      </c>
      <c r="O12" s="2" t="s">
        <v>76</v>
      </c>
      <c r="P12" s="2" t="s">
        <v>77</v>
      </c>
      <c r="Q12" s="2" t="s">
        <v>78</v>
      </c>
    </row>
    <row r="13" spans="1:17" x14ac:dyDescent="0.25">
      <c r="A13" s="8">
        <v>1.61</v>
      </c>
      <c r="B13" s="6">
        <v>4</v>
      </c>
      <c r="C13" s="8">
        <v>22.314570969999998</v>
      </c>
      <c r="D13" s="8">
        <v>0.16</v>
      </c>
      <c r="F13" t="s">
        <v>48</v>
      </c>
      <c r="G13">
        <v>3.37</v>
      </c>
      <c r="L13" t="s">
        <v>70</v>
      </c>
      <c r="M13">
        <v>2</v>
      </c>
      <c r="N13">
        <v>438.23352903538324</v>
      </c>
      <c r="O13">
        <v>219.11676451769162</v>
      </c>
      <c r="P13">
        <v>1798.2532587934422</v>
      </c>
      <c r="Q13">
        <v>0</v>
      </c>
    </row>
    <row r="14" spans="1:17" x14ac:dyDescent="0.25">
      <c r="A14" s="8">
        <v>4.46</v>
      </c>
      <c r="B14" s="6">
        <v>11</v>
      </c>
      <c r="C14" s="8">
        <v>23.120460420000001</v>
      </c>
      <c r="D14" s="8">
        <v>0.366666667</v>
      </c>
      <c r="F14" t="s">
        <v>49</v>
      </c>
      <c r="G14">
        <v>0.7639142909571518</v>
      </c>
      <c r="L14" t="s">
        <v>71</v>
      </c>
      <c r="M14">
        <v>997</v>
      </c>
      <c r="N14">
        <v>121.48423096461745</v>
      </c>
      <c r="O14">
        <v>0.12184978030553406</v>
      </c>
    </row>
    <row r="15" spans="1:17" ht="15.75" thickBot="1" x14ac:dyDescent="0.3">
      <c r="A15" s="8">
        <v>2.77</v>
      </c>
      <c r="B15" s="6">
        <v>5</v>
      </c>
      <c r="C15" s="8">
        <v>25.285645630000001</v>
      </c>
      <c r="D15" s="8">
        <v>0.2</v>
      </c>
      <c r="F15" t="s">
        <v>50</v>
      </c>
      <c r="G15">
        <v>0.58356504392856801</v>
      </c>
      <c r="L15" s="1" t="s">
        <v>72</v>
      </c>
      <c r="M15" s="1">
        <v>999</v>
      </c>
      <c r="N15" s="1">
        <v>559.71776000000068</v>
      </c>
      <c r="O15" s="1"/>
      <c r="P15" s="1"/>
      <c r="Q15" s="1"/>
    </row>
    <row r="16" spans="1:17" ht="15.75" thickBot="1" x14ac:dyDescent="0.3">
      <c r="A16" s="8">
        <v>3.72</v>
      </c>
      <c r="B16" s="6">
        <v>8</v>
      </c>
      <c r="C16" s="8">
        <v>26.413209909999999</v>
      </c>
      <c r="D16" s="8">
        <v>0.4</v>
      </c>
      <c r="F16" t="s">
        <v>51</v>
      </c>
      <c r="G16">
        <v>-2.8152809749886654E-2</v>
      </c>
    </row>
    <row r="17" spans="1:20" x14ac:dyDescent="0.25">
      <c r="A17" s="8">
        <v>2.39</v>
      </c>
      <c r="B17" s="6">
        <v>4</v>
      </c>
      <c r="C17" s="8">
        <v>21.161151530000001</v>
      </c>
      <c r="D17" s="8">
        <v>0.133333333</v>
      </c>
      <c r="F17" t="s">
        <v>52</v>
      </c>
      <c r="G17">
        <v>0.16738932739393428</v>
      </c>
      <c r="L17" s="2"/>
      <c r="M17" s="2" t="s">
        <v>79</v>
      </c>
      <c r="N17" s="2" t="s">
        <v>46</v>
      </c>
      <c r="O17" s="2" t="s">
        <v>80</v>
      </c>
      <c r="P17" s="2" t="s">
        <v>81</v>
      </c>
      <c r="Q17" s="2" t="s">
        <v>82</v>
      </c>
      <c r="R17" s="2" t="s">
        <v>83</v>
      </c>
      <c r="S17" s="2" t="s">
        <v>84</v>
      </c>
      <c r="T17" s="2" t="s">
        <v>85</v>
      </c>
    </row>
    <row r="18" spans="1:20" x14ac:dyDescent="0.25">
      <c r="A18" s="8">
        <v>3.44</v>
      </c>
      <c r="B18" s="6">
        <v>9</v>
      </c>
      <c r="C18" s="8">
        <v>19.78503353</v>
      </c>
      <c r="D18" s="8">
        <v>0.45</v>
      </c>
      <c r="F18" t="s">
        <v>53</v>
      </c>
      <c r="G18">
        <v>5.24</v>
      </c>
      <c r="L18" t="s">
        <v>73</v>
      </c>
      <c r="M18">
        <v>-0.19584818128811365</v>
      </c>
      <c r="N18">
        <v>0.13228497155861177</v>
      </c>
      <c r="O18">
        <v>-1.4805021234127023</v>
      </c>
      <c r="P18">
        <v>0.13905522255101607</v>
      </c>
      <c r="Q18">
        <v>-0.45543709731735216</v>
      </c>
      <c r="R18">
        <v>6.3740734741124849E-2</v>
      </c>
      <c r="S18">
        <v>-0.45543709731735216</v>
      </c>
      <c r="T18">
        <v>6.3740734741124849E-2</v>
      </c>
    </row>
    <row r="19" spans="1:20" x14ac:dyDescent="0.25">
      <c r="A19" s="8">
        <v>3.57</v>
      </c>
      <c r="B19" s="6">
        <v>11</v>
      </c>
      <c r="C19" s="8">
        <v>23.586144950000001</v>
      </c>
      <c r="D19" s="8">
        <v>0.27500000000000002</v>
      </c>
      <c r="F19" t="s">
        <v>54</v>
      </c>
      <c r="G19">
        <v>0.64</v>
      </c>
      <c r="L19" t="s">
        <v>3</v>
      </c>
      <c r="M19">
        <v>0.24282222536398945</v>
      </c>
      <c r="N19">
        <v>4.0892850920036658E-3</v>
      </c>
      <c r="O19">
        <v>59.380116548687866</v>
      </c>
      <c r="P19">
        <v>0</v>
      </c>
      <c r="Q19">
        <v>0.23479763215539945</v>
      </c>
      <c r="R19">
        <v>0.25084681857257946</v>
      </c>
      <c r="S19">
        <v>0.23479763215539945</v>
      </c>
      <c r="T19">
        <v>0.25084681857257946</v>
      </c>
    </row>
    <row r="20" spans="1:20" ht="15.75" thickBot="1" x14ac:dyDescent="0.3">
      <c r="A20" s="8">
        <v>1.95</v>
      </c>
      <c r="B20" s="6">
        <v>3</v>
      </c>
      <c r="C20" s="8">
        <v>20.617393010000001</v>
      </c>
      <c r="D20" s="8">
        <v>0.1</v>
      </c>
      <c r="F20" t="s">
        <v>55</v>
      </c>
      <c r="G20">
        <v>5.88</v>
      </c>
      <c r="L20" s="1" t="s">
        <v>5</v>
      </c>
      <c r="M20" s="1">
        <v>5.7210113357574123E-2</v>
      </c>
      <c r="N20" s="1">
        <v>5.506157828381159E-3</v>
      </c>
      <c r="O20" s="1">
        <v>10.390205864185011</v>
      </c>
      <c r="P20" s="1">
        <v>4.4217419873669335E-24</v>
      </c>
      <c r="Q20" s="1">
        <v>4.6405125267736033E-2</v>
      </c>
      <c r="R20" s="1">
        <v>6.8015101447412213E-2</v>
      </c>
      <c r="S20" s="1">
        <v>4.6405125267736033E-2</v>
      </c>
      <c r="T20" s="1">
        <v>6.8015101447412213E-2</v>
      </c>
    </row>
    <row r="21" spans="1:20" x14ac:dyDescent="0.25">
      <c r="A21" s="8">
        <v>2.92</v>
      </c>
      <c r="B21" s="6">
        <v>9</v>
      </c>
      <c r="C21" s="8">
        <v>21.22097114</v>
      </c>
      <c r="D21" s="8">
        <v>0.45</v>
      </c>
      <c r="F21" t="s">
        <v>56</v>
      </c>
      <c r="G21">
        <v>4568.4599999999919</v>
      </c>
    </row>
    <row r="22" spans="1:20" x14ac:dyDescent="0.25">
      <c r="A22" s="8">
        <v>3.87</v>
      </c>
      <c r="B22" s="6">
        <v>11</v>
      </c>
      <c r="C22" s="8">
        <v>20.858215000000001</v>
      </c>
      <c r="D22" s="8">
        <v>0.27500000000000002</v>
      </c>
      <c r="F22" t="s">
        <v>57</v>
      </c>
      <c r="G22">
        <v>1498</v>
      </c>
    </row>
    <row r="23" spans="1:20" ht="15.75" thickBot="1" x14ac:dyDescent="0.3">
      <c r="A23" s="8">
        <v>3.82</v>
      </c>
      <c r="B23" s="6">
        <v>11</v>
      </c>
      <c r="C23" s="8">
        <v>22.106970100000002</v>
      </c>
      <c r="D23" s="8">
        <v>0.27500000000000002</v>
      </c>
      <c r="F23" s="1" t="s">
        <v>62</v>
      </c>
      <c r="G23" s="1">
        <v>3.8715787272517864E-2</v>
      </c>
    </row>
    <row r="24" spans="1:20" x14ac:dyDescent="0.25">
      <c r="A24" s="8">
        <v>3.28</v>
      </c>
      <c r="B24" s="6">
        <v>8</v>
      </c>
      <c r="C24" s="8">
        <v>25.114847019999999</v>
      </c>
      <c r="D24" s="8">
        <v>0.2</v>
      </c>
      <c r="L24" t="s">
        <v>86</v>
      </c>
    </row>
    <row r="25" spans="1:20" ht="15.75" thickBot="1" x14ac:dyDescent="0.3">
      <c r="A25" s="8">
        <v>4.99</v>
      </c>
      <c r="B25" s="6">
        <v>17</v>
      </c>
      <c r="C25" s="8">
        <v>23.330045599999998</v>
      </c>
      <c r="D25" s="8">
        <v>0.42499999999999999</v>
      </c>
      <c r="F25" s="14" t="s">
        <v>3</v>
      </c>
      <c r="G25" s="14"/>
    </row>
    <row r="26" spans="1:20" x14ac:dyDescent="0.25">
      <c r="A26" s="8">
        <v>2.0699999999999998</v>
      </c>
      <c r="B26" s="6">
        <v>5</v>
      </c>
      <c r="C26" s="8">
        <v>21.213759450000001</v>
      </c>
      <c r="D26" s="8">
        <v>0.2</v>
      </c>
      <c r="L26" s="2" t="s">
        <v>87</v>
      </c>
      <c r="M26" s="2" t="s">
        <v>88</v>
      </c>
      <c r="N26" s="2" t="s">
        <v>89</v>
      </c>
      <c r="P26" s="9" t="s">
        <v>90</v>
      </c>
      <c r="Q26" s="9" t="s">
        <v>91</v>
      </c>
    </row>
    <row r="27" spans="1:20" x14ac:dyDescent="0.25">
      <c r="A27" s="8">
        <v>3.47</v>
      </c>
      <c r="B27" s="6">
        <v>5</v>
      </c>
      <c r="C27" s="8">
        <v>27.778071910000001</v>
      </c>
      <c r="D27" s="8">
        <v>0.16666666699999999</v>
      </c>
      <c r="F27" t="s">
        <v>45</v>
      </c>
      <c r="G27">
        <v>7.9832999331997332</v>
      </c>
      <c r="L27">
        <v>1</v>
      </c>
      <c r="M27">
        <v>2.6088457457847154</v>
      </c>
      <c r="N27">
        <v>0.23115425421528446</v>
      </c>
      <c r="P27" t="s">
        <v>3</v>
      </c>
      <c r="Q27">
        <v>15</v>
      </c>
    </row>
    <row r="28" spans="1:20" x14ac:dyDescent="0.25">
      <c r="A28" s="8">
        <v>3.63</v>
      </c>
      <c r="B28" s="6">
        <v>9</v>
      </c>
      <c r="C28" s="8">
        <v>21.45636184</v>
      </c>
      <c r="D28" s="8">
        <v>0.3</v>
      </c>
      <c r="F28" t="s">
        <v>46</v>
      </c>
      <c r="G28">
        <v>7.1548811647079297E-2</v>
      </c>
      <c r="L28">
        <v>2</v>
      </c>
      <c r="M28">
        <v>2.6046031559099401</v>
      </c>
      <c r="N28">
        <v>-0.65460315590994012</v>
      </c>
      <c r="P28" t="s">
        <v>5</v>
      </c>
      <c r="Q28">
        <v>25</v>
      </c>
    </row>
    <row r="29" spans="1:20" x14ac:dyDescent="0.25">
      <c r="A29" s="8">
        <v>3.85</v>
      </c>
      <c r="B29" s="6">
        <v>9</v>
      </c>
      <c r="C29" s="8">
        <v>20.346336470000001</v>
      </c>
      <c r="D29" s="8">
        <v>0.22500000000000001</v>
      </c>
      <c r="F29" t="s">
        <v>47</v>
      </c>
      <c r="G29">
        <v>8</v>
      </c>
      <c r="L29">
        <v>3</v>
      </c>
      <c r="M29">
        <v>3.3554194295153152</v>
      </c>
      <c r="N29">
        <v>0.48458057048468461</v>
      </c>
      <c r="P29" t="s">
        <v>88</v>
      </c>
      <c r="Q29">
        <f>M18+(Q27*M19)+(Q28*M20)</f>
        <v>4.8767380331110814</v>
      </c>
    </row>
    <row r="30" spans="1:20" x14ac:dyDescent="0.25">
      <c r="A30" s="8">
        <v>2.3199999999999998</v>
      </c>
      <c r="B30" s="6">
        <v>4</v>
      </c>
      <c r="C30" s="8">
        <v>23.887638859999999</v>
      </c>
      <c r="D30" s="8">
        <v>0.1</v>
      </c>
      <c r="F30" t="s">
        <v>48</v>
      </c>
      <c r="G30">
        <v>8</v>
      </c>
      <c r="L30">
        <v>4</v>
      </c>
      <c r="M30">
        <v>1.7797699204244188</v>
      </c>
      <c r="N30">
        <v>8.0230079575581259E-2</v>
      </c>
    </row>
    <row r="31" spans="1:20" x14ac:dyDescent="0.25">
      <c r="A31" s="8">
        <v>3.31</v>
      </c>
      <c r="B31" s="6">
        <v>6</v>
      </c>
      <c r="C31" s="8">
        <v>26.086135299999999</v>
      </c>
      <c r="D31" s="8">
        <v>0.15</v>
      </c>
      <c r="F31" t="s">
        <v>49</v>
      </c>
      <c r="G31">
        <v>2.7683010990171422</v>
      </c>
      <c r="L31">
        <v>5</v>
      </c>
      <c r="M31">
        <v>2.3078417796750443</v>
      </c>
      <c r="N31">
        <v>-5.7841779675044336E-2</v>
      </c>
    </row>
    <row r="32" spans="1:20" x14ac:dyDescent="0.25">
      <c r="A32" s="8">
        <v>2.66</v>
      </c>
      <c r="B32" s="6">
        <v>7</v>
      </c>
      <c r="C32" s="8">
        <v>22.59508495</v>
      </c>
      <c r="D32" s="8">
        <v>0.28000000000000003</v>
      </c>
      <c r="F32" t="s">
        <v>50</v>
      </c>
      <c r="G32">
        <v>7.663490974819517</v>
      </c>
      <c r="L32">
        <v>6</v>
      </c>
      <c r="M32">
        <v>3.6755691309901413</v>
      </c>
      <c r="N32">
        <v>-0.44556913099014128</v>
      </c>
    </row>
    <row r="33" spans="1:14" x14ac:dyDescent="0.25">
      <c r="A33" s="8">
        <v>3.85</v>
      </c>
      <c r="B33" s="6">
        <v>12</v>
      </c>
      <c r="C33" s="8">
        <v>23.561983739999999</v>
      </c>
      <c r="D33" s="8">
        <v>0.6</v>
      </c>
      <c r="F33" t="s">
        <v>51</v>
      </c>
      <c r="G33">
        <v>-8.0361117277475191E-2</v>
      </c>
      <c r="L33">
        <v>7</v>
      </c>
      <c r="M33">
        <v>2.8863466256639727</v>
      </c>
      <c r="N33">
        <v>0.25365337433602742</v>
      </c>
    </row>
    <row r="34" spans="1:14" x14ac:dyDescent="0.25">
      <c r="A34" s="8">
        <v>2.1</v>
      </c>
      <c r="B34" s="6">
        <v>5</v>
      </c>
      <c r="C34" s="8">
        <v>23.71403097</v>
      </c>
      <c r="D34" s="8">
        <v>0.125</v>
      </c>
      <c r="F34" t="s">
        <v>52</v>
      </c>
      <c r="G34">
        <v>0.2429841052218574</v>
      </c>
      <c r="L34">
        <v>8</v>
      </c>
      <c r="M34">
        <v>2.7994038540190536</v>
      </c>
      <c r="N34">
        <v>-0.27940385401905354</v>
      </c>
    </row>
    <row r="35" spans="1:14" x14ac:dyDescent="0.25">
      <c r="A35" s="8">
        <v>4.78</v>
      </c>
      <c r="B35" s="6">
        <v>14</v>
      </c>
      <c r="C35" s="8">
        <v>26.10571955</v>
      </c>
      <c r="D35" s="8">
        <v>0.46666666699999998</v>
      </c>
      <c r="F35" t="s">
        <v>53</v>
      </c>
      <c r="G35">
        <v>17</v>
      </c>
      <c r="L35">
        <v>9</v>
      </c>
      <c r="M35">
        <v>4.0438110757882537</v>
      </c>
      <c r="N35">
        <v>-0.15381107578825359</v>
      </c>
    </row>
    <row r="36" spans="1:14" x14ac:dyDescent="0.25">
      <c r="A36" s="8">
        <v>3.01</v>
      </c>
      <c r="B36" s="6">
        <v>8</v>
      </c>
      <c r="C36" s="8">
        <v>23.648332700000001</v>
      </c>
      <c r="D36" s="8">
        <v>0.2</v>
      </c>
      <c r="F36" t="s">
        <v>54</v>
      </c>
      <c r="G36">
        <v>0</v>
      </c>
      <c r="L36">
        <v>10</v>
      </c>
      <c r="M36">
        <v>2.7272319819021695</v>
      </c>
      <c r="N36">
        <v>-0.23723198190216932</v>
      </c>
    </row>
    <row r="37" spans="1:14" x14ac:dyDescent="0.25">
      <c r="A37" s="8">
        <v>3.52</v>
      </c>
      <c r="B37" s="6">
        <v>11</v>
      </c>
      <c r="C37" s="8">
        <v>23.15160912</v>
      </c>
      <c r="D37" s="8">
        <v>0.366666667</v>
      </c>
      <c r="F37" t="s">
        <v>55</v>
      </c>
      <c r="G37">
        <v>17</v>
      </c>
      <c r="L37">
        <v>11</v>
      </c>
      <c r="M37">
        <v>4.1795920198790713</v>
      </c>
      <c r="N37">
        <v>6.0407980120928961E-2</v>
      </c>
    </row>
    <row r="38" spans="1:14" x14ac:dyDescent="0.25">
      <c r="A38" s="8">
        <v>2.62</v>
      </c>
      <c r="B38" s="6">
        <v>7</v>
      </c>
      <c r="C38" s="8">
        <v>23.489933140000002</v>
      </c>
      <c r="D38" s="8">
        <v>0.35</v>
      </c>
      <c r="F38" t="s">
        <v>56</v>
      </c>
      <c r="G38">
        <v>11951</v>
      </c>
      <c r="L38">
        <v>12</v>
      </c>
      <c r="M38">
        <v>2.0520598548871769</v>
      </c>
      <c r="N38">
        <v>-0.44205985488717681</v>
      </c>
    </row>
    <row r="39" spans="1:14" x14ac:dyDescent="0.25">
      <c r="A39" s="8">
        <v>2.15</v>
      </c>
      <c r="B39" s="6">
        <v>4</v>
      </c>
      <c r="C39" s="8">
        <v>25.308708679999999</v>
      </c>
      <c r="D39" s="8">
        <v>0.133333333</v>
      </c>
      <c r="F39" t="s">
        <v>57</v>
      </c>
      <c r="G39">
        <v>1497</v>
      </c>
      <c r="L39">
        <v>13</v>
      </c>
      <c r="M39">
        <v>3.7979204592232758</v>
      </c>
      <c r="N39">
        <v>0.66207954077672415</v>
      </c>
    </row>
    <row r="40" spans="1:14" x14ac:dyDescent="0.25">
      <c r="A40" s="8">
        <v>3.36</v>
      </c>
      <c r="B40" s="6">
        <v>10</v>
      </c>
      <c r="C40" s="8">
        <v>22.962973730000002</v>
      </c>
      <c r="D40" s="8">
        <v>0.5</v>
      </c>
      <c r="F40" t="s">
        <v>62</v>
      </c>
      <c r="G40">
        <v>0.14034664226711965</v>
      </c>
      <c r="L40">
        <v>14</v>
      </c>
      <c r="M40">
        <v>2.4648575983435825</v>
      </c>
      <c r="N40">
        <v>0.30514240165641748</v>
      </c>
    </row>
    <row r="41" spans="1:14" x14ac:dyDescent="0.25">
      <c r="A41" s="8">
        <v>2.29</v>
      </c>
      <c r="B41" s="6">
        <v>5</v>
      </c>
      <c r="C41" s="8">
        <v>22.7824797</v>
      </c>
      <c r="D41" s="8">
        <v>0.125</v>
      </c>
      <c r="L41">
        <v>15</v>
      </c>
      <c r="M41">
        <v>3.2578323547123018</v>
      </c>
      <c r="N41">
        <v>0.46216764528769838</v>
      </c>
    </row>
    <row r="42" spans="1:14" ht="15.75" thickBot="1" x14ac:dyDescent="0.3">
      <c r="A42" s="8">
        <v>2.77</v>
      </c>
      <c r="B42" s="6">
        <v>6</v>
      </c>
      <c r="C42" s="8">
        <v>23.139305329999999</v>
      </c>
      <c r="D42" s="8">
        <v>0.3</v>
      </c>
      <c r="L42">
        <v>16</v>
      </c>
      <c r="M42">
        <v>1.9860725979759473</v>
      </c>
      <c r="N42">
        <v>0.40392740202405286</v>
      </c>
    </row>
    <row r="43" spans="1:14" x14ac:dyDescent="0.25">
      <c r="A43" s="8">
        <v>3.96</v>
      </c>
      <c r="B43" s="6">
        <v>11</v>
      </c>
      <c r="C43" s="8">
        <v>22.77813613</v>
      </c>
      <c r="D43" s="8">
        <v>0.366666667</v>
      </c>
      <c r="F43" s="5" t="s">
        <v>5</v>
      </c>
      <c r="G43" s="5"/>
      <c r="L43">
        <v>17</v>
      </c>
      <c r="M43">
        <v>3.1214558580224967</v>
      </c>
      <c r="N43">
        <v>0.31854414197750325</v>
      </c>
    </row>
    <row r="44" spans="1:14" x14ac:dyDescent="0.25">
      <c r="A44" s="8">
        <v>3.12</v>
      </c>
      <c r="B44" s="6">
        <v>6</v>
      </c>
      <c r="C44" s="8">
        <v>23.68351195</v>
      </c>
      <c r="D44" s="8">
        <v>0.15</v>
      </c>
      <c r="L44">
        <v>18</v>
      </c>
      <c r="M44">
        <v>3.8245623239734448</v>
      </c>
      <c r="N44">
        <v>-0.25456232397344492</v>
      </c>
    </row>
    <row r="45" spans="1:14" x14ac:dyDescent="0.25">
      <c r="A45" s="8">
        <v>3.84</v>
      </c>
      <c r="B45" s="6">
        <v>12</v>
      </c>
      <c r="C45" s="8">
        <v>22.852777769999999</v>
      </c>
      <c r="D45" s="8">
        <v>0.6</v>
      </c>
      <c r="F45" t="s">
        <v>45</v>
      </c>
      <c r="G45">
        <v>22.967524558921898</v>
      </c>
      <c r="L45">
        <v>19</v>
      </c>
      <c r="M45">
        <v>1.7121418860436113</v>
      </c>
      <c r="N45">
        <v>0.23785811395638867</v>
      </c>
    </row>
    <row r="46" spans="1:14" x14ac:dyDescent="0.25">
      <c r="A46" s="8">
        <v>3.87</v>
      </c>
      <c r="B46" s="6">
        <v>11</v>
      </c>
      <c r="C46" s="8">
        <v>23.518778619999999</v>
      </c>
      <c r="D46" s="8">
        <v>0.27500000000000002</v>
      </c>
      <c r="F46" t="s">
        <v>46</v>
      </c>
      <c r="G46">
        <v>5.1099179420984825E-2</v>
      </c>
      <c r="L46">
        <v>20</v>
      </c>
      <c r="M46">
        <v>3.2036060114650002</v>
      </c>
      <c r="N46">
        <v>-0.28360601146500031</v>
      </c>
    </row>
    <row r="47" spans="1:14" x14ac:dyDescent="0.25">
      <c r="A47" s="8">
        <v>4.0599999999999996</v>
      </c>
      <c r="B47" s="6">
        <v>13</v>
      </c>
      <c r="C47" s="8">
        <v>21.344213839999998</v>
      </c>
      <c r="D47" s="8">
        <v>0.65</v>
      </c>
      <c r="F47" t="s">
        <v>47</v>
      </c>
      <c r="G47">
        <v>22.930630225226441</v>
      </c>
      <c r="L47">
        <v>21</v>
      </c>
      <c r="M47">
        <v>3.6684971423024235</v>
      </c>
      <c r="N47">
        <v>0.20150285769757659</v>
      </c>
    </row>
    <row r="48" spans="1:14" x14ac:dyDescent="0.25">
      <c r="A48" s="8">
        <v>4.05</v>
      </c>
      <c r="B48" s="6">
        <v>10</v>
      </c>
      <c r="C48" s="8">
        <v>24.2907519</v>
      </c>
      <c r="D48" s="8">
        <v>0.4</v>
      </c>
      <c r="F48" t="s">
        <v>48</v>
      </c>
      <c r="G48" t="e">
        <v>#N/A</v>
      </c>
      <c r="L48">
        <v>22</v>
      </c>
      <c r="M48">
        <v>3.7399385631292721</v>
      </c>
      <c r="N48">
        <v>8.0061436870727754E-2</v>
      </c>
    </row>
    <row r="49" spans="1:14" x14ac:dyDescent="0.25">
      <c r="A49" s="8">
        <v>1.49</v>
      </c>
      <c r="B49" s="6">
        <v>3</v>
      </c>
      <c r="C49" s="8">
        <v>25.116848969999999</v>
      </c>
      <c r="D49" s="8">
        <v>0.12</v>
      </c>
      <c r="F49" t="s">
        <v>49</v>
      </c>
      <c r="G49">
        <v>1.9770826557922418</v>
      </c>
      <c r="L49">
        <v>23</v>
      </c>
      <c r="M49">
        <v>3.1835528665961346</v>
      </c>
      <c r="N49">
        <v>9.6447133403865237E-2</v>
      </c>
    </row>
    <row r="50" spans="1:14" x14ac:dyDescent="0.25">
      <c r="A50" s="8">
        <v>3.37</v>
      </c>
      <c r="B50" s="6">
        <v>12</v>
      </c>
      <c r="C50" s="8">
        <v>22.43722979</v>
      </c>
      <c r="D50" s="8">
        <v>0.3</v>
      </c>
      <c r="F50" t="s">
        <v>50</v>
      </c>
      <c r="G50">
        <v>3.908855827834504</v>
      </c>
      <c r="L50">
        <v>24</v>
      </c>
      <c r="M50">
        <v>5.26684420331308</v>
      </c>
      <c r="N50">
        <v>-0.2768442033130798</v>
      </c>
    </row>
    <row r="51" spans="1:14" x14ac:dyDescent="0.25">
      <c r="A51" s="8">
        <v>2.2799999999999998</v>
      </c>
      <c r="B51" s="6">
        <v>6</v>
      </c>
      <c r="C51" s="8">
        <v>23.733196490000001</v>
      </c>
      <c r="D51" s="8">
        <v>0.3</v>
      </c>
      <c r="F51" t="s">
        <v>51</v>
      </c>
      <c r="G51">
        <v>0.20786427214317316</v>
      </c>
      <c r="L51">
        <v>25</v>
      </c>
      <c r="M51">
        <v>2.231904528406643</v>
      </c>
      <c r="N51">
        <v>-0.16190452840664316</v>
      </c>
    </row>
    <row r="52" spans="1:14" x14ac:dyDescent="0.25">
      <c r="A52" s="8">
        <v>2.3199999999999998</v>
      </c>
      <c r="B52" s="6">
        <v>7</v>
      </c>
      <c r="C52" s="8">
        <v>21.939484759999999</v>
      </c>
      <c r="D52" s="8">
        <v>0.28000000000000003</v>
      </c>
      <c r="F52" t="s">
        <v>52</v>
      </c>
      <c r="G52">
        <v>-3.4134786365345476E-2</v>
      </c>
      <c r="L52">
        <v>26</v>
      </c>
      <c r="M52">
        <v>2.6074495883577793</v>
      </c>
      <c r="N52">
        <v>0.8625504116422209</v>
      </c>
    </row>
    <row r="53" spans="1:14" x14ac:dyDescent="0.25">
      <c r="A53" s="8">
        <v>1.28</v>
      </c>
      <c r="B53" s="6">
        <v>4</v>
      </c>
      <c r="C53" s="8">
        <v>23.114948009999999</v>
      </c>
      <c r="D53" s="8">
        <v>0.2</v>
      </c>
      <c r="F53" t="s">
        <v>53</v>
      </c>
      <c r="G53">
        <v>14.599566341401971</v>
      </c>
      <c r="L53">
        <v>27</v>
      </c>
      <c r="M53">
        <v>3.2170727400953192</v>
      </c>
      <c r="N53">
        <v>0.41292725990468071</v>
      </c>
    </row>
    <row r="54" spans="1:14" x14ac:dyDescent="0.25">
      <c r="A54" s="8">
        <v>2.77</v>
      </c>
      <c r="B54" s="6">
        <v>7</v>
      </c>
      <c r="C54" s="8">
        <v>24.702708529999999</v>
      </c>
      <c r="D54" s="8">
        <v>0.35</v>
      </c>
      <c r="F54" t="s">
        <v>54</v>
      </c>
      <c r="G54">
        <v>15.15519949676332</v>
      </c>
      <c r="L54">
        <v>28</v>
      </c>
      <c r="M54">
        <v>3.1535680628478362</v>
      </c>
      <c r="N54">
        <v>0.69643193715216389</v>
      </c>
    </row>
    <row r="55" spans="1:14" x14ac:dyDescent="0.25">
      <c r="A55" s="8">
        <v>3.16</v>
      </c>
      <c r="B55" s="6">
        <v>9</v>
      </c>
      <c r="C55" s="8">
        <v>24.702804180000001</v>
      </c>
      <c r="D55" s="8">
        <v>0.22500000000000001</v>
      </c>
      <c r="F55" t="s">
        <v>55</v>
      </c>
      <c r="G55">
        <v>29.754765838165291</v>
      </c>
      <c r="L55">
        <v>29</v>
      </c>
      <c r="M55">
        <v>2.1420552471932366</v>
      </c>
      <c r="N55">
        <v>0.17794475280676325</v>
      </c>
    </row>
    <row r="56" spans="1:14" x14ac:dyDescent="0.25">
      <c r="A56" s="8">
        <v>2.52</v>
      </c>
      <c r="B56" s="6">
        <v>8</v>
      </c>
      <c r="C56" s="8">
        <v>21.706854230000001</v>
      </c>
      <c r="D56" s="8">
        <v>0.2</v>
      </c>
      <c r="F56" t="s">
        <v>56</v>
      </c>
      <c r="G56">
        <v>34382.384264706081</v>
      </c>
      <c r="L56">
        <v>30</v>
      </c>
      <c r="M56">
        <v>2.7534759284698387</v>
      </c>
      <c r="N56">
        <v>0.55652407153016137</v>
      </c>
    </row>
    <row r="57" spans="1:14" x14ac:dyDescent="0.25">
      <c r="A57" s="8">
        <v>3.13</v>
      </c>
      <c r="B57" s="6">
        <v>10</v>
      </c>
      <c r="C57" s="8">
        <v>22.223861620000001</v>
      </c>
      <c r="D57" s="8">
        <v>0.5</v>
      </c>
      <c r="F57" t="s">
        <v>57</v>
      </c>
      <c r="G57">
        <v>1497</v>
      </c>
      <c r="L57">
        <v>31</v>
      </c>
      <c r="M57">
        <v>2.7965747675733295</v>
      </c>
      <c r="N57">
        <v>-0.13657476757332931</v>
      </c>
    </row>
    <row r="58" spans="1:14" ht="15.75" thickBot="1" x14ac:dyDescent="0.3">
      <c r="A58" s="8">
        <v>2.7</v>
      </c>
      <c r="B58" s="6">
        <v>8</v>
      </c>
      <c r="C58" s="8">
        <v>21.698714859999999</v>
      </c>
      <c r="D58" s="8">
        <v>0.2</v>
      </c>
      <c r="F58" s="1" t="s">
        <v>62</v>
      </c>
      <c r="G58" s="1">
        <v>0.10023364594390259</v>
      </c>
      <c r="L58">
        <v>32</v>
      </c>
      <c r="M58">
        <v>4.0660022837744778</v>
      </c>
      <c r="N58">
        <v>-0.21600228377447772</v>
      </c>
    </row>
    <row r="59" spans="1:14" x14ac:dyDescent="0.25">
      <c r="A59" s="8">
        <v>2.54</v>
      </c>
      <c r="B59" s="6">
        <v>6</v>
      </c>
      <c r="C59" s="8">
        <v>23.780506540000001</v>
      </c>
      <c r="D59" s="8">
        <v>0.2</v>
      </c>
      <c r="L59">
        <v>33</v>
      </c>
      <c r="M59">
        <v>2.3749453454905574</v>
      </c>
      <c r="N59">
        <v>-0.27494534549055727</v>
      </c>
    </row>
    <row r="60" spans="1:14" x14ac:dyDescent="0.25">
      <c r="A60" s="8">
        <v>2.84</v>
      </c>
      <c r="B60" s="6">
        <v>10</v>
      </c>
      <c r="C60" s="8">
        <v>21.47348169</v>
      </c>
      <c r="D60" s="8">
        <v>0.33333333300000001</v>
      </c>
      <c r="L60">
        <v>34</v>
      </c>
      <c r="M60">
        <v>4.6971741485442777</v>
      </c>
      <c r="N60">
        <v>8.2825851455722521E-2</v>
      </c>
    </row>
    <row r="61" spans="1:14" x14ac:dyDescent="0.25">
      <c r="A61" s="8">
        <v>2.8</v>
      </c>
      <c r="B61" s="6">
        <v>6</v>
      </c>
      <c r="C61" s="8">
        <v>28.56755485</v>
      </c>
      <c r="D61" s="8">
        <v>0.2</v>
      </c>
      <c r="L61">
        <v>35</v>
      </c>
      <c r="M61">
        <v>3.099653416108429</v>
      </c>
      <c r="N61">
        <v>-8.9653416108429251E-2</v>
      </c>
    </row>
    <row r="62" spans="1:14" x14ac:dyDescent="0.25">
      <c r="A62" s="8">
        <v>1.81</v>
      </c>
      <c r="B62" s="6">
        <v>3</v>
      </c>
      <c r="C62" s="8">
        <v>21.796062639999999</v>
      </c>
      <c r="D62" s="8">
        <v>0.1</v>
      </c>
      <c r="L62">
        <v>36</v>
      </c>
      <c r="M62">
        <v>3.7997024798812173</v>
      </c>
      <c r="N62">
        <v>-0.27970247988121733</v>
      </c>
    </row>
    <row r="63" spans="1:14" x14ac:dyDescent="0.25">
      <c r="A63" s="8">
        <v>3.93</v>
      </c>
      <c r="B63" s="6">
        <v>12</v>
      </c>
      <c r="C63" s="8">
        <v>23.173179569999999</v>
      </c>
      <c r="D63" s="8">
        <v>0.6</v>
      </c>
      <c r="L63">
        <v>37</v>
      </c>
      <c r="M63">
        <v>2.8477691339610498</v>
      </c>
      <c r="N63">
        <v>-0.2277691339610497</v>
      </c>
    </row>
    <row r="64" spans="1:14" x14ac:dyDescent="0.25">
      <c r="A64" s="8">
        <v>2.92</v>
      </c>
      <c r="B64" s="6">
        <v>6</v>
      </c>
      <c r="C64" s="8">
        <v>24.086966310000001</v>
      </c>
      <c r="D64" s="8">
        <v>0.24</v>
      </c>
      <c r="L64">
        <v>38</v>
      </c>
      <c r="M64">
        <v>2.2233548126844642</v>
      </c>
      <c r="N64">
        <v>-7.335481268446431E-2</v>
      </c>
    </row>
    <row r="65" spans="1:14" x14ac:dyDescent="0.25">
      <c r="A65" s="8">
        <v>3.88</v>
      </c>
      <c r="B65" s="6">
        <v>11</v>
      </c>
      <c r="C65" s="8">
        <v>22.521642669999999</v>
      </c>
      <c r="D65" s="8">
        <v>0.27500000000000002</v>
      </c>
      <c r="L65">
        <v>39</v>
      </c>
      <c r="M65">
        <v>3.546088402472078</v>
      </c>
      <c r="N65">
        <v>-0.18608840247207814</v>
      </c>
    </row>
    <row r="66" spans="1:14" x14ac:dyDescent="0.25">
      <c r="A66" s="8">
        <v>3.58</v>
      </c>
      <c r="B66" s="6">
        <v>10</v>
      </c>
      <c r="C66" s="8">
        <v>23.363732509999998</v>
      </c>
      <c r="D66" s="8">
        <v>0.25</v>
      </c>
      <c r="L66">
        <v>40</v>
      </c>
      <c r="M66">
        <v>2.321651191735465</v>
      </c>
      <c r="N66">
        <v>-3.1651191735464934E-2</v>
      </c>
    </row>
    <row r="67" spans="1:14" x14ac:dyDescent="0.25">
      <c r="A67" s="8">
        <v>2.52</v>
      </c>
      <c r="B67" s="6">
        <v>4</v>
      </c>
      <c r="C67" s="8">
        <v>26.019542619999999</v>
      </c>
      <c r="D67" s="8">
        <v>0.1</v>
      </c>
      <c r="L67">
        <v>41</v>
      </c>
      <c r="M67">
        <v>2.5848874518406424</v>
      </c>
      <c r="N67">
        <v>0.18511254815935763</v>
      </c>
    </row>
    <row r="68" spans="1:14" x14ac:dyDescent="0.25">
      <c r="A68" s="8">
        <v>2.9</v>
      </c>
      <c r="B68" s="6">
        <v>8</v>
      </c>
      <c r="C68" s="8">
        <v>24.513977229999998</v>
      </c>
      <c r="D68" s="8">
        <v>0.2</v>
      </c>
      <c r="L68">
        <v>42</v>
      </c>
      <c r="M68">
        <v>3.7783360477873247</v>
      </c>
      <c r="N68">
        <v>0.18166395221267528</v>
      </c>
    </row>
    <row r="69" spans="1:14" x14ac:dyDescent="0.25">
      <c r="A69" s="8">
        <v>4.3</v>
      </c>
      <c r="B69" s="6">
        <v>10</v>
      </c>
      <c r="C69" s="8">
        <v>23.361061679999999</v>
      </c>
      <c r="D69" s="8">
        <v>0.25</v>
      </c>
      <c r="L69">
        <v>43</v>
      </c>
      <c r="M69">
        <v>2.6160215742607846</v>
      </c>
      <c r="N69">
        <v>0.50397842573921547</v>
      </c>
    </row>
    <row r="70" spans="1:14" x14ac:dyDescent="0.25">
      <c r="A70" s="8">
        <v>3.87</v>
      </c>
      <c r="B70" s="6">
        <v>9</v>
      </c>
      <c r="C70" s="8">
        <v>20.317109680000002</v>
      </c>
      <c r="D70" s="8">
        <v>0.45</v>
      </c>
      <c r="L70">
        <v>44</v>
      </c>
      <c r="M70">
        <v>4.0254285298369101</v>
      </c>
      <c r="N70">
        <v>-0.18542852983691027</v>
      </c>
    </row>
    <row r="71" spans="1:14" x14ac:dyDescent="0.25">
      <c r="A71" s="8">
        <v>3.77</v>
      </c>
      <c r="B71" s="6">
        <v>12</v>
      </c>
      <c r="C71" s="8">
        <v>22.683984200000001</v>
      </c>
      <c r="D71" s="8">
        <v>0.4</v>
      </c>
      <c r="L71">
        <v>45</v>
      </c>
      <c r="M71">
        <v>3.8207082885976611</v>
      </c>
      <c r="N71">
        <v>4.9291711402339011E-2</v>
      </c>
    </row>
    <row r="72" spans="1:14" x14ac:dyDescent="0.25">
      <c r="A72" s="8">
        <v>2.0699999999999998</v>
      </c>
      <c r="B72" s="6">
        <v>4</v>
      </c>
      <c r="C72" s="8">
        <v>22.540240860000001</v>
      </c>
      <c r="D72" s="8">
        <v>0.1</v>
      </c>
      <c r="L72">
        <v>46</v>
      </c>
      <c r="M72">
        <v>4.1819456417584515</v>
      </c>
      <c r="N72">
        <v>-0.12194564175845191</v>
      </c>
    </row>
    <row r="73" spans="1:14" x14ac:dyDescent="0.25">
      <c r="A73" s="8">
        <v>2.94</v>
      </c>
      <c r="B73" s="6">
        <v>6</v>
      </c>
      <c r="C73" s="8">
        <v>17.606226710000001</v>
      </c>
      <c r="D73" s="8">
        <v>0.3</v>
      </c>
      <c r="L73">
        <v>47</v>
      </c>
      <c r="M73">
        <v>3.6220507420914902</v>
      </c>
      <c r="N73">
        <v>0.42794925790850957</v>
      </c>
    </row>
    <row r="74" spans="1:14" x14ac:dyDescent="0.25">
      <c r="A74" s="8">
        <v>2.34</v>
      </c>
      <c r="B74" s="6">
        <v>6</v>
      </c>
      <c r="C74" s="8">
        <v>21.40177886</v>
      </c>
      <c r="D74" s="8">
        <v>0.15</v>
      </c>
      <c r="L74">
        <v>48</v>
      </c>
      <c r="M74">
        <v>1.9695562715626234</v>
      </c>
      <c r="N74">
        <v>-0.47955627156262337</v>
      </c>
    </row>
    <row r="75" spans="1:14" x14ac:dyDescent="0.25">
      <c r="A75" s="8">
        <v>2.78</v>
      </c>
      <c r="B75" s="6">
        <v>8</v>
      </c>
      <c r="C75" s="8">
        <v>22.934493459999999</v>
      </c>
      <c r="D75" s="8">
        <v>0.2</v>
      </c>
      <c r="L75">
        <v>49</v>
      </c>
      <c r="M75">
        <v>4.0016549827955989</v>
      </c>
      <c r="N75">
        <v>-0.63165498279559884</v>
      </c>
    </row>
    <row r="76" spans="1:14" x14ac:dyDescent="0.25">
      <c r="A76" s="8">
        <v>2.96</v>
      </c>
      <c r="B76" s="6">
        <v>8</v>
      </c>
      <c r="C76" s="8">
        <v>23.579684530000002</v>
      </c>
      <c r="D76" s="8">
        <v>0.4</v>
      </c>
      <c r="L76">
        <v>50</v>
      </c>
      <c r="M76">
        <v>2.6188640324263037</v>
      </c>
      <c r="N76">
        <v>-0.33886403242630392</v>
      </c>
    </row>
    <row r="77" spans="1:14" x14ac:dyDescent="0.25">
      <c r="A77" s="8">
        <v>3.11</v>
      </c>
      <c r="B77" s="6">
        <v>6</v>
      </c>
      <c r="C77" s="8">
        <v>24.87135679</v>
      </c>
      <c r="D77" s="8">
        <v>0.15</v>
      </c>
      <c r="L77">
        <v>51</v>
      </c>
      <c r="M77">
        <v>2.7590678063861822</v>
      </c>
      <c r="N77">
        <v>-0.43906780638618237</v>
      </c>
    </row>
    <row r="78" spans="1:14" x14ac:dyDescent="0.25">
      <c r="A78" s="8">
        <v>1.94</v>
      </c>
      <c r="B78" s="6">
        <v>4</v>
      </c>
      <c r="C78" s="8">
        <v>23.19749156</v>
      </c>
      <c r="D78" s="8">
        <v>0.16</v>
      </c>
      <c r="L78">
        <v>52</v>
      </c>
      <c r="M78">
        <v>2.0978495160743762</v>
      </c>
      <c r="N78">
        <v>-0.81784951607437617</v>
      </c>
    </row>
    <row r="79" spans="1:14" x14ac:dyDescent="0.25">
      <c r="A79" s="8">
        <v>3.16</v>
      </c>
      <c r="B79" s="6">
        <v>8</v>
      </c>
      <c r="C79" s="8">
        <v>20.837873340000002</v>
      </c>
      <c r="D79" s="8">
        <v>0.26666666700000002</v>
      </c>
      <c r="L79">
        <v>53</v>
      </c>
      <c r="M79">
        <v>2.9171521515002254</v>
      </c>
      <c r="N79">
        <v>-0.14715215150022543</v>
      </c>
    </row>
    <row r="80" spans="1:14" x14ac:dyDescent="0.25">
      <c r="A80" s="8">
        <v>1.42</v>
      </c>
      <c r="B80" s="6">
        <v>3</v>
      </c>
      <c r="C80" s="8">
        <v>23.652266040000001</v>
      </c>
      <c r="D80" s="8">
        <v>0.15</v>
      </c>
      <c r="L80">
        <v>54</v>
      </c>
      <c r="M80">
        <v>3.4028020743755474</v>
      </c>
      <c r="N80">
        <v>-0.24280207437554724</v>
      </c>
    </row>
    <row r="81" spans="1:14" x14ac:dyDescent="0.25">
      <c r="A81" s="8">
        <v>3.51</v>
      </c>
      <c r="B81" s="6">
        <v>10</v>
      </c>
      <c r="C81" s="8">
        <v>19.493061170000001</v>
      </c>
      <c r="D81" s="8">
        <v>0.4</v>
      </c>
      <c r="L81">
        <v>55</v>
      </c>
      <c r="M81">
        <v>2.9885812127584392</v>
      </c>
      <c r="N81">
        <v>-0.46858121275843923</v>
      </c>
    </row>
    <row r="82" spans="1:14" x14ac:dyDescent="0.25">
      <c r="A82" s="8">
        <v>2.5299999999999998</v>
      </c>
      <c r="B82" s="6">
        <v>8</v>
      </c>
      <c r="C82" s="8">
        <v>23.615603539999999</v>
      </c>
      <c r="D82" s="8">
        <v>0.4</v>
      </c>
      <c r="L82">
        <v>56</v>
      </c>
      <c r="M82">
        <v>3.5038037148750218</v>
      </c>
      <c r="N82">
        <v>-0.37380371487502195</v>
      </c>
    </row>
    <row r="83" spans="1:14" x14ac:dyDescent="0.25">
      <c r="A83" s="8">
        <v>3.3</v>
      </c>
      <c r="B83" s="6">
        <v>8</v>
      </c>
      <c r="C83" s="8">
        <v>19.740814029999999</v>
      </c>
      <c r="D83" s="8">
        <v>0.2</v>
      </c>
      <c r="L83">
        <v>57</v>
      </c>
      <c r="M83">
        <v>2.9881155584780803</v>
      </c>
      <c r="N83">
        <v>-0.28811555847808012</v>
      </c>
    </row>
    <row r="84" spans="1:14" x14ac:dyDescent="0.25">
      <c r="A84" s="8">
        <v>3.16</v>
      </c>
      <c r="B84" s="6">
        <v>5</v>
      </c>
      <c r="C84" s="8">
        <v>26.241066889999999</v>
      </c>
      <c r="D84" s="8">
        <v>0.2</v>
      </c>
      <c r="L84">
        <v>58</v>
      </c>
      <c r="M84">
        <v>2.6215706457497561</v>
      </c>
      <c r="N84">
        <v>-8.1570645749756032E-2</v>
      </c>
    </row>
    <row r="85" spans="1:14" x14ac:dyDescent="0.25">
      <c r="A85" s="8">
        <v>2.66</v>
      </c>
      <c r="B85" s="6">
        <v>7</v>
      </c>
      <c r="C85" s="8">
        <v>22.30397383</v>
      </c>
      <c r="D85" s="8">
        <v>0.28000000000000003</v>
      </c>
      <c r="L85">
        <v>59</v>
      </c>
      <c r="M85">
        <v>3.4608743940184734</v>
      </c>
      <c r="N85">
        <v>-0.62087439401847355</v>
      </c>
    </row>
    <row r="86" spans="1:14" x14ac:dyDescent="0.25">
      <c r="A86" s="8">
        <v>3.28</v>
      </c>
      <c r="B86" s="6">
        <v>9</v>
      </c>
      <c r="C86" s="8">
        <v>23.19064161</v>
      </c>
      <c r="D86" s="8">
        <v>0.45</v>
      </c>
      <c r="L86">
        <v>60</v>
      </c>
      <c r="M86">
        <v>2.8954382222130395</v>
      </c>
      <c r="N86">
        <v>-9.5438222213039658E-2</v>
      </c>
    </row>
    <row r="87" spans="1:14" x14ac:dyDescent="0.25">
      <c r="A87" s="8">
        <v>2.69</v>
      </c>
      <c r="B87" s="6">
        <v>4</v>
      </c>
      <c r="C87" s="8">
        <v>28.12016908</v>
      </c>
      <c r="D87" s="8">
        <v>0.2</v>
      </c>
      <c r="L87">
        <v>61</v>
      </c>
      <c r="M87">
        <v>1.7795737091870407</v>
      </c>
      <c r="N87">
        <v>3.0426290812959333E-2</v>
      </c>
    </row>
    <row r="88" spans="1:14" x14ac:dyDescent="0.25">
      <c r="A88" s="8">
        <v>2.74</v>
      </c>
      <c r="B88" s="6">
        <v>7</v>
      </c>
      <c r="C88" s="8">
        <v>24.415503869999998</v>
      </c>
      <c r="D88" s="8">
        <v>0.233333333</v>
      </c>
      <c r="L88">
        <v>62</v>
      </c>
      <c r="M88">
        <v>4.0437587531348802</v>
      </c>
      <c r="N88">
        <v>-0.11375875313488004</v>
      </c>
    </row>
    <row r="89" spans="1:14" x14ac:dyDescent="0.25">
      <c r="A89" s="8">
        <v>2.85</v>
      </c>
      <c r="B89" s="6">
        <v>9</v>
      </c>
      <c r="C89" s="8">
        <v>23.355402000000002</v>
      </c>
      <c r="D89" s="8">
        <v>0.45</v>
      </c>
      <c r="L89">
        <v>63</v>
      </c>
      <c r="M89">
        <v>2.6391032439309923</v>
      </c>
      <c r="N89">
        <v>0.28089675606900766</v>
      </c>
    </row>
    <row r="90" spans="1:14" x14ac:dyDescent="0.25">
      <c r="A90" s="8">
        <v>3.89</v>
      </c>
      <c r="B90" s="6">
        <v>11</v>
      </c>
      <c r="C90" s="8">
        <v>23.85923644</v>
      </c>
      <c r="D90" s="8">
        <v>0.27500000000000002</v>
      </c>
      <c r="L90">
        <v>64</v>
      </c>
      <c r="M90">
        <v>3.7636620278652484</v>
      </c>
      <c r="N90">
        <v>0.1163379721347515</v>
      </c>
    </row>
    <row r="91" spans="1:14" x14ac:dyDescent="0.25">
      <c r="A91" s="8">
        <v>3.22</v>
      </c>
      <c r="B91" s="6">
        <v>9</v>
      </c>
      <c r="C91" s="8">
        <v>23.056636749999999</v>
      </c>
      <c r="D91" s="8">
        <v>0.22500000000000001</v>
      </c>
      <c r="L91">
        <v>65</v>
      </c>
      <c r="M91">
        <v>3.5690158577049207</v>
      </c>
      <c r="N91">
        <v>1.098414229507938E-2</v>
      </c>
    </row>
    <row r="92" spans="1:14" x14ac:dyDescent="0.25">
      <c r="A92" s="8">
        <v>2.12</v>
      </c>
      <c r="B92" s="6">
        <v>5</v>
      </c>
      <c r="C92" s="8">
        <v>23.444267539999998</v>
      </c>
      <c r="D92" s="8">
        <v>0.16666666699999999</v>
      </c>
      <c r="L92">
        <v>66</v>
      </c>
      <c r="M92">
        <v>2.2640217029702754</v>
      </c>
      <c r="N92">
        <v>0.25597829702972463</v>
      </c>
    </row>
    <row r="93" spans="1:14" x14ac:dyDescent="0.25">
      <c r="A93" s="8">
        <v>3.54</v>
      </c>
      <c r="B93" s="6">
        <v>9</v>
      </c>
      <c r="C93" s="8">
        <v>23.164567980000001</v>
      </c>
      <c r="D93" s="8">
        <v>0.36</v>
      </c>
      <c r="L93">
        <v>67</v>
      </c>
      <c r="M93">
        <v>3.1491770377970925</v>
      </c>
      <c r="N93">
        <v>-0.24917703779709255</v>
      </c>
    </row>
    <row r="94" spans="1:14" x14ac:dyDescent="0.25">
      <c r="A94" s="8">
        <v>4.53</v>
      </c>
      <c r="B94" s="6">
        <v>15</v>
      </c>
      <c r="C94" s="8">
        <v>20.311098980000001</v>
      </c>
      <c r="D94" s="8">
        <v>0.75</v>
      </c>
      <c r="L94">
        <v>68</v>
      </c>
      <c r="M94">
        <v>3.5688630592178621</v>
      </c>
      <c r="N94">
        <v>0.73113694078213776</v>
      </c>
    </row>
    <row r="95" spans="1:14" x14ac:dyDescent="0.25">
      <c r="A95" s="8">
        <v>1.76</v>
      </c>
      <c r="B95" s="6">
        <v>3</v>
      </c>
      <c r="C95" s="8">
        <v>22.930630229999998</v>
      </c>
      <c r="D95" s="8">
        <v>0.15</v>
      </c>
      <c r="L95">
        <v>69</v>
      </c>
      <c r="M95">
        <v>3.1518959948788581</v>
      </c>
      <c r="N95">
        <v>0.71810400512114203</v>
      </c>
    </row>
    <row r="96" spans="1:14" x14ac:dyDescent="0.25">
      <c r="A96" s="8">
        <v>3.9</v>
      </c>
      <c r="B96" s="6">
        <v>11</v>
      </c>
      <c r="C96" s="8">
        <v>23.332904419999998</v>
      </c>
      <c r="D96" s="8">
        <v>0.55000000000000004</v>
      </c>
      <c r="L96">
        <v>70</v>
      </c>
      <c r="M96">
        <v>4.01577183056318</v>
      </c>
      <c r="N96">
        <v>-0.24577183056317997</v>
      </c>
    </row>
    <row r="97" spans="1:14" x14ac:dyDescent="0.25">
      <c r="A97" s="8">
        <v>2.95</v>
      </c>
      <c r="B97" s="6">
        <v>7</v>
      </c>
      <c r="C97" s="8">
        <v>25.841008500000001</v>
      </c>
      <c r="D97" s="8">
        <v>0.17499999999999999</v>
      </c>
      <c r="L97">
        <v>71</v>
      </c>
      <c r="M97">
        <v>2.0649704548754682</v>
      </c>
      <c r="N97">
        <v>5.0295451245316869E-3</v>
      </c>
    </row>
    <row r="98" spans="1:14" x14ac:dyDescent="0.25">
      <c r="A98" s="8">
        <v>3.02</v>
      </c>
      <c r="B98" s="6">
        <v>8</v>
      </c>
      <c r="C98" s="8">
        <v>22.274929950000001</v>
      </c>
      <c r="D98" s="8">
        <v>0.32</v>
      </c>
      <c r="L98">
        <v>72</v>
      </c>
      <c r="M98">
        <v>2.2683393967740724</v>
      </c>
      <c r="N98">
        <v>0.67166060322592758</v>
      </c>
    </row>
    <row r="99" spans="1:14" x14ac:dyDescent="0.25">
      <c r="A99" s="8">
        <v>3.98</v>
      </c>
      <c r="B99" s="6">
        <v>10</v>
      </c>
      <c r="C99" s="8">
        <v>22.93374605</v>
      </c>
      <c r="D99" s="8">
        <v>0.25</v>
      </c>
      <c r="L99">
        <v>73</v>
      </c>
      <c r="M99">
        <v>2.4854833655301567</v>
      </c>
      <c r="N99">
        <v>-0.14548336553015684</v>
      </c>
    </row>
    <row r="100" spans="1:14" x14ac:dyDescent="0.25">
      <c r="A100" s="8">
        <v>2.91</v>
      </c>
      <c r="B100" s="6">
        <v>6</v>
      </c>
      <c r="C100" s="8">
        <v>25.411256160000001</v>
      </c>
      <c r="D100" s="8">
        <v>0.3</v>
      </c>
      <c r="L100">
        <v>74</v>
      </c>
      <c r="M100">
        <v>3.058814592268944</v>
      </c>
      <c r="N100">
        <v>-0.27881459226894423</v>
      </c>
    </row>
    <row r="101" spans="1:14" x14ac:dyDescent="0.25">
      <c r="A101" s="8">
        <v>4.34</v>
      </c>
      <c r="B101" s="6">
        <v>15</v>
      </c>
      <c r="C101" s="8">
        <v>22.259353260000001</v>
      </c>
      <c r="D101" s="8">
        <v>0.6</v>
      </c>
      <c r="L101">
        <v>75</v>
      </c>
      <c r="M101">
        <v>3.0957260465209391</v>
      </c>
      <c r="N101">
        <v>-0.13572604652093911</v>
      </c>
    </row>
    <row r="102" spans="1:14" x14ac:dyDescent="0.25">
      <c r="A102" s="8">
        <v>2</v>
      </c>
      <c r="B102" s="6">
        <v>5</v>
      </c>
      <c r="C102" s="8">
        <v>24.635505389999999</v>
      </c>
      <c r="D102" s="8">
        <v>0.125</v>
      </c>
      <c r="L102">
        <v>76</v>
      </c>
      <c r="M102">
        <v>2.683978312208394</v>
      </c>
      <c r="N102">
        <v>0.42602168779160587</v>
      </c>
    </row>
    <row r="103" spans="1:14" x14ac:dyDescent="0.25">
      <c r="A103" s="8">
        <v>4.38</v>
      </c>
      <c r="B103" s="6">
        <v>13</v>
      </c>
      <c r="C103" s="8">
        <v>23.351091660000002</v>
      </c>
      <c r="D103" s="8">
        <v>0.65</v>
      </c>
      <c r="L103">
        <v>77</v>
      </c>
      <c r="M103">
        <v>2.1025718419268129</v>
      </c>
      <c r="N103">
        <v>-0.16257184192681295</v>
      </c>
    </row>
    <row r="104" spans="1:14" x14ac:dyDescent="0.25">
      <c r="A104" s="8">
        <v>2.09</v>
      </c>
      <c r="B104" s="6">
        <v>5</v>
      </c>
      <c r="C104" s="8">
        <v>22.039736260000002</v>
      </c>
      <c r="D104" s="8">
        <v>0.25</v>
      </c>
      <c r="L104">
        <v>78</v>
      </c>
      <c r="M104">
        <v>2.9388667175359737</v>
      </c>
      <c r="N104">
        <v>0.22113328246402641</v>
      </c>
    </row>
    <row r="105" spans="1:14" x14ac:dyDescent="0.25">
      <c r="A105" s="8">
        <v>2.0499999999999998</v>
      </c>
      <c r="B105" s="6">
        <v>7</v>
      </c>
      <c r="C105" s="8">
        <v>22.73792319</v>
      </c>
      <c r="D105" s="8">
        <v>0.17499999999999999</v>
      </c>
      <c r="L105">
        <v>79</v>
      </c>
      <c r="M105">
        <v>1.8857673161157558</v>
      </c>
      <c r="N105">
        <v>-0.46576731611575584</v>
      </c>
    </row>
    <row r="106" spans="1:14" x14ac:dyDescent="0.25">
      <c r="A106" s="8">
        <v>3.35</v>
      </c>
      <c r="B106" s="6">
        <v>10</v>
      </c>
      <c r="C106" s="8">
        <v>23.487601430000002</v>
      </c>
      <c r="D106" s="8">
        <v>0.33333333300000001</v>
      </c>
      <c r="L106">
        <v>80</v>
      </c>
      <c r="M106">
        <v>3.3475743115736076</v>
      </c>
      <c r="N106">
        <v>0.16242568842639216</v>
      </c>
    </row>
    <row r="107" spans="1:14" x14ac:dyDescent="0.25">
      <c r="A107" s="8">
        <v>3.26</v>
      </c>
      <c r="B107" s="6">
        <v>9</v>
      </c>
      <c r="C107" s="8">
        <v>22.908827970000001</v>
      </c>
      <c r="D107" s="8">
        <v>0.45</v>
      </c>
      <c r="L107">
        <v>81</v>
      </c>
      <c r="M107">
        <v>3.0977809771547307</v>
      </c>
      <c r="N107">
        <v>-0.56778097715473086</v>
      </c>
    </row>
    <row r="108" spans="1:14" x14ac:dyDescent="0.25">
      <c r="A108" s="8">
        <v>2.5099999999999998</v>
      </c>
      <c r="B108" s="6">
        <v>5</v>
      </c>
      <c r="C108" s="8">
        <v>22.835697639999999</v>
      </c>
      <c r="D108" s="8">
        <v>0.2</v>
      </c>
      <c r="L108">
        <v>82</v>
      </c>
      <c r="M108">
        <v>2.8761038300508917</v>
      </c>
      <c r="N108">
        <v>0.42389616994910817</v>
      </c>
    </row>
    <row r="109" spans="1:14" x14ac:dyDescent="0.25">
      <c r="A109" s="8">
        <v>3.47</v>
      </c>
      <c r="B109" s="6">
        <v>9</v>
      </c>
      <c r="C109" s="8">
        <v>23.393042340000001</v>
      </c>
      <c r="D109" s="8">
        <v>0.22500000000000001</v>
      </c>
      <c r="L109">
        <v>83</v>
      </c>
      <c r="M109">
        <v>2.5195173569324187</v>
      </c>
      <c r="N109">
        <v>0.6404826430675814</v>
      </c>
    </row>
    <row r="110" spans="1:14" x14ac:dyDescent="0.25">
      <c r="A110" s="8">
        <v>2.37</v>
      </c>
      <c r="B110" s="6">
        <v>6</v>
      </c>
      <c r="C110" s="8">
        <v>21.518335180000001</v>
      </c>
      <c r="D110" s="8">
        <v>0.15</v>
      </c>
      <c r="L110">
        <v>84</v>
      </c>
      <c r="M110">
        <v>2.7799202673984791</v>
      </c>
      <c r="N110">
        <v>-0.11992026739847894</v>
      </c>
    </row>
    <row r="111" spans="1:14" x14ac:dyDescent="0.25">
      <c r="A111" s="8">
        <v>1.94</v>
      </c>
      <c r="B111" s="6">
        <v>5</v>
      </c>
      <c r="C111" s="8">
        <v>22.653930240000001</v>
      </c>
      <c r="D111" s="8">
        <v>0.125</v>
      </c>
      <c r="L111">
        <v>85</v>
      </c>
      <c r="M111">
        <v>3.3162910823307667</v>
      </c>
      <c r="N111">
        <v>-3.6291082330766944E-2</v>
      </c>
    </row>
    <row r="112" spans="1:14" x14ac:dyDescent="0.25">
      <c r="A112" s="8">
        <v>2.6</v>
      </c>
      <c r="B112" s="6">
        <v>8</v>
      </c>
      <c r="C112" s="8">
        <v>22.992794920000001</v>
      </c>
      <c r="D112" s="8">
        <v>0.32</v>
      </c>
      <c r="L112">
        <v>86</v>
      </c>
      <c r="M112">
        <v>2.384198780868795</v>
      </c>
      <c r="N112">
        <v>0.30580121913120495</v>
      </c>
    </row>
    <row r="113" spans="1:14" x14ac:dyDescent="0.25">
      <c r="A113" s="8">
        <v>2.34</v>
      </c>
      <c r="B113" s="6">
        <v>6</v>
      </c>
      <c r="C113" s="8">
        <v>22.461627740000001</v>
      </c>
      <c r="D113" s="8">
        <v>0.24</v>
      </c>
      <c r="L113">
        <v>87</v>
      </c>
      <c r="M113">
        <v>2.9007211403448023</v>
      </c>
      <c r="N113">
        <v>-0.16072114034480212</v>
      </c>
    </row>
    <row r="114" spans="1:14" x14ac:dyDescent="0.25">
      <c r="A114" s="8">
        <v>3.15</v>
      </c>
      <c r="B114" s="6">
        <v>6</v>
      </c>
      <c r="C114" s="8">
        <v>25.798710870000001</v>
      </c>
      <c r="D114" s="8">
        <v>0.15</v>
      </c>
      <c r="L114">
        <v>88</v>
      </c>
      <c r="M114">
        <v>3.3257170429195053</v>
      </c>
      <c r="N114">
        <v>-0.47571704291950523</v>
      </c>
    </row>
    <row r="115" spans="1:14" x14ac:dyDescent="0.25">
      <c r="A115" s="8">
        <v>2.85</v>
      </c>
      <c r="B115" s="6">
        <v>7</v>
      </c>
      <c r="C115" s="8">
        <v>25.099105430000002</v>
      </c>
      <c r="D115" s="8">
        <v>0.17499999999999999</v>
      </c>
      <c r="L115">
        <v>89</v>
      </c>
      <c r="M115">
        <v>3.8401859190733334</v>
      </c>
      <c r="N115">
        <v>4.9814080926666726E-2</v>
      </c>
    </row>
    <row r="116" spans="1:14" x14ac:dyDescent="0.25">
      <c r="A116" s="8">
        <v>2.8</v>
      </c>
      <c r="B116" s="6">
        <v>8</v>
      </c>
      <c r="C116" s="8">
        <v>20.93684751</v>
      </c>
      <c r="D116" s="8">
        <v>0.4</v>
      </c>
      <c r="L116">
        <v>90</v>
      </c>
      <c r="M116">
        <v>3.3086246490997011</v>
      </c>
      <c r="N116">
        <v>-8.8624649099700914E-2</v>
      </c>
    </row>
    <row r="117" spans="1:14" x14ac:dyDescent="0.25">
      <c r="A117" s="8">
        <v>3.99</v>
      </c>
      <c r="B117" s="6">
        <v>11</v>
      </c>
      <c r="C117" s="8">
        <v>25.1820922</v>
      </c>
      <c r="D117" s="8">
        <v>0.55000000000000004</v>
      </c>
      <c r="L117">
        <v>91</v>
      </c>
      <c r="M117">
        <v>2.3595121490805289</v>
      </c>
      <c r="N117">
        <v>-0.23951214908052876</v>
      </c>
    </row>
    <row r="118" spans="1:14" x14ac:dyDescent="0.25">
      <c r="A118" s="8">
        <v>3.7</v>
      </c>
      <c r="B118" s="6">
        <v>9</v>
      </c>
      <c r="C118" s="8">
        <v>22.789216150000001</v>
      </c>
      <c r="D118" s="8">
        <v>0.3</v>
      </c>
      <c r="L118">
        <v>92</v>
      </c>
      <c r="M118">
        <v>3.3147994070028233</v>
      </c>
      <c r="N118">
        <v>0.22520059299717676</v>
      </c>
    </row>
    <row r="119" spans="1:14" x14ac:dyDescent="0.25">
      <c r="A119" s="8">
        <v>3.71</v>
      </c>
      <c r="B119" s="6">
        <v>11</v>
      </c>
      <c r="C119" s="8">
        <v>23.647600260000001</v>
      </c>
      <c r="D119" s="8">
        <v>0.27500000000000002</v>
      </c>
      <c r="L119">
        <v>93</v>
      </c>
      <c r="M119">
        <v>4.6084854742344366</v>
      </c>
      <c r="N119">
        <v>-7.8485474234436303E-2</v>
      </c>
    </row>
    <row r="120" spans="1:14" x14ac:dyDescent="0.25">
      <c r="A120" s="8">
        <v>3.39</v>
      </c>
      <c r="B120" s="6">
        <v>8</v>
      </c>
      <c r="C120" s="8">
        <v>20.410637049999998</v>
      </c>
      <c r="D120" s="8">
        <v>0.2</v>
      </c>
      <c r="L120">
        <v>94</v>
      </c>
      <c r="M120">
        <v>1.8444824496227707</v>
      </c>
      <c r="N120">
        <v>-8.4482449622770739E-2</v>
      </c>
    </row>
    <row r="121" spans="1:14" x14ac:dyDescent="0.25">
      <c r="A121" s="8">
        <v>2.85</v>
      </c>
      <c r="B121" s="6">
        <v>6</v>
      </c>
      <c r="C121" s="8">
        <v>18.809684950000001</v>
      </c>
      <c r="D121" s="8">
        <v>0.2</v>
      </c>
      <c r="L121">
        <v>95</v>
      </c>
      <c r="M121">
        <v>3.8100744045454125</v>
      </c>
      <c r="N121">
        <v>8.9925595454587448E-2</v>
      </c>
    </row>
    <row r="122" spans="1:14" x14ac:dyDescent="0.25">
      <c r="A122" s="8">
        <v>3.32</v>
      </c>
      <c r="B122" s="6">
        <v>7</v>
      </c>
      <c r="C122" s="8">
        <v>24.69415802</v>
      </c>
      <c r="D122" s="8">
        <v>0.28000000000000003</v>
      </c>
      <c r="L122">
        <v>96</v>
      </c>
      <c r="M122">
        <v>2.9822744218188486</v>
      </c>
      <c r="N122">
        <v>-3.2274421818848431E-2</v>
      </c>
    </row>
    <row r="123" spans="1:14" x14ac:dyDescent="0.25">
      <c r="A123" s="8">
        <v>3.18</v>
      </c>
      <c r="B123" s="6">
        <v>8</v>
      </c>
      <c r="C123" s="8">
        <v>24.455259089999998</v>
      </c>
      <c r="D123" s="8">
        <v>0.26666666700000002</v>
      </c>
      <c r="L123">
        <v>97</v>
      </c>
      <c r="M123">
        <v>3.0210808890953249</v>
      </c>
      <c r="N123">
        <v>-1.0808890953248884E-3</v>
      </c>
    </row>
    <row r="124" spans="1:14" x14ac:dyDescent="0.25">
      <c r="A124" s="8">
        <v>2.58</v>
      </c>
      <c r="B124" s="6">
        <v>5</v>
      </c>
      <c r="C124" s="8">
        <v>24.83265535</v>
      </c>
      <c r="D124" s="8">
        <v>0.125</v>
      </c>
      <c r="L124">
        <v>98</v>
      </c>
      <c r="M124">
        <v>3.5444162835860986</v>
      </c>
      <c r="N124">
        <v>0.43558371641390137</v>
      </c>
    </row>
    <row r="125" spans="1:14" x14ac:dyDescent="0.25">
      <c r="A125" s="8">
        <v>2.2200000000000002</v>
      </c>
      <c r="B125" s="6">
        <v>5</v>
      </c>
      <c r="C125" s="8">
        <v>25.216365629999999</v>
      </c>
      <c r="D125" s="8">
        <v>0.16666666699999999</v>
      </c>
      <c r="L125">
        <v>99</v>
      </c>
      <c r="M125">
        <v>2.7148660163677771</v>
      </c>
      <c r="N125">
        <v>0.19513398363222301</v>
      </c>
    </row>
    <row r="126" spans="1:14" x14ac:dyDescent="0.25">
      <c r="A126" s="8">
        <v>3.35</v>
      </c>
      <c r="B126" s="6">
        <v>9</v>
      </c>
      <c r="C126" s="8">
        <v>23.300837810000001</v>
      </c>
      <c r="D126" s="8">
        <v>0.22500000000000001</v>
      </c>
      <c r="L126">
        <v>100</v>
      </c>
      <c r="M126">
        <v>4.7199453224426149</v>
      </c>
      <c r="N126">
        <v>-0.37994532244261503</v>
      </c>
    </row>
    <row r="127" spans="1:14" x14ac:dyDescent="0.25">
      <c r="A127" s="8">
        <v>3.35</v>
      </c>
      <c r="B127" s="6">
        <v>9</v>
      </c>
      <c r="C127" s="8">
        <v>26.266863059999999</v>
      </c>
      <c r="D127" s="8">
        <v>0.45</v>
      </c>
      <c r="L127">
        <v>101</v>
      </c>
      <c r="M127">
        <v>2.4276630015148619</v>
      </c>
      <c r="N127">
        <v>-0.42766300151486192</v>
      </c>
    </row>
    <row r="128" spans="1:14" x14ac:dyDescent="0.25">
      <c r="A128" s="8">
        <v>3.69</v>
      </c>
      <c r="B128" s="6">
        <v>11</v>
      </c>
      <c r="C128" s="8">
        <v>25.378940979999999</v>
      </c>
      <c r="D128" s="8">
        <v>0.27500000000000002</v>
      </c>
      <c r="L128">
        <v>102</v>
      </c>
      <c r="M128">
        <v>4.2967593493354528</v>
      </c>
      <c r="N128">
        <v>8.3240650664547111E-2</v>
      </c>
    </row>
    <row r="129" spans="1:14" x14ac:dyDescent="0.25">
      <c r="A129" s="8">
        <v>2.2999999999999998</v>
      </c>
      <c r="B129" s="6">
        <v>7</v>
      </c>
      <c r="C129" s="8">
        <v>20.807449829999999</v>
      </c>
      <c r="D129" s="8">
        <v>0.233333333</v>
      </c>
      <c r="L129">
        <v>103</v>
      </c>
      <c r="M129">
        <v>2.2791587553374706</v>
      </c>
      <c r="N129">
        <v>-0.18915875533747073</v>
      </c>
    </row>
    <row r="130" spans="1:14" x14ac:dyDescent="0.25">
      <c r="A130" s="8">
        <v>3.5</v>
      </c>
      <c r="B130" s="6">
        <v>7</v>
      </c>
      <c r="C130" s="8">
        <v>26.284030319999999</v>
      </c>
      <c r="D130" s="8">
        <v>0.35</v>
      </c>
      <c r="L130">
        <v>104</v>
      </c>
      <c r="M130">
        <v>2.8047465594755261</v>
      </c>
      <c r="N130">
        <v>-0.75474655947552627</v>
      </c>
    </row>
    <row r="131" spans="1:14" x14ac:dyDescent="0.25">
      <c r="A131" s="8">
        <v>2.3199999999999998</v>
      </c>
      <c r="B131" s="6">
        <v>7</v>
      </c>
      <c r="C131" s="8">
        <v>20.220855069999999</v>
      </c>
      <c r="D131" s="8">
        <v>0.35</v>
      </c>
      <c r="L131">
        <v>105</v>
      </c>
      <c r="M131">
        <v>3.5761024126596013</v>
      </c>
      <c r="N131">
        <v>-0.22610241265960118</v>
      </c>
    </row>
    <row r="132" spans="1:14" x14ac:dyDescent="0.25">
      <c r="A132" s="8">
        <v>2.99</v>
      </c>
      <c r="B132" s="6">
        <v>8</v>
      </c>
      <c r="C132" s="8">
        <v>22.49462862</v>
      </c>
      <c r="D132" s="8">
        <v>0.2</v>
      </c>
      <c r="L132">
        <v>106</v>
      </c>
      <c r="M132">
        <v>3.3001684920406564</v>
      </c>
      <c r="N132">
        <v>-4.0168492040656645E-2</v>
      </c>
    </row>
    <row r="133" spans="1:14" x14ac:dyDescent="0.25">
      <c r="A133" s="8">
        <v>2.12</v>
      </c>
      <c r="B133" s="6">
        <v>6</v>
      </c>
      <c r="C133" s="8">
        <v>21.022817790000001</v>
      </c>
      <c r="D133" s="8">
        <v>0.15</v>
      </c>
      <c r="L133">
        <v>107</v>
      </c>
      <c r="M133">
        <v>2.3246957961155212</v>
      </c>
      <c r="N133">
        <v>0.18530420388447855</v>
      </c>
    </row>
    <row r="134" spans="1:14" x14ac:dyDescent="0.25">
      <c r="A134" s="8">
        <v>3.11</v>
      </c>
      <c r="B134" s="6">
        <v>8</v>
      </c>
      <c r="C134" s="8">
        <v>21.061600779999999</v>
      </c>
      <c r="D134" s="8">
        <v>0.32</v>
      </c>
      <c r="L134">
        <v>108</v>
      </c>
      <c r="M134">
        <v>3.3278704510377226</v>
      </c>
      <c r="N134">
        <v>0.14212954896227759</v>
      </c>
    </row>
    <row r="135" spans="1:14" x14ac:dyDescent="0.25">
      <c r="A135" s="8">
        <v>3.38</v>
      </c>
      <c r="B135" s="6">
        <v>9</v>
      </c>
      <c r="C135" s="8">
        <v>23.943922669999999</v>
      </c>
      <c r="D135" s="8">
        <v>0.22500000000000001</v>
      </c>
      <c r="L135">
        <v>109</v>
      </c>
      <c r="M135">
        <v>2.4921515658098983</v>
      </c>
      <c r="N135">
        <v>-0.12215156580989817</v>
      </c>
    </row>
    <row r="136" spans="1:14" x14ac:dyDescent="0.25">
      <c r="A136" s="8">
        <v>3.63</v>
      </c>
      <c r="B136" s="6">
        <v>10</v>
      </c>
      <c r="C136" s="8">
        <v>21.563185470000001</v>
      </c>
      <c r="D136" s="8">
        <v>0.25</v>
      </c>
      <c r="L136">
        <v>110</v>
      </c>
      <c r="M136">
        <v>2.3142968625568101</v>
      </c>
      <c r="N136">
        <v>-0.37429686255681016</v>
      </c>
    </row>
    <row r="137" spans="1:14" x14ac:dyDescent="0.25">
      <c r="A137" s="8">
        <v>4.3</v>
      </c>
      <c r="B137" s="6">
        <v>10</v>
      </c>
      <c r="C137" s="8">
        <v>25.449168879999998</v>
      </c>
      <c r="D137" s="8">
        <v>0.33333333300000001</v>
      </c>
      <c r="L137">
        <v>111</v>
      </c>
      <c r="M137">
        <v>3.0621500254044562</v>
      </c>
      <c r="N137">
        <v>-0.46215002540445616</v>
      </c>
    </row>
    <row r="138" spans="1:14" x14ac:dyDescent="0.25">
      <c r="A138" s="8">
        <v>3.82</v>
      </c>
      <c r="B138" s="6">
        <v>9</v>
      </c>
      <c r="C138" s="8">
        <v>24.952767909999999</v>
      </c>
      <c r="D138" s="8">
        <v>0.22500000000000001</v>
      </c>
      <c r="L138">
        <v>112</v>
      </c>
      <c r="M138">
        <v>2.5461174400968547</v>
      </c>
      <c r="N138">
        <v>-0.20611744009685484</v>
      </c>
    </row>
    <row r="139" spans="1:14" x14ac:dyDescent="0.25">
      <c r="A139" s="8">
        <v>2.02</v>
      </c>
      <c r="B139" s="6">
        <v>6</v>
      </c>
      <c r="C139" s="8">
        <v>21.836638170000001</v>
      </c>
      <c r="D139" s="8">
        <v>0.15</v>
      </c>
      <c r="L139">
        <v>113</v>
      </c>
      <c r="M139">
        <v>2.7370323442478028</v>
      </c>
      <c r="N139">
        <v>0.41296765575219707</v>
      </c>
    </row>
    <row r="140" spans="1:14" x14ac:dyDescent="0.25">
      <c r="A140" s="8">
        <v>2.0499999999999998</v>
      </c>
      <c r="B140" s="6">
        <v>4</v>
      </c>
      <c r="C140" s="8">
        <v>21.756363400000001</v>
      </c>
      <c r="D140" s="8">
        <v>0.133333333</v>
      </c>
      <c r="L140">
        <v>114</v>
      </c>
      <c r="M140">
        <v>2.939830063083817</v>
      </c>
      <c r="N140">
        <v>-8.9830063083816913E-2</v>
      </c>
    </row>
    <row r="141" spans="1:14" x14ac:dyDescent="0.25">
      <c r="A141" s="8">
        <v>4.1399999999999997</v>
      </c>
      <c r="B141" s="6">
        <v>12</v>
      </c>
      <c r="C141" s="8">
        <v>24.116653830000001</v>
      </c>
      <c r="D141" s="8">
        <v>0.4</v>
      </c>
      <c r="L141">
        <v>115</v>
      </c>
      <c r="M141">
        <v>2.9445290410211458</v>
      </c>
      <c r="N141">
        <v>-0.14452904102114594</v>
      </c>
    </row>
    <row r="142" spans="1:14" x14ac:dyDescent="0.25">
      <c r="A142" s="8">
        <v>3.21</v>
      </c>
      <c r="B142" s="6">
        <v>7</v>
      </c>
      <c r="C142" s="8">
        <v>25.182620239999999</v>
      </c>
      <c r="D142" s="8">
        <v>0.28000000000000003</v>
      </c>
      <c r="L142">
        <v>116</v>
      </c>
      <c r="M142">
        <v>3.9158666470586532</v>
      </c>
      <c r="N142">
        <v>7.4133352941347042E-2</v>
      </c>
    </row>
    <row r="143" spans="1:14" x14ac:dyDescent="0.25">
      <c r="A143" s="8">
        <v>3.42</v>
      </c>
      <c r="B143" s="6">
        <v>10</v>
      </c>
      <c r="C143" s="8">
        <v>21.94506135</v>
      </c>
      <c r="D143" s="8">
        <v>0.4</v>
      </c>
      <c r="L143">
        <v>117</v>
      </c>
      <c r="M143">
        <v>3.2933254862595502</v>
      </c>
      <c r="N143">
        <v>0.40667451374044994</v>
      </c>
    </row>
    <row r="144" spans="1:14" x14ac:dyDescent="0.25">
      <c r="A144" s="8">
        <v>2.94</v>
      </c>
      <c r="B144" s="6">
        <v>7</v>
      </c>
      <c r="C144" s="8">
        <v>23.174372810000001</v>
      </c>
      <c r="D144" s="8">
        <v>0.233333333</v>
      </c>
      <c r="L144">
        <v>118</v>
      </c>
      <c r="M144">
        <v>3.8280781892249696</v>
      </c>
      <c r="N144">
        <v>-0.1180781892249696</v>
      </c>
    </row>
    <row r="145" spans="1:14" x14ac:dyDescent="0.25">
      <c r="A145" s="8">
        <v>3.92</v>
      </c>
      <c r="B145" s="6">
        <v>11</v>
      </c>
      <c r="C145" s="8">
        <v>22.122825590000001</v>
      </c>
      <c r="D145" s="8">
        <v>0.55000000000000004</v>
      </c>
      <c r="L145">
        <v>119</v>
      </c>
      <c r="M145">
        <v>2.9144244809546045</v>
      </c>
      <c r="N145">
        <v>0.47557551904539563</v>
      </c>
    </row>
    <row r="146" spans="1:14" x14ac:dyDescent="0.25">
      <c r="A146" s="8">
        <v>3.27</v>
      </c>
      <c r="B146" s="6">
        <v>9</v>
      </c>
      <c r="C146" s="8">
        <v>23.10107163</v>
      </c>
      <c r="D146" s="8">
        <v>0.3</v>
      </c>
      <c r="L146">
        <v>120</v>
      </c>
      <c r="M146">
        <v>2.3371893791055793</v>
      </c>
      <c r="N146">
        <v>0.51281062089442075</v>
      </c>
    </row>
    <row r="147" spans="1:14" x14ac:dyDescent="0.25">
      <c r="A147" s="8">
        <v>3.28</v>
      </c>
      <c r="B147" s="6">
        <v>10</v>
      </c>
      <c r="C147" s="8">
        <v>21.780975600000001</v>
      </c>
      <c r="D147" s="8">
        <v>0.25</v>
      </c>
      <c r="L147">
        <v>121</v>
      </c>
      <c r="M147">
        <v>2.9166629758538605</v>
      </c>
      <c r="N147">
        <v>0.40333702414613937</v>
      </c>
    </row>
    <row r="148" spans="1:14" x14ac:dyDescent="0.25">
      <c r="A148" s="8">
        <v>3.1</v>
      </c>
      <c r="B148" s="6">
        <v>6</v>
      </c>
      <c r="C148" s="8">
        <v>17.223457589999999</v>
      </c>
      <c r="D148" s="8">
        <v>0.15</v>
      </c>
      <c r="L148">
        <v>122</v>
      </c>
      <c r="M148">
        <v>3.1458177663515468</v>
      </c>
      <c r="N148">
        <v>3.4182233648453408E-2</v>
      </c>
    </row>
    <row r="149" spans="1:14" x14ac:dyDescent="0.25">
      <c r="A149" s="8">
        <v>2.83</v>
      </c>
      <c r="B149" s="6">
        <v>6</v>
      </c>
      <c r="C149" s="8">
        <v>22.573114260000001</v>
      </c>
      <c r="D149" s="8">
        <v>0.3</v>
      </c>
      <c r="L149">
        <v>123</v>
      </c>
      <c r="M149">
        <v>2.4389419730749031</v>
      </c>
      <c r="N149">
        <v>0.14105802692509695</v>
      </c>
    </row>
    <row r="150" spans="1:14" x14ac:dyDescent="0.25">
      <c r="A150" s="8">
        <v>2.13</v>
      </c>
      <c r="B150" s="6">
        <v>6</v>
      </c>
      <c r="C150" s="8">
        <v>22.26555157</v>
      </c>
      <c r="D150" s="8">
        <v>0.15</v>
      </c>
      <c r="L150">
        <v>124</v>
      </c>
      <c r="M150">
        <v>2.4608940816901699</v>
      </c>
      <c r="N150">
        <v>-0.24089408169016968</v>
      </c>
    </row>
    <row r="151" spans="1:14" x14ac:dyDescent="0.25">
      <c r="A151" s="8">
        <v>3.7</v>
      </c>
      <c r="B151" s="6">
        <v>8</v>
      </c>
      <c r="C151" s="8">
        <v>17.892157730000001</v>
      </c>
      <c r="D151" s="8">
        <v>0.2</v>
      </c>
      <c r="L151">
        <v>125</v>
      </c>
      <c r="M151">
        <v>3.3225954194243408</v>
      </c>
      <c r="N151">
        <v>2.740458057565931E-2</v>
      </c>
    </row>
    <row r="152" spans="1:14" x14ac:dyDescent="0.25">
      <c r="A152" s="8">
        <v>2.2999999999999998</v>
      </c>
      <c r="B152" s="6">
        <v>9</v>
      </c>
      <c r="C152" s="8">
        <v>21.8469792</v>
      </c>
      <c r="D152" s="8">
        <v>0.3</v>
      </c>
      <c r="L152">
        <v>126</v>
      </c>
      <c r="M152">
        <v>3.492282060198268</v>
      </c>
      <c r="N152">
        <v>-0.14228206019826795</v>
      </c>
    </row>
    <row r="153" spans="1:14" x14ac:dyDescent="0.25">
      <c r="A153" s="8">
        <v>1.94</v>
      </c>
      <c r="B153" s="6">
        <v>4</v>
      </c>
      <c r="C153" s="8">
        <v>21.011787529999999</v>
      </c>
      <c r="D153" s="8">
        <v>0.133333333</v>
      </c>
      <c r="L153">
        <v>127</v>
      </c>
      <c r="M153">
        <v>3.9271283880767536</v>
      </c>
      <c r="N153">
        <v>-0.23712838807675363</v>
      </c>
    </row>
    <row r="154" spans="1:14" x14ac:dyDescent="0.25">
      <c r="A154" s="8">
        <v>2.58</v>
      </c>
      <c r="B154" s="6">
        <v>8</v>
      </c>
      <c r="C154" s="8">
        <v>20.256197709999999</v>
      </c>
      <c r="D154" s="8">
        <v>0.2</v>
      </c>
      <c r="L154">
        <v>128</v>
      </c>
      <c r="M154">
        <v>2.6943039597161489</v>
      </c>
      <c r="N154">
        <v>-0.39430395971614907</v>
      </c>
    </row>
    <row r="155" spans="1:14" x14ac:dyDescent="0.25">
      <c r="A155" s="8">
        <v>3.7</v>
      </c>
      <c r="B155" s="6">
        <v>10</v>
      </c>
      <c r="C155" s="8">
        <v>22.823314679999999</v>
      </c>
      <c r="D155" s="8">
        <v>0.33333333300000001</v>
      </c>
      <c r="L155">
        <v>129</v>
      </c>
      <c r="M155">
        <v>3.0076197503609277</v>
      </c>
      <c r="N155">
        <v>0.49238024963907234</v>
      </c>
    </row>
    <row r="156" spans="1:14" x14ac:dyDescent="0.25">
      <c r="A156" s="8">
        <v>3.16</v>
      </c>
      <c r="B156" s="6">
        <v>9</v>
      </c>
      <c r="C156" s="8">
        <v>22.542034279999999</v>
      </c>
      <c r="D156" s="8">
        <v>0.45</v>
      </c>
      <c r="L156">
        <v>130</v>
      </c>
      <c r="M156">
        <v>2.6607448070015898</v>
      </c>
      <c r="N156">
        <v>-0.34074480700158993</v>
      </c>
    </row>
    <row r="157" spans="1:14" x14ac:dyDescent="0.25">
      <c r="A157" s="8">
        <v>2.0299999999999998</v>
      </c>
      <c r="B157" s="6">
        <v>3</v>
      </c>
      <c r="C157" s="8">
        <v>21.395014530000001</v>
      </c>
      <c r="D157" s="8">
        <v>7.4999999999999997E-2</v>
      </c>
      <c r="L157">
        <v>131</v>
      </c>
      <c r="M157">
        <v>3.033649874910533</v>
      </c>
      <c r="N157">
        <v>-4.3649874910532738E-2</v>
      </c>
    </row>
    <row r="158" spans="1:14" x14ac:dyDescent="0.25">
      <c r="A158" s="8">
        <v>3.02</v>
      </c>
      <c r="B158" s="6">
        <v>6</v>
      </c>
      <c r="C158" s="8">
        <v>25.37140831</v>
      </c>
      <c r="D158" s="8">
        <v>0.3</v>
      </c>
      <c r="L158">
        <v>132</v>
      </c>
      <c r="M158">
        <v>2.463802959757349</v>
      </c>
      <c r="N158">
        <v>-0.34380295975734887</v>
      </c>
    </row>
    <row r="159" spans="1:14" x14ac:dyDescent="0.25">
      <c r="A159" s="8">
        <v>2.5299999999999998</v>
      </c>
      <c r="B159" s="6">
        <v>4</v>
      </c>
      <c r="C159" s="8">
        <v>24.2142622</v>
      </c>
      <c r="D159" s="8">
        <v>0.133333333</v>
      </c>
      <c r="L159">
        <v>133</v>
      </c>
      <c r="M159">
        <v>2.9516661897395737</v>
      </c>
      <c r="N159">
        <v>0.15833381026042614</v>
      </c>
    </row>
    <row r="160" spans="1:14" x14ac:dyDescent="0.25">
      <c r="A160" s="8">
        <v>3.68</v>
      </c>
      <c r="B160" s="6">
        <v>7</v>
      </c>
      <c r="C160" s="8">
        <v>25.911237379999999</v>
      </c>
      <c r="D160" s="8">
        <v>0.35</v>
      </c>
      <c r="L160">
        <v>134</v>
      </c>
      <c r="M160">
        <v>3.3593863771634807</v>
      </c>
      <c r="N160">
        <v>2.0613622836519241E-2</v>
      </c>
    </row>
    <row r="161" spans="1:14" x14ac:dyDescent="0.25">
      <c r="A161" s="8">
        <v>3.42</v>
      </c>
      <c r="B161" s="6">
        <v>9</v>
      </c>
      <c r="C161" s="8">
        <v>24.15888515</v>
      </c>
      <c r="D161" s="8">
        <v>0.22500000000000001</v>
      </c>
      <c r="L161">
        <v>135</v>
      </c>
      <c r="M161">
        <v>3.4660063574408762</v>
      </c>
      <c r="N161">
        <v>0.16399364255912374</v>
      </c>
    </row>
    <row r="162" spans="1:14" x14ac:dyDescent="0.25">
      <c r="A162" s="8">
        <v>3.86</v>
      </c>
      <c r="B162" s="6">
        <v>10</v>
      </c>
      <c r="C162" s="8">
        <v>22.502617749999999</v>
      </c>
      <c r="D162" s="8">
        <v>0.4</v>
      </c>
      <c r="L162">
        <v>136</v>
      </c>
      <c r="M162">
        <v>3.6883239088326287</v>
      </c>
      <c r="N162">
        <v>0.61167609116737109</v>
      </c>
    </row>
    <row r="163" spans="1:14" x14ac:dyDescent="0.25">
      <c r="A163" s="8">
        <v>3.12</v>
      </c>
      <c r="B163" s="6">
        <v>9</v>
      </c>
      <c r="C163" s="8">
        <v>23.799375900000001</v>
      </c>
      <c r="D163" s="8">
        <v>0.3</v>
      </c>
      <c r="L163">
        <v>137</v>
      </c>
      <c r="M163">
        <v>3.4171025277041291</v>
      </c>
      <c r="N163">
        <v>0.4028974722958707</v>
      </c>
    </row>
    <row r="164" spans="1:14" x14ac:dyDescent="0.25">
      <c r="A164" s="8">
        <v>4.37</v>
      </c>
      <c r="B164" s="6">
        <v>14</v>
      </c>
      <c r="C164" s="8">
        <v>22.499063920000001</v>
      </c>
      <c r="D164" s="8">
        <v>0.7</v>
      </c>
      <c r="L164">
        <v>138</v>
      </c>
      <c r="M164">
        <v>2.5103617159498528</v>
      </c>
      <c r="N164">
        <v>-0.49036171594985278</v>
      </c>
    </row>
    <row r="165" spans="1:14" x14ac:dyDescent="0.25">
      <c r="A165" s="8">
        <v>2.72</v>
      </c>
      <c r="B165" s="6">
        <v>9</v>
      </c>
      <c r="C165" s="8">
        <v>21.970716899999999</v>
      </c>
      <c r="D165" s="8">
        <v>0.22500000000000001</v>
      </c>
      <c r="L165">
        <v>139</v>
      </c>
      <c r="M165">
        <v>2.0201247365304207</v>
      </c>
      <c r="N165">
        <v>2.9875263469579139E-2</v>
      </c>
    </row>
    <row r="166" spans="1:14" x14ac:dyDescent="0.25">
      <c r="A166" s="8">
        <v>2.08</v>
      </c>
      <c r="B166" s="6">
        <v>4</v>
      </c>
      <c r="C166" s="8">
        <v>21.430203370000001</v>
      </c>
      <c r="D166" s="8">
        <v>0.133333333</v>
      </c>
      <c r="L166">
        <v>140</v>
      </c>
      <c r="M166">
        <v>4.0977350224994336</v>
      </c>
      <c r="N166">
        <v>4.2264977500566125E-2</v>
      </c>
    </row>
    <row r="167" spans="1:14" x14ac:dyDescent="0.25">
      <c r="A167" s="8">
        <v>3.3</v>
      </c>
      <c r="B167" s="6">
        <v>11</v>
      </c>
      <c r="C167" s="8">
        <v>20.16326853</v>
      </c>
      <c r="D167" s="8">
        <v>0.44</v>
      </c>
      <c r="L167">
        <v>141</v>
      </c>
      <c r="M167">
        <v>2.9446079548309525</v>
      </c>
      <c r="N167">
        <v>0.26539204516904746</v>
      </c>
    </row>
    <row r="168" spans="1:14" x14ac:dyDescent="0.25">
      <c r="A168" s="8">
        <v>2.83</v>
      </c>
      <c r="B168" s="6">
        <v>5</v>
      </c>
      <c r="C168" s="8">
        <v>21.896283709999999</v>
      </c>
      <c r="D168" s="8">
        <v>0.25</v>
      </c>
      <c r="L168">
        <v>142</v>
      </c>
      <c r="M168">
        <v>3.4878535198242</v>
      </c>
      <c r="N168">
        <v>-6.785351982420007E-2</v>
      </c>
    </row>
    <row r="169" spans="1:14" x14ac:dyDescent="0.25">
      <c r="A169" s="8">
        <v>3.59</v>
      </c>
      <c r="B169" s="6">
        <v>10</v>
      </c>
      <c r="C169" s="8">
        <v>25.231804109999999</v>
      </c>
      <c r="D169" s="8">
        <v>0.4</v>
      </c>
      <c r="L169">
        <v>143</v>
      </c>
      <c r="M169">
        <v>2.8297158917105962</v>
      </c>
      <c r="N169">
        <v>0.11028410828940372</v>
      </c>
    </row>
    <row r="170" spans="1:14" x14ac:dyDescent="0.25">
      <c r="A170" s="8">
        <v>2.4300000000000002</v>
      </c>
      <c r="B170" s="6">
        <v>7</v>
      </c>
      <c r="C170" s="8">
        <v>23.960119160000001</v>
      </c>
      <c r="D170" s="8">
        <v>0.17499999999999999</v>
      </c>
      <c r="L170">
        <v>144</v>
      </c>
      <c r="M170">
        <v>3.7408456575095119</v>
      </c>
      <c r="N170">
        <v>0.17915434249048801</v>
      </c>
    </row>
    <row r="171" spans="1:14" x14ac:dyDescent="0.25">
      <c r="A171" s="8">
        <v>3.97</v>
      </c>
      <c r="B171" s="6">
        <v>13</v>
      </c>
      <c r="C171" s="8">
        <v>20.178350999999999</v>
      </c>
      <c r="D171" s="8">
        <v>0.65</v>
      </c>
      <c r="L171">
        <v>145</v>
      </c>
      <c r="M171">
        <v>3.3111667736215313</v>
      </c>
      <c r="N171">
        <v>-4.1166773621531316E-2</v>
      </c>
    </row>
    <row r="172" spans="1:14" x14ac:dyDescent="0.25">
      <c r="A172" s="8">
        <v>2.02</v>
      </c>
      <c r="B172" s="6">
        <v>3</v>
      </c>
      <c r="C172" s="8">
        <v>19.208070320000001</v>
      </c>
      <c r="D172" s="8">
        <v>0.15</v>
      </c>
      <c r="L172">
        <v>146</v>
      </c>
      <c r="M172">
        <v>3.4784661554663372</v>
      </c>
      <c r="N172">
        <v>-0.19846615546633739</v>
      </c>
    </row>
    <row r="173" spans="1:14" x14ac:dyDescent="0.25">
      <c r="A173" s="8">
        <v>3.97</v>
      </c>
      <c r="B173" s="6">
        <v>10</v>
      </c>
      <c r="C173" s="8">
        <v>22.944970189999999</v>
      </c>
      <c r="D173" s="8">
        <v>0.5</v>
      </c>
      <c r="L173">
        <v>147</v>
      </c>
      <c r="M173">
        <v>2.2464411320290933</v>
      </c>
      <c r="N173">
        <v>0.85355886797090674</v>
      </c>
    </row>
    <row r="174" spans="1:14" x14ac:dyDescent="0.25">
      <c r="A174" s="8">
        <v>3.11</v>
      </c>
      <c r="B174" s="6">
        <v>9</v>
      </c>
      <c r="C174" s="8">
        <v>22.799691849999999</v>
      </c>
      <c r="D174" s="8">
        <v>0.22500000000000001</v>
      </c>
      <c r="L174">
        <v>148</v>
      </c>
      <c r="M174">
        <v>2.552495596543896</v>
      </c>
      <c r="N174">
        <v>0.27750440345610405</v>
      </c>
    </row>
    <row r="175" spans="1:14" x14ac:dyDescent="0.25">
      <c r="A175" s="8">
        <v>2.8</v>
      </c>
      <c r="B175" s="6">
        <v>8</v>
      </c>
      <c r="C175" s="8">
        <v>21.947843939999998</v>
      </c>
      <c r="D175" s="8">
        <v>0.2</v>
      </c>
      <c r="L175">
        <v>149</v>
      </c>
      <c r="M175">
        <v>2.5348999001844357</v>
      </c>
      <c r="N175">
        <v>-0.40489990018443578</v>
      </c>
    </row>
    <row r="176" spans="1:14" x14ac:dyDescent="0.25">
      <c r="A176" s="8">
        <v>2.8</v>
      </c>
      <c r="B176" s="6">
        <v>7</v>
      </c>
      <c r="C176" s="8">
        <v>23.494154760000001</v>
      </c>
      <c r="D176" s="8">
        <v>0.233333333</v>
      </c>
      <c r="L176">
        <v>150</v>
      </c>
      <c r="M176">
        <v>2.7703419935686981</v>
      </c>
      <c r="N176">
        <v>0.92965800643130203</v>
      </c>
    </row>
    <row r="177" spans="1:14" x14ac:dyDescent="0.25">
      <c r="A177" s="8">
        <v>4.0199999999999996</v>
      </c>
      <c r="B177" s="6">
        <v>9</v>
      </c>
      <c r="C177" s="8">
        <v>20.333685379999999</v>
      </c>
      <c r="D177" s="8">
        <v>0.36</v>
      </c>
      <c r="L177">
        <v>151</v>
      </c>
      <c r="M177">
        <v>3.2394200035403555</v>
      </c>
      <c r="N177">
        <v>-0.93942000354035571</v>
      </c>
    </row>
    <row r="178" spans="1:14" x14ac:dyDescent="0.25">
      <c r="A178" s="8">
        <v>2.85</v>
      </c>
      <c r="B178" s="6">
        <v>6</v>
      </c>
      <c r="C178" s="8">
        <v>23.40113839</v>
      </c>
      <c r="D178" s="8">
        <v>0.15</v>
      </c>
      <c r="L178">
        <v>152</v>
      </c>
      <c r="M178">
        <v>1.9775274666044065</v>
      </c>
      <c r="N178">
        <v>-3.7527466604406534E-2</v>
      </c>
    </row>
    <row r="179" spans="1:14" x14ac:dyDescent="0.25">
      <c r="A179" s="8">
        <v>1.85</v>
      </c>
      <c r="B179" s="6">
        <v>7</v>
      </c>
      <c r="C179" s="8">
        <v>20.855721979999998</v>
      </c>
      <c r="D179" s="8">
        <v>0.28000000000000003</v>
      </c>
      <c r="L179">
        <v>153</v>
      </c>
      <c r="M179">
        <v>2.9055889888063353</v>
      </c>
      <c r="N179">
        <v>-0.32558898880633524</v>
      </c>
    </row>
    <row r="180" spans="1:14" x14ac:dyDescent="0.25">
      <c r="A180" s="8">
        <v>3.56</v>
      </c>
      <c r="B180" s="6">
        <v>9</v>
      </c>
      <c r="C180" s="8">
        <v>22.634207119999999</v>
      </c>
      <c r="D180" s="8">
        <v>0.22500000000000001</v>
      </c>
      <c r="L180">
        <v>154</v>
      </c>
      <c r="M180">
        <v>3.5380984923901666</v>
      </c>
      <c r="N180">
        <v>0.16190150760983357</v>
      </c>
    </row>
    <row r="181" spans="1:14" x14ac:dyDescent="0.25">
      <c r="A181" s="8">
        <v>2.72</v>
      </c>
      <c r="B181" s="6">
        <v>5</v>
      </c>
      <c r="C181" s="8">
        <v>23.245340630000001</v>
      </c>
      <c r="D181" s="8">
        <v>0.16666666699999999</v>
      </c>
      <c r="L181">
        <v>155</v>
      </c>
      <c r="M181">
        <v>3.2791841834569135</v>
      </c>
      <c r="N181">
        <v>-0.1191841834569134</v>
      </c>
    </row>
    <row r="182" spans="1:14" x14ac:dyDescent="0.25">
      <c r="A182" s="8">
        <v>2.71</v>
      </c>
      <c r="B182" s="6">
        <v>8</v>
      </c>
      <c r="C182" s="8">
        <v>22.877913150000001</v>
      </c>
      <c r="D182" s="8">
        <v>0.32</v>
      </c>
      <c r="L182">
        <v>156</v>
      </c>
      <c r="M182">
        <v>1.7566297013521002</v>
      </c>
      <c r="N182">
        <v>0.27337029864789963</v>
      </c>
    </row>
    <row r="183" spans="1:14" x14ac:dyDescent="0.25">
      <c r="A183" s="8">
        <v>4.22</v>
      </c>
      <c r="B183" s="6">
        <v>11</v>
      </c>
      <c r="C183" s="8">
        <v>23.72514163</v>
      </c>
      <c r="D183" s="8">
        <v>0.55000000000000004</v>
      </c>
      <c r="L183">
        <v>157</v>
      </c>
      <c r="M183">
        <v>2.7125863163522212</v>
      </c>
      <c r="N183">
        <v>0.30741368364777877</v>
      </c>
    </row>
    <row r="184" spans="1:14" x14ac:dyDescent="0.25">
      <c r="A184" s="8">
        <v>3.91</v>
      </c>
      <c r="B184" s="6">
        <v>13</v>
      </c>
      <c r="C184" s="8">
        <v>21.906985209999998</v>
      </c>
      <c r="D184" s="8">
        <v>0.65</v>
      </c>
      <c r="L184">
        <v>158</v>
      </c>
      <c r="M184">
        <v>2.1607414054998664</v>
      </c>
      <c r="N184">
        <v>0.36925859450013343</v>
      </c>
    </row>
    <row r="185" spans="1:14" x14ac:dyDescent="0.25">
      <c r="A185" s="8">
        <v>3.6</v>
      </c>
      <c r="B185" s="6">
        <v>10</v>
      </c>
      <c r="C185" s="8">
        <v>20.875212940000001</v>
      </c>
      <c r="D185" s="8">
        <v>0.5</v>
      </c>
      <c r="L185">
        <v>159</v>
      </c>
      <c r="M185">
        <v>2.9862922240046244</v>
      </c>
      <c r="N185">
        <v>0.69370777599537581</v>
      </c>
    </row>
    <row r="186" spans="1:14" x14ac:dyDescent="0.25">
      <c r="A186" s="8">
        <v>2.4700000000000002</v>
      </c>
      <c r="B186" s="6">
        <v>5</v>
      </c>
      <c r="C186" s="8">
        <v>24.159266349999999</v>
      </c>
      <c r="D186" s="8">
        <v>0.125</v>
      </c>
      <c r="L186">
        <v>160</v>
      </c>
      <c r="M186">
        <v>3.3716844050119059</v>
      </c>
      <c r="N186">
        <v>4.8315594988094013E-2</v>
      </c>
    </row>
    <row r="187" spans="1:14" x14ac:dyDescent="0.25">
      <c r="A187" s="8">
        <v>2.75</v>
      </c>
      <c r="B187" s="6">
        <v>10</v>
      </c>
      <c r="C187" s="8">
        <v>22.81766176</v>
      </c>
      <c r="D187" s="8">
        <v>0.4</v>
      </c>
      <c r="L187">
        <v>161</v>
      </c>
      <c r="M187">
        <v>3.5197513846714408</v>
      </c>
      <c r="N187">
        <v>0.3402486153285591</v>
      </c>
    </row>
    <row r="188" spans="1:14" x14ac:dyDescent="0.25">
      <c r="A188" s="8">
        <v>1.99</v>
      </c>
      <c r="B188" s="6">
        <v>7</v>
      </c>
      <c r="C188" s="8">
        <v>21.67457246</v>
      </c>
      <c r="D188" s="8">
        <v>0.233333333</v>
      </c>
      <c r="L188">
        <v>162</v>
      </c>
      <c r="M188">
        <v>3.3511168400663092</v>
      </c>
      <c r="N188">
        <v>-0.23111684006630906</v>
      </c>
    </row>
    <row r="189" spans="1:14" x14ac:dyDescent="0.25">
      <c r="A189" s="8">
        <v>3.96</v>
      </c>
      <c r="B189" s="6">
        <v>12</v>
      </c>
      <c r="C189" s="8">
        <v>23.566575740000001</v>
      </c>
      <c r="D189" s="8">
        <v>0.3</v>
      </c>
      <c r="L189">
        <v>163</v>
      </c>
      <c r="M189">
        <v>4.4908369711102445</v>
      </c>
      <c r="N189">
        <v>-0.12083697111024438</v>
      </c>
    </row>
    <row r="190" spans="1:14" x14ac:dyDescent="0.25">
      <c r="A190" s="8">
        <v>2.86</v>
      </c>
      <c r="B190" s="6">
        <v>8</v>
      </c>
      <c r="C190" s="8">
        <v>25.057365220000001</v>
      </c>
      <c r="D190" s="8">
        <v>0.32</v>
      </c>
      <c r="L190">
        <v>164</v>
      </c>
      <c r="M190">
        <v>3.2464990513839611</v>
      </c>
      <c r="N190">
        <v>-0.52649905138396091</v>
      </c>
    </row>
    <row r="191" spans="1:14" x14ac:dyDescent="0.25">
      <c r="A191" s="8">
        <v>4.26</v>
      </c>
      <c r="B191" s="6">
        <v>13</v>
      </c>
      <c r="C191" s="8">
        <v>23.50587363</v>
      </c>
      <c r="D191" s="8">
        <v>0.43333333299999999</v>
      </c>
      <c r="L191">
        <v>165</v>
      </c>
      <c r="M191">
        <v>2.0014650842414112</v>
      </c>
      <c r="N191">
        <v>7.8534915758588841E-2</v>
      </c>
    </row>
    <row r="192" spans="1:14" x14ac:dyDescent="0.25">
      <c r="A192" s="8">
        <v>2.5299999999999998</v>
      </c>
      <c r="B192" s="6">
        <v>6</v>
      </c>
      <c r="C192" s="8">
        <v>24.0262116</v>
      </c>
      <c r="D192" s="8">
        <v>0.24</v>
      </c>
      <c r="L192">
        <v>166</v>
      </c>
      <c r="M192">
        <v>3.6287391759762775</v>
      </c>
      <c r="N192">
        <v>-0.32873917597627766</v>
      </c>
    </row>
    <row r="193" spans="1:14" x14ac:dyDescent="0.25">
      <c r="A193" s="8">
        <v>3.86</v>
      </c>
      <c r="B193" s="6">
        <v>9</v>
      </c>
      <c r="C193" s="8">
        <v>23.734574630000001</v>
      </c>
      <c r="D193" s="8">
        <v>0.36</v>
      </c>
      <c r="L193">
        <v>167</v>
      </c>
      <c r="M193">
        <v>2.2709518186905373</v>
      </c>
      <c r="N193">
        <v>0.55904818130946277</v>
      </c>
    </row>
    <row r="194" spans="1:14" x14ac:dyDescent="0.25">
      <c r="A194" s="8">
        <v>1.63</v>
      </c>
      <c r="B194" s="6">
        <v>2</v>
      </c>
      <c r="C194" s="8">
        <v>19.2295999</v>
      </c>
      <c r="D194" s="8">
        <v>0.05</v>
      </c>
      <c r="L194">
        <v>168</v>
      </c>
      <c r="M194">
        <v>3.6758884457009859</v>
      </c>
      <c r="N194">
        <v>-8.5888445700986082E-2</v>
      </c>
    </row>
    <row r="195" spans="1:14" x14ac:dyDescent="0.25">
      <c r="A195" s="8">
        <v>3.37</v>
      </c>
      <c r="B195" s="6">
        <v>10</v>
      </c>
      <c r="C195" s="8">
        <v>22.791101560000001</v>
      </c>
      <c r="D195" s="8">
        <v>0.33333333300000001</v>
      </c>
      <c r="L195">
        <v>169</v>
      </c>
      <c r="M195">
        <v>2.8746685294643961</v>
      </c>
      <c r="N195">
        <v>-0.44466852946439595</v>
      </c>
    </row>
    <row r="196" spans="1:14" x14ac:dyDescent="0.25">
      <c r="A196" s="8">
        <v>3.22</v>
      </c>
      <c r="B196" s="6">
        <v>8</v>
      </c>
      <c r="C196" s="8">
        <v>23.530311050000002</v>
      </c>
      <c r="D196" s="8">
        <v>0.4</v>
      </c>
      <c r="L196">
        <v>170</v>
      </c>
      <c r="M196">
        <v>4.1152464965226683</v>
      </c>
      <c r="N196">
        <v>-0.14524649652266808</v>
      </c>
    </row>
    <row r="197" spans="1:14" x14ac:dyDescent="0.25">
      <c r="A197" s="8">
        <v>4.7</v>
      </c>
      <c r="B197" s="6">
        <v>15</v>
      </c>
      <c r="C197" s="8">
        <v>21.069004029999999</v>
      </c>
      <c r="D197" s="8">
        <v>0.5</v>
      </c>
      <c r="L197">
        <v>171</v>
      </c>
      <c r="M197">
        <v>1.6315143751913097</v>
      </c>
      <c r="N197">
        <v>0.38848562480869031</v>
      </c>
    </row>
    <row r="198" spans="1:14" x14ac:dyDescent="0.25">
      <c r="A198" s="8">
        <v>2.41</v>
      </c>
      <c r="B198" s="6">
        <v>9</v>
      </c>
      <c r="C198" s="8">
        <v>22.120822579999999</v>
      </c>
      <c r="D198" s="8">
        <v>0.45</v>
      </c>
      <c r="L198">
        <v>172</v>
      </c>
      <c r="M198">
        <v>3.5450584179078399</v>
      </c>
      <c r="N198">
        <v>0.42494158209216026</v>
      </c>
    </row>
    <row r="199" spans="1:14" x14ac:dyDescent="0.25">
      <c r="A199" s="8">
        <v>1.96</v>
      </c>
      <c r="B199" s="6">
        <v>5</v>
      </c>
      <c r="C199" s="8">
        <v>23.904066690000001</v>
      </c>
      <c r="D199" s="8">
        <v>0.2</v>
      </c>
      <c r="L199">
        <v>173</v>
      </c>
      <c r="M199">
        <v>3.2939248022440504</v>
      </c>
      <c r="N199">
        <v>-0.1839248022440505</v>
      </c>
    </row>
    <row r="200" spans="1:14" x14ac:dyDescent="0.25">
      <c r="A200" s="8">
        <v>1.85</v>
      </c>
      <c r="B200" s="6">
        <v>3</v>
      </c>
      <c r="C200" s="8">
        <v>25.168959170000001</v>
      </c>
      <c r="D200" s="8">
        <v>0.15</v>
      </c>
      <c r="L200">
        <v>174</v>
      </c>
      <c r="M200">
        <v>3.0023682613855485</v>
      </c>
      <c r="N200">
        <v>-0.20236826138554864</v>
      </c>
    </row>
    <row r="201" spans="1:14" x14ac:dyDescent="0.25">
      <c r="A201" s="8">
        <v>2.08</v>
      </c>
      <c r="B201" s="6">
        <v>7</v>
      </c>
      <c r="C201" s="8">
        <v>23.207088280000001</v>
      </c>
      <c r="D201" s="8">
        <v>0.17499999999999999</v>
      </c>
      <c r="L201">
        <v>175</v>
      </c>
      <c r="M201">
        <v>2.8480106533198022</v>
      </c>
      <c r="N201">
        <v>-4.8010653319802366E-2</v>
      </c>
    </row>
    <row r="202" spans="1:14" x14ac:dyDescent="0.25">
      <c r="A202" s="8">
        <v>3.81</v>
      </c>
      <c r="B202" s="6">
        <v>11</v>
      </c>
      <c r="C202" s="8">
        <v>24.842495370000002</v>
      </c>
      <c r="D202" s="8">
        <v>0.44</v>
      </c>
      <c r="L202">
        <v>176</v>
      </c>
      <c r="M202">
        <v>3.152844292554839</v>
      </c>
      <c r="N202">
        <v>0.86715570744516057</v>
      </c>
    </row>
    <row r="203" spans="1:14" x14ac:dyDescent="0.25">
      <c r="A203" s="8">
        <v>2.7</v>
      </c>
      <c r="B203" s="6">
        <v>4</v>
      </c>
      <c r="C203" s="8">
        <v>26.224441259999999</v>
      </c>
      <c r="D203" s="8">
        <v>0.1</v>
      </c>
      <c r="L203">
        <v>177</v>
      </c>
      <c r="M203">
        <v>2.5998669508840027</v>
      </c>
      <c r="N203">
        <v>0.25013304911599743</v>
      </c>
    </row>
    <row r="204" spans="1:14" x14ac:dyDescent="0.25">
      <c r="A204" s="8">
        <v>2.5499999999999998</v>
      </c>
      <c r="B204" s="6">
        <v>6</v>
      </c>
      <c r="C204" s="8">
        <v>24.023848180000002</v>
      </c>
      <c r="D204" s="8">
        <v>0.2</v>
      </c>
      <c r="L204">
        <v>178</v>
      </c>
      <c r="M204">
        <v>2.6970656148896626</v>
      </c>
      <c r="N204">
        <v>-0.84706561488966248</v>
      </c>
    </row>
    <row r="205" spans="1:14" x14ac:dyDescent="0.25">
      <c r="A205" s="8">
        <v>2.94</v>
      </c>
      <c r="B205" s="6">
        <v>8</v>
      </c>
      <c r="C205" s="8">
        <v>21.775125249999999</v>
      </c>
      <c r="D205" s="8">
        <v>0.32</v>
      </c>
      <c r="L205">
        <v>179</v>
      </c>
      <c r="M205">
        <v>3.2844574020818027</v>
      </c>
      <c r="N205">
        <v>0.27554259791819735</v>
      </c>
    </row>
    <row r="206" spans="1:14" x14ac:dyDescent="0.25">
      <c r="A206" s="8">
        <v>1.97</v>
      </c>
      <c r="B206" s="6">
        <v>4</v>
      </c>
      <c r="C206" s="8">
        <v>19.605805230000001</v>
      </c>
      <c r="D206" s="8">
        <v>0.1</v>
      </c>
      <c r="L206">
        <v>180</v>
      </c>
      <c r="M206">
        <v>2.3481315180095574</v>
      </c>
      <c r="N206">
        <v>0.37186848199044276</v>
      </c>
    </row>
    <row r="207" spans="1:14" x14ac:dyDescent="0.25">
      <c r="A207" s="8">
        <v>2.84</v>
      </c>
      <c r="B207" s="6">
        <v>5</v>
      </c>
      <c r="C207" s="8">
        <v>24.71092002</v>
      </c>
      <c r="D207" s="8">
        <v>0.2</v>
      </c>
      <c r="L207">
        <v>181</v>
      </c>
      <c r="M207">
        <v>3.055577626320038</v>
      </c>
      <c r="N207">
        <v>-0.34557762632003808</v>
      </c>
    </row>
    <row r="208" spans="1:14" x14ac:dyDescent="0.25">
      <c r="A208" s="8">
        <v>4.34</v>
      </c>
      <c r="B208" s="6">
        <v>14</v>
      </c>
      <c r="C208" s="8">
        <v>25.608680490000001</v>
      </c>
      <c r="D208" s="8">
        <v>0.35</v>
      </c>
      <c r="L208">
        <v>182</v>
      </c>
      <c r="M208">
        <v>3.8325143397925712</v>
      </c>
      <c r="N208">
        <v>0.38748566020742858</v>
      </c>
    </row>
    <row r="209" spans="1:14" x14ac:dyDescent="0.25">
      <c r="A209" s="8">
        <v>2.92</v>
      </c>
      <c r="B209" s="6">
        <v>8</v>
      </c>
      <c r="C209" s="8">
        <v>23.099157040000001</v>
      </c>
      <c r="D209" s="8">
        <v>0.2</v>
      </c>
      <c r="L209">
        <v>183</v>
      </c>
      <c r="M209">
        <v>4.2141418556305492</v>
      </c>
      <c r="N209">
        <v>-0.30414185563054907</v>
      </c>
    </row>
    <row r="210" spans="1:14" x14ac:dyDescent="0.25">
      <c r="A210" s="8">
        <v>3.13</v>
      </c>
      <c r="B210" s="6">
        <v>7</v>
      </c>
      <c r="C210" s="8">
        <v>26.782775699999998</v>
      </c>
      <c r="D210" s="8">
        <v>0.233333333</v>
      </c>
      <c r="L210">
        <v>184</v>
      </c>
      <c r="M210">
        <v>3.4266473710126792</v>
      </c>
      <c r="N210">
        <v>0.17335262898732084</v>
      </c>
    </row>
    <row r="211" spans="1:14" x14ac:dyDescent="0.25">
      <c r="A211" s="8">
        <v>2.31</v>
      </c>
      <c r="B211" s="6">
        <v>6</v>
      </c>
      <c r="C211" s="8">
        <v>22.823274080000001</v>
      </c>
      <c r="D211" s="8">
        <v>0.2</v>
      </c>
      <c r="L211">
        <v>185</v>
      </c>
      <c r="M211">
        <v>2.4004173120511596</v>
      </c>
      <c r="N211">
        <v>6.9582687948840594E-2</v>
      </c>
    </row>
    <row r="212" spans="1:14" x14ac:dyDescent="0.25">
      <c r="A212" s="8">
        <v>2.4900000000000002</v>
      </c>
      <c r="B212" s="6">
        <v>6</v>
      </c>
      <c r="C212" s="8">
        <v>22.813131859999999</v>
      </c>
      <c r="D212" s="8">
        <v>0.3</v>
      </c>
      <c r="L212">
        <v>186</v>
      </c>
      <c r="M212">
        <v>3.5377750881961654</v>
      </c>
      <c r="N212">
        <v>-0.78777508819616537</v>
      </c>
    </row>
    <row r="213" spans="1:14" x14ac:dyDescent="0.25">
      <c r="A213" s="8">
        <v>4.25</v>
      </c>
      <c r="B213" s="6">
        <v>11</v>
      </c>
      <c r="C213" s="8">
        <v>26.145629280000001</v>
      </c>
      <c r="D213" s="8">
        <v>0.44</v>
      </c>
      <c r="L213">
        <v>187</v>
      </c>
      <c r="M213">
        <v>2.7439121436733664</v>
      </c>
      <c r="N213">
        <v>-0.75391214367336645</v>
      </c>
    </row>
    <row r="214" spans="1:14" x14ac:dyDescent="0.25">
      <c r="A214" s="8">
        <v>2.02</v>
      </c>
      <c r="B214" s="6">
        <v>5</v>
      </c>
      <c r="C214" s="8">
        <v>20.477090329999999</v>
      </c>
      <c r="D214" s="8">
        <v>0.2</v>
      </c>
      <c r="L214">
        <v>188</v>
      </c>
      <c r="M214">
        <v>4.0662649926150163</v>
      </c>
      <c r="N214">
        <v>-0.10626499261501632</v>
      </c>
    </row>
    <row r="215" spans="1:14" x14ac:dyDescent="0.25">
      <c r="A215" s="8">
        <v>4.17</v>
      </c>
      <c r="B215" s="6">
        <v>12</v>
      </c>
      <c r="C215" s="8">
        <v>20.54090081</v>
      </c>
      <c r="D215" s="8">
        <v>0.3</v>
      </c>
      <c r="L215">
        <v>189</v>
      </c>
      <c r="M215">
        <v>3.1802643263021375</v>
      </c>
      <c r="N215">
        <v>-0.32026432630213764</v>
      </c>
    </row>
    <row r="216" spans="1:14" x14ac:dyDescent="0.25">
      <c r="A216" s="8">
        <v>2.93</v>
      </c>
      <c r="B216" s="6">
        <v>8</v>
      </c>
      <c r="C216" s="8">
        <v>22.276473859999999</v>
      </c>
      <c r="D216" s="8">
        <v>0.26666666700000002</v>
      </c>
      <c r="L216">
        <v>190</v>
      </c>
      <c r="M216">
        <v>4.3056144433848615</v>
      </c>
      <c r="N216">
        <v>-4.5614443384861758E-2</v>
      </c>
    </row>
    <row r="217" spans="1:14" x14ac:dyDescent="0.25">
      <c r="A217" s="8">
        <v>3.67</v>
      </c>
      <c r="B217" s="6">
        <v>11</v>
      </c>
      <c r="C217" s="8">
        <v>24.279574660000002</v>
      </c>
      <c r="D217" s="8">
        <v>0.55000000000000004</v>
      </c>
      <c r="L217">
        <v>191</v>
      </c>
      <c r="M217">
        <v>2.6356274600848852</v>
      </c>
      <c r="N217">
        <v>-0.10562746008488544</v>
      </c>
    </row>
    <row r="218" spans="1:14" x14ac:dyDescent="0.25">
      <c r="A218" s="8">
        <v>4.2300000000000004</v>
      </c>
      <c r="B218" s="6">
        <v>12</v>
      </c>
      <c r="C218" s="8">
        <v>22.61018344</v>
      </c>
      <c r="D218" s="8">
        <v>0.3</v>
      </c>
      <c r="L218">
        <v>192</v>
      </c>
      <c r="M218">
        <v>3.3474095520638945</v>
      </c>
      <c r="N218">
        <v>0.51259044793610542</v>
      </c>
    </row>
    <row r="219" spans="1:14" x14ac:dyDescent="0.25">
      <c r="A219" s="8">
        <v>3.46</v>
      </c>
      <c r="B219" s="6">
        <v>8</v>
      </c>
      <c r="C219" s="8">
        <v>26.914127279999999</v>
      </c>
      <c r="D219" s="8">
        <v>0.32</v>
      </c>
      <c r="L219">
        <v>193</v>
      </c>
      <c r="M219">
        <v>1.3899238595396612</v>
      </c>
      <c r="N219">
        <v>0.24007614046033865</v>
      </c>
    </row>
    <row r="220" spans="1:14" x14ac:dyDescent="0.25">
      <c r="A220" s="8">
        <v>3.39</v>
      </c>
      <c r="B220" s="6">
        <v>8</v>
      </c>
      <c r="C220" s="8">
        <v>24.90625009</v>
      </c>
      <c r="D220" s="8">
        <v>0.26666666700000002</v>
      </c>
      <c r="L220">
        <v>194</v>
      </c>
      <c r="M220">
        <v>3.5362555761433656</v>
      </c>
      <c r="N220">
        <v>-0.1662555761433655</v>
      </c>
    </row>
    <row r="221" spans="1:14" x14ac:dyDescent="0.25">
      <c r="A221" s="8">
        <v>2.67</v>
      </c>
      <c r="B221" s="6">
        <v>5</v>
      </c>
      <c r="C221" s="8">
        <v>24.600819049999998</v>
      </c>
      <c r="D221" s="8">
        <v>0.2</v>
      </c>
      <c r="L221">
        <v>195</v>
      </c>
      <c r="M221">
        <v>3.0929013841332811</v>
      </c>
      <c r="N221">
        <v>0.12709861586671911</v>
      </c>
    </row>
    <row r="222" spans="1:14" x14ac:dyDescent="0.25">
      <c r="A222" s="8">
        <v>2.73</v>
      </c>
      <c r="B222" s="6">
        <v>8</v>
      </c>
      <c r="C222" s="8">
        <v>22.617904620000001</v>
      </c>
      <c r="D222" s="8">
        <v>0.2</v>
      </c>
      <c r="L222">
        <v>196</v>
      </c>
      <c r="M222">
        <v>4.6518453080592135</v>
      </c>
      <c r="N222">
        <v>4.8154691940786698E-2</v>
      </c>
    </row>
    <row r="223" spans="1:14" x14ac:dyDescent="0.25">
      <c r="A223" s="8">
        <v>3.14</v>
      </c>
      <c r="B223" s="6">
        <v>7</v>
      </c>
      <c r="C223" s="8">
        <v>25.910042449999999</v>
      </c>
      <c r="D223" s="8">
        <v>0.35</v>
      </c>
      <c r="L223">
        <v>197</v>
      </c>
      <c r="M223">
        <v>3.2550866143523765</v>
      </c>
      <c r="N223">
        <v>-0.84508661435237631</v>
      </c>
    </row>
    <row r="224" spans="1:14" x14ac:dyDescent="0.25">
      <c r="A224" s="8">
        <v>1.6</v>
      </c>
      <c r="B224" s="6">
        <v>4</v>
      </c>
      <c r="C224" s="8">
        <v>21.461715300000002</v>
      </c>
      <c r="D224" s="8">
        <v>0.1</v>
      </c>
      <c r="L224">
        <v>198</v>
      </c>
      <c r="M224">
        <v>2.3858173105737457</v>
      </c>
      <c r="N224">
        <v>-0.42581731057374572</v>
      </c>
    </row>
    <row r="225" spans="1:14" x14ac:dyDescent="0.25">
      <c r="A225" s="8">
        <v>4.25</v>
      </c>
      <c r="B225" s="6">
        <v>12</v>
      </c>
      <c r="C225" s="8">
        <v>23.01592857</v>
      </c>
      <c r="D225" s="8">
        <v>0.6</v>
      </c>
      <c r="L225">
        <v>199</v>
      </c>
      <c r="M225">
        <v>1.9725375020117095</v>
      </c>
      <c r="N225">
        <v>-0.12253750201170943</v>
      </c>
    </row>
    <row r="226" spans="1:14" x14ac:dyDescent="0.25">
      <c r="A226" s="8">
        <v>3.42</v>
      </c>
      <c r="B226" s="6">
        <v>10</v>
      </c>
      <c r="C226" s="8">
        <v>23.784831929999999</v>
      </c>
      <c r="D226" s="8">
        <v>0.33333333300000001</v>
      </c>
      <c r="L226">
        <v>200</v>
      </c>
      <c r="M226">
        <v>2.8315875474578425</v>
      </c>
      <c r="N226">
        <v>-0.7515875474578424</v>
      </c>
    </row>
    <row r="227" spans="1:14" x14ac:dyDescent="0.25">
      <c r="A227" s="8">
        <v>2.48</v>
      </c>
      <c r="B227" s="6">
        <v>5</v>
      </c>
      <c r="C227" s="8">
        <v>21.355160139999999</v>
      </c>
      <c r="D227" s="8">
        <v>0.16666666699999999</v>
      </c>
      <c r="L227">
        <v>201</v>
      </c>
      <c r="M227">
        <v>3.8964382739184806</v>
      </c>
      <c r="N227">
        <v>-8.6438273918480579E-2</v>
      </c>
    </row>
    <row r="228" spans="1:14" x14ac:dyDescent="0.25">
      <c r="A228" s="8">
        <v>0.84</v>
      </c>
      <c r="B228" s="6">
        <v>0</v>
      </c>
      <c r="C228" s="8">
        <v>21.74761994</v>
      </c>
      <c r="D228" s="8">
        <v>0</v>
      </c>
      <c r="L228">
        <v>202</v>
      </c>
      <c r="M228">
        <v>2.275743977391488</v>
      </c>
      <c r="N228">
        <v>0.42425602260851214</v>
      </c>
    </row>
    <row r="229" spans="1:14" x14ac:dyDescent="0.25">
      <c r="A229" s="8">
        <v>1.94</v>
      </c>
      <c r="B229" s="6">
        <v>4</v>
      </c>
      <c r="C229" s="8">
        <v>24.650196529999999</v>
      </c>
      <c r="D229" s="8">
        <v>0.2</v>
      </c>
      <c r="L229">
        <v>203</v>
      </c>
      <c r="M229">
        <v>2.6354922485587737</v>
      </c>
      <c r="N229">
        <v>-8.5492248558773909E-2</v>
      </c>
    </row>
    <row r="230" spans="1:14" x14ac:dyDescent="0.25">
      <c r="A230" s="8">
        <v>3.11</v>
      </c>
      <c r="B230" s="6">
        <v>8</v>
      </c>
      <c r="C230" s="8">
        <v>22.547478259999998</v>
      </c>
      <c r="D230" s="8">
        <v>0.32</v>
      </c>
      <c r="L230">
        <v>204</v>
      </c>
      <c r="M230">
        <v>2.9924870055516761</v>
      </c>
      <c r="N230">
        <v>-5.248700555167618E-2</v>
      </c>
    </row>
    <row r="231" spans="1:14" x14ac:dyDescent="0.25">
      <c r="A231" s="8">
        <v>2.61</v>
      </c>
      <c r="B231" s="6">
        <v>7</v>
      </c>
      <c r="C231" s="8">
        <v>24.044487360000002</v>
      </c>
      <c r="D231" s="8">
        <v>0.17499999999999999</v>
      </c>
      <c r="L231">
        <v>205</v>
      </c>
      <c r="M231">
        <v>1.8970910598426638</v>
      </c>
      <c r="N231">
        <v>7.2908940157336177E-2</v>
      </c>
    </row>
    <row r="232" spans="1:14" x14ac:dyDescent="0.25">
      <c r="A232" s="8">
        <v>3.28</v>
      </c>
      <c r="B232" s="6">
        <v>9</v>
      </c>
      <c r="C232" s="8">
        <v>23.815850040000001</v>
      </c>
      <c r="D232" s="8">
        <v>0.3</v>
      </c>
      <c r="L232">
        <v>206</v>
      </c>
      <c r="M232">
        <v>2.4319774810459815</v>
      </c>
      <c r="N232">
        <v>0.40802251895401831</v>
      </c>
    </row>
    <row r="233" spans="1:14" x14ac:dyDescent="0.25">
      <c r="A233" s="8">
        <v>2.75</v>
      </c>
      <c r="B233" s="6">
        <v>6</v>
      </c>
      <c r="C233" s="8">
        <v>22.093503179999999</v>
      </c>
      <c r="D233" s="8">
        <v>0.2</v>
      </c>
      <c r="L233">
        <v>207</v>
      </c>
      <c r="M233">
        <v>4.6687384875785352</v>
      </c>
      <c r="N233">
        <v>-0.3287384875785353</v>
      </c>
    </row>
    <row r="234" spans="1:14" x14ac:dyDescent="0.25">
      <c r="A234" s="8">
        <v>4.08</v>
      </c>
      <c r="B234" s="6">
        <v>10</v>
      </c>
      <c r="C234" s="8">
        <v>25.549183750000001</v>
      </c>
      <c r="D234" s="8">
        <v>0.5</v>
      </c>
      <c r="L234">
        <v>208</v>
      </c>
      <c r="M234">
        <v>3.0682350143466084</v>
      </c>
      <c r="N234">
        <v>-0.14823501434660846</v>
      </c>
    </row>
    <row r="235" spans="1:14" x14ac:dyDescent="0.25">
      <c r="A235" s="8">
        <v>2.66</v>
      </c>
      <c r="B235" s="6">
        <v>8</v>
      </c>
      <c r="C235" s="8">
        <v>23.081838350000002</v>
      </c>
      <c r="D235" s="8">
        <v>0.26666666700000002</v>
      </c>
      <c r="L235">
        <v>209</v>
      </c>
      <c r="M235">
        <v>3.0361530300872941</v>
      </c>
      <c r="N235">
        <v>9.3846969912705802E-2</v>
      </c>
    </row>
    <row r="236" spans="1:14" x14ac:dyDescent="0.25">
      <c r="A236" s="8">
        <v>1.83</v>
      </c>
      <c r="B236" s="6">
        <v>5</v>
      </c>
      <c r="C236" s="8">
        <v>22.54280017</v>
      </c>
      <c r="D236" s="8">
        <v>0.125</v>
      </c>
      <c r="L236">
        <v>210</v>
      </c>
      <c r="M236">
        <v>2.5668072682036063</v>
      </c>
      <c r="N236">
        <v>-0.25680726820360622</v>
      </c>
    </row>
    <row r="237" spans="1:14" x14ac:dyDescent="0.25">
      <c r="A237" s="8">
        <v>2.37</v>
      </c>
      <c r="B237" s="6">
        <v>5</v>
      </c>
      <c r="C237" s="8">
        <v>23.04493179</v>
      </c>
      <c r="D237" s="8">
        <v>0.125</v>
      </c>
      <c r="L237">
        <v>211</v>
      </c>
      <c r="M237">
        <v>2.5662270306477089</v>
      </c>
      <c r="N237">
        <v>-7.6227030647708638E-2</v>
      </c>
    </row>
    <row r="238" spans="1:14" x14ac:dyDescent="0.25">
      <c r="A238" s="8">
        <v>3.08</v>
      </c>
      <c r="B238" s="6">
        <v>7</v>
      </c>
      <c r="C238" s="8">
        <v>24.345722469999998</v>
      </c>
      <c r="D238" s="8">
        <v>0.17499999999999999</v>
      </c>
      <c r="L238">
        <v>212</v>
      </c>
      <c r="M238">
        <v>3.9709907126296793</v>
      </c>
      <c r="N238">
        <v>0.27900928737032071</v>
      </c>
    </row>
    <row r="239" spans="1:14" x14ac:dyDescent="0.25">
      <c r="A239" s="8">
        <v>2.2000000000000002</v>
      </c>
      <c r="B239" s="6">
        <v>3</v>
      </c>
      <c r="C239" s="8">
        <v>23.203712589999999</v>
      </c>
      <c r="D239" s="8">
        <v>0.12</v>
      </c>
      <c r="L239">
        <v>213</v>
      </c>
      <c r="M239">
        <v>2.1897596045444185</v>
      </c>
      <c r="N239">
        <v>-0.16975960454441852</v>
      </c>
    </row>
    <row r="240" spans="1:14" x14ac:dyDescent="0.25">
      <c r="A240" s="8">
        <v>1.34</v>
      </c>
      <c r="B240" s="6">
        <v>2</v>
      </c>
      <c r="C240" s="8">
        <v>24.977338339999999</v>
      </c>
      <c r="D240" s="8">
        <v>6.6666666999999999E-2</v>
      </c>
      <c r="L240">
        <v>214</v>
      </c>
      <c r="M240">
        <v>3.8931657868865459</v>
      </c>
      <c r="N240">
        <v>0.27683421311345402</v>
      </c>
    </row>
    <row r="241" spans="1:14" x14ac:dyDescent="0.25">
      <c r="A241" s="8">
        <v>2.88</v>
      </c>
      <c r="B241" s="6">
        <v>9</v>
      </c>
      <c r="C241" s="8">
        <v>21.51373147</v>
      </c>
      <c r="D241" s="8">
        <v>0.45</v>
      </c>
      <c r="L241">
        <v>215</v>
      </c>
      <c r="M241">
        <v>3.0211692163614385</v>
      </c>
      <c r="N241">
        <v>-9.1169216361438377E-2</v>
      </c>
    </row>
    <row r="242" spans="1:14" x14ac:dyDescent="0.25">
      <c r="A242" s="8">
        <v>3.34</v>
      </c>
      <c r="B242" s="6">
        <v>10</v>
      </c>
      <c r="C242" s="8">
        <v>20.479670469999999</v>
      </c>
      <c r="D242" s="8">
        <v>0.25</v>
      </c>
      <c r="L242">
        <v>216</v>
      </c>
      <c r="M242">
        <v>3.8642335162880546</v>
      </c>
      <c r="N242">
        <v>-0.19423351628805463</v>
      </c>
    </row>
    <row r="243" spans="1:14" x14ac:dyDescent="0.25">
      <c r="A243" s="8">
        <v>3.26</v>
      </c>
      <c r="B243" s="6">
        <v>8</v>
      </c>
      <c r="C243" s="8">
        <v>20.6599647</v>
      </c>
      <c r="D243" s="8">
        <v>0.32</v>
      </c>
      <c r="L243">
        <v>217</v>
      </c>
      <c r="M243">
        <v>4.0115496807177049</v>
      </c>
      <c r="N243">
        <v>0.21845031928229552</v>
      </c>
    </row>
    <row r="244" spans="1:14" x14ac:dyDescent="0.25">
      <c r="A244" s="8">
        <v>2.68</v>
      </c>
      <c r="B244" s="6">
        <v>7</v>
      </c>
      <c r="C244" s="8">
        <v>20.82183977</v>
      </c>
      <c r="D244" s="8">
        <v>0.35</v>
      </c>
      <c r="L244">
        <v>218</v>
      </c>
      <c r="M244">
        <v>3.2864898942327798</v>
      </c>
      <c r="N244">
        <v>0.17351010576722015</v>
      </c>
    </row>
    <row r="245" spans="1:14" x14ac:dyDescent="0.25">
      <c r="A245" s="8">
        <v>3.77</v>
      </c>
      <c r="B245" s="6">
        <v>8</v>
      </c>
      <c r="C245" s="8">
        <v>18.576276180000001</v>
      </c>
      <c r="D245" s="8">
        <v>0.32</v>
      </c>
      <c r="L245">
        <v>219</v>
      </c>
      <c r="M245">
        <v>3.1716190125847925</v>
      </c>
      <c r="N245">
        <v>0.21838098741520762</v>
      </c>
    </row>
    <row r="246" spans="1:14" x14ac:dyDescent="0.25">
      <c r="A246" s="8">
        <v>2.2000000000000002</v>
      </c>
      <c r="B246" s="6">
        <v>4</v>
      </c>
      <c r="C246" s="8">
        <v>23.895723499999999</v>
      </c>
      <c r="D246" s="8">
        <v>0.2</v>
      </c>
      <c r="L246">
        <v>220</v>
      </c>
      <c r="M246">
        <v>2.4256785920715025</v>
      </c>
      <c r="N246">
        <v>0.24432140792849744</v>
      </c>
    </row>
    <row r="247" spans="1:14" x14ac:dyDescent="0.25">
      <c r="A247" s="8">
        <v>3.76</v>
      </c>
      <c r="B247" s="6">
        <v>11</v>
      </c>
      <c r="C247" s="8">
        <v>23.325488830000001</v>
      </c>
      <c r="D247" s="8">
        <v>0.27500000000000002</v>
      </c>
      <c r="L247">
        <v>221</v>
      </c>
      <c r="M247">
        <v>3.0407025088448014</v>
      </c>
      <c r="N247">
        <v>-0.31070250884480144</v>
      </c>
    </row>
    <row r="248" spans="1:14" x14ac:dyDescent="0.25">
      <c r="A248" s="8">
        <v>3.91</v>
      </c>
      <c r="B248" s="6">
        <v>13</v>
      </c>
      <c r="C248" s="8">
        <v>23.464311899999998</v>
      </c>
      <c r="D248" s="8">
        <v>0.65</v>
      </c>
      <c r="L248">
        <v>222</v>
      </c>
      <c r="M248">
        <v>2.9862238619238699</v>
      </c>
      <c r="N248">
        <v>0.15377613807613022</v>
      </c>
    </row>
    <row r="249" spans="1:14" x14ac:dyDescent="0.25">
      <c r="A249" s="8">
        <v>1.82</v>
      </c>
      <c r="B249" s="6">
        <v>3</v>
      </c>
      <c r="C249" s="8">
        <v>24.236976760000001</v>
      </c>
      <c r="D249" s="8">
        <v>0.15</v>
      </c>
      <c r="L249">
        <v>223</v>
      </c>
      <c r="M249">
        <v>2.0032678853288273</v>
      </c>
      <c r="N249">
        <v>-0.40326788532882718</v>
      </c>
    </row>
    <row r="250" spans="1:14" x14ac:dyDescent="0.25">
      <c r="A250" s="8">
        <v>2.5499999999999998</v>
      </c>
      <c r="B250" s="6">
        <v>7</v>
      </c>
      <c r="C250" s="8">
        <v>22.96050181</v>
      </c>
      <c r="D250" s="8">
        <v>0.233333333</v>
      </c>
      <c r="L250">
        <v>224</v>
      </c>
      <c r="M250">
        <v>4.0347624055992881</v>
      </c>
      <c r="N250">
        <v>0.21523759440071188</v>
      </c>
    </row>
    <row r="251" spans="1:14" x14ac:dyDescent="0.25">
      <c r="A251" s="8">
        <v>2.3199999999999998</v>
      </c>
      <c r="B251" s="6">
        <v>7</v>
      </c>
      <c r="C251" s="8">
        <v>20.311771060000002</v>
      </c>
      <c r="D251" s="8">
        <v>0.28000000000000003</v>
      </c>
      <c r="L251">
        <v>225</v>
      </c>
      <c r="M251">
        <v>3.5931070032579298</v>
      </c>
      <c r="N251">
        <v>-0.17310700325792983</v>
      </c>
    </row>
    <row r="252" spans="1:14" x14ac:dyDescent="0.25">
      <c r="A252" s="8">
        <v>3.87</v>
      </c>
      <c r="B252" s="6">
        <v>11</v>
      </c>
      <c r="C252" s="8">
        <v>19.947458009999998</v>
      </c>
      <c r="D252" s="8">
        <v>0.44</v>
      </c>
      <c r="L252">
        <v>226</v>
      </c>
      <c r="M252">
        <v>2.2399940779103824</v>
      </c>
      <c r="N252">
        <v>0.24000592208961757</v>
      </c>
    </row>
    <row r="253" spans="1:14" x14ac:dyDescent="0.25">
      <c r="A253" s="8">
        <v>1.53</v>
      </c>
      <c r="B253" s="6">
        <v>2</v>
      </c>
      <c r="C253" s="8">
        <v>22.185927370000002</v>
      </c>
      <c r="D253" s="8">
        <v>0.05</v>
      </c>
      <c r="L253">
        <v>227</v>
      </c>
      <c r="M253">
        <v>1.0483356207367256</v>
      </c>
      <c r="N253">
        <v>-0.20833562073672562</v>
      </c>
    </row>
    <row r="254" spans="1:14" x14ac:dyDescent="0.25">
      <c r="A254" s="8">
        <v>4.18</v>
      </c>
      <c r="B254" s="6">
        <v>14</v>
      </c>
      <c r="C254" s="8">
        <v>23.818056110000001</v>
      </c>
      <c r="D254" s="8">
        <v>0.56000000000000005</v>
      </c>
      <c r="L254">
        <v>228</v>
      </c>
      <c r="M254">
        <v>2.1856812579356246</v>
      </c>
      <c r="N254">
        <v>-0.24568125793562468</v>
      </c>
    </row>
    <row r="255" spans="1:14" x14ac:dyDescent="0.25">
      <c r="A255" s="8">
        <v>2.42</v>
      </c>
      <c r="B255" s="6">
        <v>5</v>
      </c>
      <c r="C255" s="8">
        <v>23.022283130000002</v>
      </c>
      <c r="D255" s="8">
        <v>0.25</v>
      </c>
      <c r="L255">
        <v>229</v>
      </c>
      <c r="M255">
        <v>3.0366734088058402</v>
      </c>
      <c r="N255">
        <v>7.3326591194159629E-2</v>
      </c>
    </row>
    <row r="256" spans="1:14" x14ac:dyDescent="0.25">
      <c r="A256" s="8">
        <v>3.14</v>
      </c>
      <c r="B256" s="6">
        <v>11</v>
      </c>
      <c r="C256" s="8">
        <v>24.380473599999998</v>
      </c>
      <c r="D256" s="8">
        <v>0.44</v>
      </c>
      <c r="L256">
        <v>230</v>
      </c>
      <c r="M256">
        <v>2.8794952437501706</v>
      </c>
      <c r="N256">
        <v>-0.26949524375017075</v>
      </c>
    </row>
    <row r="257" spans="1:14" x14ac:dyDescent="0.25">
      <c r="A257" s="8">
        <v>2.81</v>
      </c>
      <c r="B257" s="6">
        <v>5</v>
      </c>
      <c r="C257" s="8">
        <v>25.434747139999999</v>
      </c>
      <c r="D257" s="8">
        <v>0.2</v>
      </c>
      <c r="L257">
        <v>231</v>
      </c>
      <c r="M257">
        <v>3.352059327483178</v>
      </c>
      <c r="N257">
        <v>-7.2059327483178226E-2</v>
      </c>
    </row>
    <row r="258" spans="1:14" x14ac:dyDescent="0.25">
      <c r="A258" s="8">
        <v>4.7699999999999996</v>
      </c>
      <c r="B258" s="6">
        <v>12</v>
      </c>
      <c r="C258" s="8">
        <v>26.47779933</v>
      </c>
      <c r="D258" s="8">
        <v>0.4</v>
      </c>
      <c r="L258">
        <v>232</v>
      </c>
      <c r="M258">
        <v>2.5250569922895476</v>
      </c>
      <c r="N258">
        <v>0.22494300771045239</v>
      </c>
    </row>
    <row r="259" spans="1:14" x14ac:dyDescent="0.25">
      <c r="A259" s="8">
        <v>2.44</v>
      </c>
      <c r="B259" s="6">
        <v>7</v>
      </c>
      <c r="C259" s="8">
        <v>24.30090019</v>
      </c>
      <c r="D259" s="8">
        <v>0.28000000000000003</v>
      </c>
      <c r="L259">
        <v>233</v>
      </c>
      <c r="M259">
        <v>3.6940457708827719</v>
      </c>
      <c r="N259">
        <v>0.38595422911722821</v>
      </c>
    </row>
    <row r="260" spans="1:14" x14ac:dyDescent="0.25">
      <c r="A260" s="8">
        <v>3.92</v>
      </c>
      <c r="B260" s="6">
        <v>11</v>
      </c>
      <c r="C260" s="8">
        <v>23.460141520000001</v>
      </c>
      <c r="D260" s="8">
        <v>0.55000000000000004</v>
      </c>
      <c r="L260">
        <v>234</v>
      </c>
      <c r="M260">
        <v>3.0672442101285036</v>
      </c>
      <c r="N260">
        <v>-0.40724421012850343</v>
      </c>
    </row>
    <row r="261" spans="1:14" x14ac:dyDescent="0.25">
      <c r="A261" s="8">
        <v>4.43</v>
      </c>
      <c r="B261" s="6">
        <v>14</v>
      </c>
      <c r="C261" s="8">
        <v>23.90836633</v>
      </c>
      <c r="D261" s="8">
        <v>0.7</v>
      </c>
      <c r="L261">
        <v>235</v>
      </c>
      <c r="M261">
        <v>2.3079390986546748</v>
      </c>
      <c r="N261">
        <v>-0.47793909865467477</v>
      </c>
    </row>
    <row r="262" spans="1:14" x14ac:dyDescent="0.25">
      <c r="A262" s="8">
        <v>2</v>
      </c>
      <c r="B262" s="6">
        <v>4</v>
      </c>
      <c r="C262" s="8">
        <v>19.964252510000001</v>
      </c>
      <c r="D262" s="8">
        <v>0.1</v>
      </c>
      <c r="L262">
        <v>236</v>
      </c>
      <c r="M262">
        <v>2.3366661055552971</v>
      </c>
      <c r="N262">
        <v>3.3333894444703027E-2</v>
      </c>
    </row>
    <row r="263" spans="1:14" x14ac:dyDescent="0.25">
      <c r="A263" s="8">
        <v>3.3</v>
      </c>
      <c r="B263" s="6">
        <v>11</v>
      </c>
      <c r="C263" s="8">
        <v>22.042325089999999</v>
      </c>
      <c r="D263" s="8">
        <v>0.55000000000000004</v>
      </c>
      <c r="L263">
        <v>237</v>
      </c>
      <c r="M263">
        <v>2.8967289385405515</v>
      </c>
      <c r="N263">
        <v>0.1832710614594486</v>
      </c>
    </row>
    <row r="264" spans="1:14" x14ac:dyDescent="0.25">
      <c r="A264" s="8">
        <v>3.13</v>
      </c>
      <c r="B264" s="6">
        <v>9</v>
      </c>
      <c r="C264" s="8">
        <v>22.261445720000001</v>
      </c>
      <c r="D264" s="8">
        <v>0.36</v>
      </c>
      <c r="L264">
        <v>238</v>
      </c>
      <c r="M264">
        <v>1.8601055223943246</v>
      </c>
      <c r="N264">
        <v>0.33989447760567559</v>
      </c>
    </row>
    <row r="265" spans="1:14" x14ac:dyDescent="0.25">
      <c r="A265" s="8">
        <v>3.14</v>
      </c>
      <c r="B265" s="6">
        <v>8</v>
      </c>
      <c r="C265" s="8">
        <v>21.592690900000001</v>
      </c>
      <c r="D265" s="8">
        <v>0.2</v>
      </c>
      <c r="L265">
        <v>239</v>
      </c>
      <c r="M265">
        <v>1.7187526272417475</v>
      </c>
      <c r="N265">
        <v>-0.37875262724174741</v>
      </c>
    </row>
    <row r="266" spans="1:14" x14ac:dyDescent="0.25">
      <c r="A266" s="8">
        <v>3.51</v>
      </c>
      <c r="B266" s="6">
        <v>9</v>
      </c>
      <c r="C266" s="8">
        <v>26.04067847</v>
      </c>
      <c r="D266" s="8">
        <v>0.3</v>
      </c>
      <c r="L266">
        <v>240</v>
      </c>
      <c r="M266">
        <v>3.2203548631309014</v>
      </c>
      <c r="N266">
        <v>-0.34035486313090146</v>
      </c>
    </row>
    <row r="267" spans="1:14" x14ac:dyDescent="0.25">
      <c r="A267" s="8">
        <v>2.3199999999999998</v>
      </c>
      <c r="B267" s="6">
        <v>5</v>
      </c>
      <c r="C267" s="8">
        <v>20.343370100000001</v>
      </c>
      <c r="D267" s="8">
        <v>0.125</v>
      </c>
      <c r="L267">
        <v>241</v>
      </c>
      <c r="M267">
        <v>3.4040183414662444</v>
      </c>
      <c r="N267">
        <v>-6.4018341466244522E-2</v>
      </c>
    </row>
    <row r="268" spans="1:14" x14ac:dyDescent="0.25">
      <c r="A268" s="8">
        <v>3.39</v>
      </c>
      <c r="B268" s="6">
        <v>9</v>
      </c>
      <c r="C268" s="8">
        <v>19.50509383</v>
      </c>
      <c r="D268" s="8">
        <v>0.22500000000000001</v>
      </c>
      <c r="L268">
        <v>242</v>
      </c>
      <c r="M268">
        <v>2.9286885440742818</v>
      </c>
      <c r="N268">
        <v>0.33131145592571798</v>
      </c>
    </row>
    <row r="269" spans="1:14" x14ac:dyDescent="0.25">
      <c r="A269" s="8">
        <v>2.52</v>
      </c>
      <c r="B269" s="6">
        <v>7</v>
      </c>
      <c r="C269" s="8">
        <v>23.39465453</v>
      </c>
      <c r="D269" s="8">
        <v>0.35</v>
      </c>
      <c r="L269">
        <v>243</v>
      </c>
      <c r="M269">
        <v>2.6951272098147578</v>
      </c>
      <c r="N269">
        <v>-1.5127209814757681E-2</v>
      </c>
    </row>
    <row r="270" spans="1:14" x14ac:dyDescent="0.25">
      <c r="A270" s="8">
        <v>3.16</v>
      </c>
      <c r="B270" s="6">
        <v>6</v>
      </c>
      <c r="C270" s="8">
        <v>24.637555290000002</v>
      </c>
      <c r="D270" s="8">
        <v>0.24</v>
      </c>
      <c r="L270">
        <v>244</v>
      </c>
      <c r="M270">
        <v>2.809480487643206</v>
      </c>
      <c r="N270">
        <v>0.960519512356794</v>
      </c>
    </row>
    <row r="271" spans="1:14" x14ac:dyDescent="0.25">
      <c r="A271" s="8">
        <v>4.17</v>
      </c>
      <c r="B271" s="6">
        <v>10</v>
      </c>
      <c r="C271" s="8">
        <v>26.3286342</v>
      </c>
      <c r="D271" s="8">
        <v>0.4</v>
      </c>
      <c r="L271">
        <v>245</v>
      </c>
      <c r="M271">
        <v>2.1425177703640923</v>
      </c>
      <c r="N271">
        <v>5.7482229635907878E-2</v>
      </c>
    </row>
    <row r="272" spans="1:14" x14ac:dyDescent="0.25">
      <c r="A272" s="8">
        <v>2.3199999999999998</v>
      </c>
      <c r="B272" s="6">
        <v>5</v>
      </c>
      <c r="C272" s="8">
        <v>22.780460990000002</v>
      </c>
      <c r="D272" s="8">
        <v>0.2</v>
      </c>
      <c r="L272">
        <v>246</v>
      </c>
      <c r="M272">
        <v>3.809650157800899</v>
      </c>
      <c r="N272">
        <v>-4.9650157800899208E-2</v>
      </c>
    </row>
    <row r="273" spans="1:14" x14ac:dyDescent="0.25">
      <c r="A273" s="8">
        <v>2.12</v>
      </c>
      <c r="B273" s="6">
        <v>5</v>
      </c>
      <c r="C273" s="8">
        <v>21.27121786</v>
      </c>
      <c r="D273" s="8">
        <v>0.125</v>
      </c>
      <c r="L273">
        <v>247</v>
      </c>
      <c r="M273">
        <v>4.3032366921002243</v>
      </c>
      <c r="N273">
        <v>-0.39323669210022416</v>
      </c>
    </row>
    <row r="274" spans="1:14" x14ac:dyDescent="0.25">
      <c r="A274" s="8">
        <v>3.39</v>
      </c>
      <c r="B274" s="6">
        <v>6</v>
      </c>
      <c r="C274" s="8">
        <v>26.499167809999999</v>
      </c>
      <c r="D274" s="8">
        <v>0.3</v>
      </c>
      <c r="L274">
        <v>248</v>
      </c>
      <c r="M274">
        <v>1.9192186826883444</v>
      </c>
      <c r="N274">
        <v>-9.9218682688344328E-2</v>
      </c>
    </row>
    <row r="275" spans="1:14" x14ac:dyDescent="0.25">
      <c r="A275" s="8">
        <v>2.4300000000000002</v>
      </c>
      <c r="B275" s="6">
        <v>7</v>
      </c>
      <c r="C275" s="8">
        <v>21.432468669999999</v>
      </c>
      <c r="D275" s="8">
        <v>0.28000000000000003</v>
      </c>
      <c r="L275">
        <v>249</v>
      </c>
      <c r="M275">
        <v>2.8174803075566981</v>
      </c>
      <c r="N275">
        <v>-0.26748030755669827</v>
      </c>
    </row>
    <row r="276" spans="1:14" x14ac:dyDescent="0.25">
      <c r="A276" s="8">
        <v>2.99</v>
      </c>
      <c r="B276" s="6">
        <v>7</v>
      </c>
      <c r="C276" s="8">
        <v>23.999370219999999</v>
      </c>
      <c r="D276" s="8">
        <v>0.233333333</v>
      </c>
      <c r="L276">
        <v>250</v>
      </c>
      <c r="M276">
        <v>2.665946121095506</v>
      </c>
      <c r="N276">
        <v>-0.34594612109550615</v>
      </c>
    </row>
    <row r="277" spans="1:14" x14ac:dyDescent="0.25">
      <c r="A277" s="8">
        <v>3.75</v>
      </c>
      <c r="B277" s="6">
        <v>10</v>
      </c>
      <c r="C277" s="8">
        <v>19.564411809999999</v>
      </c>
      <c r="D277" s="8">
        <v>0.33333333300000001</v>
      </c>
      <c r="L277">
        <v>251</v>
      </c>
      <c r="M277">
        <v>3.6163926316633201</v>
      </c>
      <c r="N277">
        <v>0.25360736833667996</v>
      </c>
    </row>
    <row r="278" spans="1:14" x14ac:dyDescent="0.25">
      <c r="A278" s="8">
        <v>4.07</v>
      </c>
      <c r="B278" s="6">
        <v>12</v>
      </c>
      <c r="C278" s="8">
        <v>21.900885729999999</v>
      </c>
      <c r="D278" s="8">
        <v>0.4</v>
      </c>
      <c r="L278">
        <v>252</v>
      </c>
      <c r="M278">
        <v>1.5590556892204717</v>
      </c>
      <c r="N278">
        <v>-2.9055689220471637E-2</v>
      </c>
    </row>
    <row r="279" spans="1:14" x14ac:dyDescent="0.25">
      <c r="A279" s="8">
        <v>2.1800000000000002</v>
      </c>
      <c r="B279" s="6">
        <v>4</v>
      </c>
      <c r="C279" s="8">
        <v>24.586338730000001</v>
      </c>
      <c r="D279" s="8">
        <v>0.133333333</v>
      </c>
      <c r="L279">
        <v>253</v>
      </c>
      <c r="M279">
        <v>4.5662966638178997</v>
      </c>
      <c r="N279">
        <v>-0.38629666381789995</v>
      </c>
    </row>
    <row r="280" spans="1:14" x14ac:dyDescent="0.25">
      <c r="A280" s="8">
        <v>2.79</v>
      </c>
      <c r="B280" s="6">
        <v>6</v>
      </c>
      <c r="C280" s="8">
        <v>24.58074379</v>
      </c>
      <c r="D280" s="8">
        <v>0.3</v>
      </c>
      <c r="L280">
        <v>254</v>
      </c>
      <c r="M280">
        <v>2.3353703731493001</v>
      </c>
      <c r="N280">
        <v>8.4629626850699857E-2</v>
      </c>
    </row>
    <row r="281" spans="1:14" x14ac:dyDescent="0.25">
      <c r="A281" s="8">
        <v>3.12</v>
      </c>
      <c r="B281" s="6">
        <v>8</v>
      </c>
      <c r="C281" s="8">
        <v>25.097939889999999</v>
      </c>
      <c r="D281" s="8">
        <v>0.32</v>
      </c>
      <c r="L281">
        <v>255</v>
      </c>
      <c r="M281">
        <v>3.8700059560831135</v>
      </c>
      <c r="N281">
        <v>-0.73000595608311336</v>
      </c>
    </row>
    <row r="282" spans="1:14" x14ac:dyDescent="0.25">
      <c r="A282" s="8">
        <v>3.82</v>
      </c>
      <c r="B282" s="6">
        <v>11</v>
      </c>
      <c r="C282" s="8">
        <v>20.198652020000001</v>
      </c>
      <c r="D282" s="8">
        <v>0.27500000000000002</v>
      </c>
      <c r="L282">
        <v>256</v>
      </c>
      <c r="M282">
        <v>2.4733877126324679</v>
      </c>
      <c r="N282">
        <v>0.33661228736753213</v>
      </c>
    </row>
    <row r="283" spans="1:14" x14ac:dyDescent="0.25">
      <c r="A283" s="8">
        <v>4.26</v>
      </c>
      <c r="B283" s="6">
        <v>11</v>
      </c>
      <c r="C283" s="8">
        <v>23.224209890000001</v>
      </c>
      <c r="D283" s="8">
        <v>0.55000000000000004</v>
      </c>
      <c r="L283">
        <v>257</v>
      </c>
      <c r="M283">
        <v>4.2328164242081598</v>
      </c>
      <c r="N283">
        <v>0.53718357579183973</v>
      </c>
    </row>
    <row r="284" spans="1:14" x14ac:dyDescent="0.25">
      <c r="A284" s="8">
        <v>0.99</v>
      </c>
      <c r="B284" s="6">
        <v>2</v>
      </c>
      <c r="C284" s="8">
        <v>21.580840290000001</v>
      </c>
      <c r="D284" s="8">
        <v>6.6666666999999999E-2</v>
      </c>
      <c r="L284">
        <v>258</v>
      </c>
      <c r="M284">
        <v>2.894164650820807</v>
      </c>
      <c r="N284">
        <v>-0.45416465082080704</v>
      </c>
    </row>
    <row r="285" spans="1:14" x14ac:dyDescent="0.25">
      <c r="A285" s="8">
        <v>2.14</v>
      </c>
      <c r="B285" s="6">
        <v>5</v>
      </c>
      <c r="C285" s="8">
        <v>20.244765000000001</v>
      </c>
      <c r="D285" s="8">
        <v>0.25</v>
      </c>
      <c r="L285">
        <v>259</v>
      </c>
      <c r="M285">
        <v>3.8173536534597012</v>
      </c>
      <c r="N285">
        <v>0.10264634654029869</v>
      </c>
    </row>
    <row r="286" spans="1:14" x14ac:dyDescent="0.25">
      <c r="A286" s="8">
        <v>3.68</v>
      </c>
      <c r="B286" s="6">
        <v>10</v>
      </c>
      <c r="C286" s="8">
        <v>25.030456180000002</v>
      </c>
      <c r="D286" s="8">
        <v>0.33333333300000001</v>
      </c>
      <c r="L286">
        <v>260</v>
      </c>
      <c r="M286">
        <v>4.5714633217414473</v>
      </c>
      <c r="N286">
        <v>-0.1414633217414476</v>
      </c>
    </row>
    <row r="287" spans="1:14" x14ac:dyDescent="0.25">
      <c r="A287" s="8">
        <v>2.64</v>
      </c>
      <c r="B287" s="6">
        <v>6</v>
      </c>
      <c r="C287" s="8">
        <v>21.008369210000001</v>
      </c>
      <c r="D287" s="8">
        <v>0.3</v>
      </c>
      <c r="L287">
        <v>261</v>
      </c>
      <c r="M287">
        <v>1.917597869364178</v>
      </c>
      <c r="N287">
        <v>8.2402130635822024E-2</v>
      </c>
    </row>
    <row r="288" spans="1:14" x14ac:dyDescent="0.25">
      <c r="A288" s="8">
        <v>2.65</v>
      </c>
      <c r="B288" s="6">
        <v>5</v>
      </c>
      <c r="C288" s="8">
        <v>28.241586179999999</v>
      </c>
      <c r="D288" s="8">
        <v>0.125</v>
      </c>
      <c r="L288">
        <v>262</v>
      </c>
      <c r="M288">
        <v>3.7362402147791705</v>
      </c>
      <c r="N288">
        <v>-0.43624021477917063</v>
      </c>
    </row>
    <row r="289" spans="1:14" x14ac:dyDescent="0.25">
      <c r="A289" s="8">
        <v>3.05</v>
      </c>
      <c r="B289" s="6">
        <v>7</v>
      </c>
      <c r="C289" s="8">
        <v>22.893758689999999</v>
      </c>
      <c r="D289" s="8">
        <v>0.35</v>
      </c>
      <c r="L289">
        <v>263</v>
      </c>
      <c r="M289">
        <v>3.2631316801324748</v>
      </c>
      <c r="N289">
        <v>-0.13313168013247489</v>
      </c>
    </row>
    <row r="290" spans="1:14" x14ac:dyDescent="0.25">
      <c r="A290" s="8">
        <v>3.15</v>
      </c>
      <c r="B290" s="6">
        <v>8</v>
      </c>
      <c r="C290" s="8">
        <v>22.448595610000002</v>
      </c>
      <c r="D290" s="8">
        <v>0.4</v>
      </c>
      <c r="L290">
        <v>264</v>
      </c>
      <c r="M290">
        <v>2.9820499157078615</v>
      </c>
      <c r="N290">
        <v>0.15795008429213864</v>
      </c>
    </row>
    <row r="291" spans="1:14" x14ac:dyDescent="0.25">
      <c r="A291" s="8">
        <v>2.52</v>
      </c>
      <c r="B291" s="6">
        <v>7</v>
      </c>
      <c r="C291" s="8">
        <v>20.844256380000001</v>
      </c>
      <c r="D291" s="8">
        <v>0.35</v>
      </c>
      <c r="L291">
        <v>265</v>
      </c>
      <c r="M291">
        <v>3.4793420141646312</v>
      </c>
      <c r="N291">
        <v>3.0657985835368606E-2</v>
      </c>
    </row>
    <row r="292" spans="1:14" x14ac:dyDescent="0.25">
      <c r="A292" s="8">
        <v>2.8</v>
      </c>
      <c r="B292" s="6">
        <v>8</v>
      </c>
      <c r="C292" s="8">
        <v>24.303043980000002</v>
      </c>
      <c r="D292" s="8">
        <v>0.26666666700000002</v>
      </c>
      <c r="L292">
        <v>266</v>
      </c>
      <c r="M292">
        <v>2.1821094550279181</v>
      </c>
      <c r="N292">
        <v>0.13789054497208175</v>
      </c>
    </row>
    <row r="293" spans="1:14" x14ac:dyDescent="0.25">
      <c r="A293" s="8">
        <v>2.77</v>
      </c>
      <c r="B293" s="6">
        <v>5</v>
      </c>
      <c r="C293" s="8">
        <v>23.914560810000001</v>
      </c>
      <c r="D293" s="8">
        <v>0.16666666699999999</v>
      </c>
      <c r="L293">
        <v>267</v>
      </c>
      <c r="M293">
        <v>3.1054404760522112</v>
      </c>
      <c r="N293">
        <v>0.28455952394778894</v>
      </c>
    </row>
    <row r="294" spans="1:14" x14ac:dyDescent="0.25">
      <c r="A294" s="8">
        <v>3.62</v>
      </c>
      <c r="B294" s="6">
        <v>10</v>
      </c>
      <c r="C294" s="8">
        <v>23.712005260000002</v>
      </c>
      <c r="D294" s="8">
        <v>0.4</v>
      </c>
      <c r="L294">
        <v>268</v>
      </c>
      <c r="M294">
        <v>2.8423182338823976</v>
      </c>
      <c r="N294">
        <v>-0.32231823388239755</v>
      </c>
    </row>
    <row r="295" spans="1:14" x14ac:dyDescent="0.25">
      <c r="A295" s="8">
        <v>3.24</v>
      </c>
      <c r="B295" s="6">
        <v>10</v>
      </c>
      <c r="C295" s="8">
        <v>20.820733929999999</v>
      </c>
      <c r="D295" s="8">
        <v>0.25</v>
      </c>
      <c r="L295">
        <v>269</v>
      </c>
      <c r="M295">
        <v>2.6706025018902233</v>
      </c>
      <c r="N295">
        <v>0.48939749810977684</v>
      </c>
    </row>
    <row r="296" spans="1:14" x14ac:dyDescent="0.25">
      <c r="A296" s="8">
        <v>3.16</v>
      </c>
      <c r="B296" s="6">
        <v>7</v>
      </c>
      <c r="C296" s="8">
        <v>24.021584180000001</v>
      </c>
      <c r="D296" s="8">
        <v>0.233333333</v>
      </c>
      <c r="L296">
        <v>270</v>
      </c>
      <c r="M296">
        <v>3.7386382194838839</v>
      </c>
      <c r="N296">
        <v>0.43136178051611607</v>
      </c>
    </row>
    <row r="297" spans="1:14" x14ac:dyDescent="0.25">
      <c r="A297" s="8">
        <v>2.93</v>
      </c>
      <c r="B297" s="6">
        <v>9</v>
      </c>
      <c r="C297" s="8">
        <v>23.926412580000001</v>
      </c>
      <c r="D297" s="8">
        <v>0.3</v>
      </c>
      <c r="L297">
        <v>271</v>
      </c>
      <c r="M297">
        <v>2.3215357011075293</v>
      </c>
      <c r="N297">
        <v>-1.5357011075294302E-3</v>
      </c>
    </row>
    <row r="298" spans="1:14" x14ac:dyDescent="0.25">
      <c r="A298" s="8">
        <v>2.84</v>
      </c>
      <c r="B298" s="6">
        <v>9</v>
      </c>
      <c r="C298" s="8">
        <v>23.699300090000001</v>
      </c>
      <c r="D298" s="8">
        <v>0.22500000000000001</v>
      </c>
      <c r="L298">
        <v>272</v>
      </c>
      <c r="M298">
        <v>2.2351917305560889</v>
      </c>
      <c r="N298">
        <v>-0.11519173055608878</v>
      </c>
    </row>
    <row r="299" spans="1:14" x14ac:dyDescent="0.25">
      <c r="A299" s="8">
        <v>4.1100000000000003</v>
      </c>
      <c r="B299" s="6">
        <v>11</v>
      </c>
      <c r="C299" s="8">
        <v>24.513577359999999</v>
      </c>
      <c r="D299" s="8">
        <v>0.366666667</v>
      </c>
      <c r="L299">
        <v>273</v>
      </c>
      <c r="M299">
        <v>2.777105565187302</v>
      </c>
      <c r="N299">
        <v>0.61289443481269812</v>
      </c>
    </row>
    <row r="300" spans="1:14" x14ac:dyDescent="0.25">
      <c r="A300" s="8">
        <v>2.64</v>
      </c>
      <c r="B300" s="6">
        <v>6</v>
      </c>
      <c r="C300" s="8">
        <v>25.42959411</v>
      </c>
      <c r="D300" s="8">
        <v>0.3</v>
      </c>
      <c r="L300">
        <v>274</v>
      </c>
      <c r="M300">
        <v>2.7300613584031685</v>
      </c>
      <c r="N300">
        <v>-0.30006135840316839</v>
      </c>
    </row>
    <row r="301" spans="1:14" x14ac:dyDescent="0.25">
      <c r="A301" s="8">
        <v>2.79</v>
      </c>
      <c r="B301" s="6">
        <v>5</v>
      </c>
      <c r="C301" s="8">
        <v>25.6698065</v>
      </c>
      <c r="D301" s="8">
        <v>0.2</v>
      </c>
      <c r="L301">
        <v>275</v>
      </c>
      <c r="M301">
        <v>2.8769140870564009</v>
      </c>
      <c r="N301">
        <v>0.11308591294359926</v>
      </c>
    </row>
    <row r="302" spans="1:14" x14ac:dyDescent="0.25">
      <c r="A302" s="8">
        <v>3.68</v>
      </c>
      <c r="B302" s="6">
        <v>12</v>
      </c>
      <c r="C302" s="8">
        <v>23.99972825</v>
      </c>
      <c r="D302" s="8">
        <v>0.6</v>
      </c>
      <c r="L302">
        <v>276</v>
      </c>
      <c r="M302">
        <v>3.3516562897761428</v>
      </c>
      <c r="N302">
        <v>0.39834371022385717</v>
      </c>
    </row>
    <row r="303" spans="1:14" x14ac:dyDescent="0.25">
      <c r="A303" s="8">
        <v>4.66</v>
      </c>
      <c r="B303" s="6">
        <v>12</v>
      </c>
      <c r="C303" s="8">
        <v>25.379030090000001</v>
      </c>
      <c r="D303" s="8">
        <v>0.4</v>
      </c>
      <c r="L303">
        <v>277</v>
      </c>
      <c r="M303">
        <v>3.9709706783243375</v>
      </c>
      <c r="N303">
        <v>9.9029321675662807E-2</v>
      </c>
    </row>
    <row r="304" spans="1:14" x14ac:dyDescent="0.25">
      <c r="A304" s="8">
        <v>3.37</v>
      </c>
      <c r="B304" s="6">
        <v>9</v>
      </c>
      <c r="C304" s="8">
        <v>20.5879996</v>
      </c>
      <c r="D304" s="8">
        <v>0.3</v>
      </c>
      <c r="L304">
        <v>278</v>
      </c>
      <c r="M304">
        <v>2.1820279459588594</v>
      </c>
      <c r="N304">
        <v>-2.0279459588592452E-3</v>
      </c>
    </row>
    <row r="305" spans="1:14" x14ac:dyDescent="0.25">
      <c r="A305" s="8">
        <v>3.1</v>
      </c>
      <c r="B305" s="6">
        <v>7</v>
      </c>
      <c r="C305" s="8">
        <v>24.69303618</v>
      </c>
      <c r="D305" s="8">
        <v>0.28000000000000003</v>
      </c>
      <c r="L305">
        <v>279</v>
      </c>
      <c r="M305">
        <v>2.6673523095352092</v>
      </c>
      <c r="N305">
        <v>0.12264769046479085</v>
      </c>
    </row>
    <row r="306" spans="1:14" x14ac:dyDescent="0.25">
      <c r="A306" s="8">
        <v>3.6</v>
      </c>
      <c r="B306" s="6">
        <v>11</v>
      </c>
      <c r="C306" s="8">
        <v>21.385129200000002</v>
      </c>
      <c r="D306" s="8">
        <v>0.55000000000000004</v>
      </c>
      <c r="L306">
        <v>280</v>
      </c>
      <c r="M306">
        <v>3.1825856077722836</v>
      </c>
      <c r="N306">
        <v>-6.2585607772283502E-2</v>
      </c>
    </row>
    <row r="307" spans="1:14" x14ac:dyDescent="0.25">
      <c r="A307" s="8">
        <v>4.2699999999999996</v>
      </c>
      <c r="B307" s="6">
        <v>12</v>
      </c>
      <c r="C307" s="8">
        <v>23.506330479999999</v>
      </c>
      <c r="D307" s="8">
        <v>0.4</v>
      </c>
      <c r="L307">
        <v>281</v>
      </c>
      <c r="M307">
        <v>3.630763469450164</v>
      </c>
      <c r="N307">
        <v>0.1892365305498358</v>
      </c>
    </row>
    <row r="308" spans="1:14" x14ac:dyDescent="0.25">
      <c r="A308" s="8">
        <v>3.3</v>
      </c>
      <c r="B308" s="6">
        <v>10</v>
      </c>
      <c r="C308" s="8">
        <v>21.6674316</v>
      </c>
      <c r="D308" s="8">
        <v>0.33333333300000001</v>
      </c>
      <c r="L308">
        <v>282</v>
      </c>
      <c r="M308">
        <v>3.8038559781627646</v>
      </c>
      <c r="N308">
        <v>0.45614402183723524</v>
      </c>
    </row>
    <row r="309" spans="1:14" x14ac:dyDescent="0.25">
      <c r="A309" s="8">
        <v>2.27</v>
      </c>
      <c r="B309" s="6">
        <v>5</v>
      </c>
      <c r="C309" s="8">
        <v>19.595573470000001</v>
      </c>
      <c r="D309" s="8">
        <v>0.2</v>
      </c>
      <c r="L309">
        <v>283</v>
      </c>
      <c r="M309">
        <v>1.5244385887824681</v>
      </c>
      <c r="N309">
        <v>-0.53443858878246808</v>
      </c>
    </row>
    <row r="310" spans="1:14" x14ac:dyDescent="0.25">
      <c r="A310" s="8">
        <v>2.37</v>
      </c>
      <c r="B310" s="6">
        <v>6</v>
      </c>
      <c r="C310" s="8">
        <v>22.087758350000001</v>
      </c>
      <c r="D310" s="8">
        <v>0.3</v>
      </c>
      <c r="L310">
        <v>284</v>
      </c>
      <c r="M310">
        <v>2.176468246079283</v>
      </c>
      <c r="N310">
        <v>-3.6468246079282896E-2</v>
      </c>
    </row>
    <row r="311" spans="1:14" x14ac:dyDescent="0.25">
      <c r="A311" s="8">
        <v>2.68</v>
      </c>
      <c r="B311" s="6">
        <v>6</v>
      </c>
      <c r="C311" s="8">
        <v>19.163800800000001</v>
      </c>
      <c r="D311" s="8">
        <v>0.24</v>
      </c>
      <c r="L311">
        <v>285</v>
      </c>
      <c r="M311">
        <v>3.664369307801373</v>
      </c>
      <c r="N311">
        <v>1.5630692198627116E-2</v>
      </c>
    </row>
    <row r="312" spans="1:14" x14ac:dyDescent="0.25">
      <c r="A312" s="8">
        <v>2.68</v>
      </c>
      <c r="B312" s="6">
        <v>8</v>
      </c>
      <c r="C312" s="8">
        <v>22.838800500000001</v>
      </c>
      <c r="D312" s="8">
        <v>0.4</v>
      </c>
      <c r="L312">
        <v>286</v>
      </c>
      <c r="M312">
        <v>2.4629763548576928</v>
      </c>
      <c r="N312">
        <v>0.17702364514230728</v>
      </c>
    </row>
    <row r="313" spans="1:14" x14ac:dyDescent="0.25">
      <c r="A313" s="8">
        <v>3.86</v>
      </c>
      <c r="B313" s="6">
        <v>10</v>
      </c>
      <c r="C313" s="8">
        <v>25.447706400000001</v>
      </c>
      <c r="D313" s="8">
        <v>0.4</v>
      </c>
      <c r="L313">
        <v>287</v>
      </c>
      <c r="M313">
        <v>2.6339672922873323</v>
      </c>
      <c r="N313">
        <v>1.6032707712667627E-2</v>
      </c>
    </row>
    <row r="314" spans="1:14" x14ac:dyDescent="0.25">
      <c r="A314" s="8">
        <v>4.34</v>
      </c>
      <c r="B314" s="6">
        <v>12</v>
      </c>
      <c r="C314" s="8">
        <v>26.125777540000001</v>
      </c>
      <c r="D314" s="8">
        <v>0.4</v>
      </c>
      <c r="L314">
        <v>288</v>
      </c>
      <c r="M314">
        <v>2.8136619260956599</v>
      </c>
      <c r="N314">
        <v>0.23633807390433992</v>
      </c>
    </row>
    <row r="315" spans="1:14" x14ac:dyDescent="0.25">
      <c r="A315" s="8">
        <v>3.54</v>
      </c>
      <c r="B315" s="6">
        <v>8</v>
      </c>
      <c r="C315" s="8">
        <v>18.806648599999999</v>
      </c>
      <c r="D315" s="8">
        <v>0.4</v>
      </c>
      <c r="L315">
        <v>289</v>
      </c>
      <c r="M315">
        <v>3.0310163211902426</v>
      </c>
      <c r="N315">
        <v>0.11898367880975735</v>
      </c>
    </row>
    <row r="316" spans="1:14" x14ac:dyDescent="0.25">
      <c r="A316" s="8">
        <v>2.56</v>
      </c>
      <c r="B316" s="6">
        <v>6</v>
      </c>
      <c r="C316" s="8">
        <v>21.903462409999999</v>
      </c>
      <c r="D316" s="8">
        <v>0.15</v>
      </c>
      <c r="L316">
        <v>290</v>
      </c>
      <c r="M316">
        <v>2.6964096666139499</v>
      </c>
      <c r="N316">
        <v>-0.17640966661394986</v>
      </c>
    </row>
    <row r="317" spans="1:14" x14ac:dyDescent="0.25">
      <c r="A317" s="8">
        <v>3.2</v>
      </c>
      <c r="B317" s="6">
        <v>9</v>
      </c>
      <c r="C317" s="8">
        <v>21.93757141</v>
      </c>
      <c r="D317" s="8">
        <v>0.45</v>
      </c>
      <c r="L317">
        <v>291</v>
      </c>
      <c r="M317">
        <v>3.1371095226537111</v>
      </c>
      <c r="N317">
        <v>-0.3371095226537113</v>
      </c>
    </row>
    <row r="318" spans="1:14" x14ac:dyDescent="0.25">
      <c r="A318" s="8">
        <v>2.65</v>
      </c>
      <c r="B318" s="6">
        <v>6</v>
      </c>
      <c r="C318" s="8">
        <v>23.592369609999999</v>
      </c>
      <c r="D318" s="8">
        <v>0.24</v>
      </c>
      <c r="L318">
        <v>292</v>
      </c>
      <c r="M318">
        <v>2.3864176803685337</v>
      </c>
      <c r="N318">
        <v>0.38358231963146627</v>
      </c>
    </row>
    <row r="319" spans="1:14" x14ac:dyDescent="0.25">
      <c r="A319" s="8">
        <v>2.73</v>
      </c>
      <c r="B319" s="6">
        <v>8</v>
      </c>
      <c r="C319" s="8">
        <v>21.126987249999999</v>
      </c>
      <c r="D319" s="8">
        <v>0.2</v>
      </c>
      <c r="L319">
        <v>293</v>
      </c>
      <c r="M319">
        <v>3.5889405812117747</v>
      </c>
      <c r="N319">
        <v>3.1059418788225379E-2</v>
      </c>
    </row>
    <row r="320" spans="1:14" x14ac:dyDescent="0.25">
      <c r="A320" s="8">
        <v>3.7</v>
      </c>
      <c r="B320" s="6">
        <v>11</v>
      </c>
      <c r="C320" s="8">
        <v>22.229956380000001</v>
      </c>
      <c r="D320" s="8">
        <v>0.366666667</v>
      </c>
      <c r="L320">
        <v>294</v>
      </c>
      <c r="M320">
        <v>3.4235306206749705</v>
      </c>
      <c r="N320">
        <v>-0.18353062067497028</v>
      </c>
    </row>
    <row r="321" spans="1:14" x14ac:dyDescent="0.25">
      <c r="A321" s="8">
        <v>2.35</v>
      </c>
      <c r="B321" s="6">
        <v>6</v>
      </c>
      <c r="C321" s="8">
        <v>21.698334549999998</v>
      </c>
      <c r="D321" s="8">
        <v>0.24</v>
      </c>
      <c r="L321">
        <v>295</v>
      </c>
      <c r="M321">
        <v>2.8781849502261219</v>
      </c>
      <c r="N321">
        <v>0.28181504977387828</v>
      </c>
    </row>
    <row r="322" spans="1:14" x14ac:dyDescent="0.25">
      <c r="A322" s="8">
        <v>2.2799999999999998</v>
      </c>
      <c r="B322" s="6">
        <v>5</v>
      </c>
      <c r="C322" s="8">
        <v>19.893735889999999</v>
      </c>
      <c r="D322" s="8">
        <v>0.2</v>
      </c>
      <c r="L322">
        <v>296</v>
      </c>
      <c r="M322">
        <v>3.3583846229296794</v>
      </c>
      <c r="N322">
        <v>-0.42838462292967927</v>
      </c>
    </row>
    <row r="323" spans="1:14" x14ac:dyDescent="0.25">
      <c r="A323" s="8">
        <v>2.42</v>
      </c>
      <c r="B323" s="6">
        <v>5</v>
      </c>
      <c r="C323" s="8">
        <v>25.442471319999999</v>
      </c>
      <c r="D323" s="8">
        <v>0.25</v>
      </c>
      <c r="L323">
        <v>297</v>
      </c>
      <c r="M323">
        <v>3.3453914916318581</v>
      </c>
      <c r="N323">
        <v>-0.50539149163185826</v>
      </c>
    </row>
    <row r="324" spans="1:14" x14ac:dyDescent="0.25">
      <c r="A324" s="8">
        <v>3.7</v>
      </c>
      <c r="B324" s="6">
        <v>9</v>
      </c>
      <c r="C324" s="8">
        <v>26.067709879999999</v>
      </c>
      <c r="D324" s="8">
        <v>0.36</v>
      </c>
      <c r="L324">
        <v>298</v>
      </c>
      <c r="M324">
        <v>3.8776208372810328</v>
      </c>
      <c r="N324">
        <v>0.23237916271896752</v>
      </c>
    </row>
    <row r="325" spans="1:14" x14ac:dyDescent="0.25">
      <c r="A325" s="8">
        <v>3.1</v>
      </c>
      <c r="B325" s="6">
        <v>7</v>
      </c>
      <c r="C325" s="8">
        <v>20.65547909</v>
      </c>
      <c r="D325" s="8">
        <v>0.28000000000000003</v>
      </c>
      <c r="L325">
        <v>299</v>
      </c>
      <c r="M325">
        <v>2.715915132566022</v>
      </c>
      <c r="N325">
        <v>-7.5915132566021892E-2</v>
      </c>
    </row>
    <row r="326" spans="1:14" x14ac:dyDescent="0.25">
      <c r="A326" s="8">
        <v>3.65</v>
      </c>
      <c r="B326" s="6">
        <v>8</v>
      </c>
      <c r="C326" s="8">
        <v>24.752093590000001</v>
      </c>
      <c r="D326" s="8">
        <v>0.4</v>
      </c>
      <c r="L326">
        <v>300</v>
      </c>
      <c r="M326">
        <v>2.4868354852638266</v>
      </c>
      <c r="N326">
        <v>0.30316451473617345</v>
      </c>
    </row>
    <row r="327" spans="1:14" x14ac:dyDescent="0.25">
      <c r="A327" s="8">
        <v>1.96</v>
      </c>
      <c r="B327" s="6">
        <v>6</v>
      </c>
      <c r="C327" s="8">
        <v>22.063132299999999</v>
      </c>
      <c r="D327" s="8">
        <v>0.2</v>
      </c>
      <c r="L327">
        <v>301</v>
      </c>
      <c r="M327">
        <v>4.091045696813234</v>
      </c>
      <c r="N327">
        <v>-0.41104569681323389</v>
      </c>
    </row>
    <row r="328" spans="1:14" x14ac:dyDescent="0.25">
      <c r="A328" s="8">
        <v>2.33</v>
      </c>
      <c r="B328" s="6">
        <v>5</v>
      </c>
      <c r="C328" s="8">
        <v>22.889603529999999</v>
      </c>
      <c r="D328" s="8">
        <v>0.125</v>
      </c>
      <c r="L328">
        <v>302</v>
      </c>
      <c r="M328">
        <v>4.1699557114339445</v>
      </c>
      <c r="N328">
        <v>0.49004428856605564</v>
      </c>
    </row>
    <row r="329" spans="1:14" x14ac:dyDescent="0.25">
      <c r="A329" s="8">
        <v>3.56</v>
      </c>
      <c r="B329" s="6">
        <v>11</v>
      </c>
      <c r="C329" s="8">
        <v>24.270892060000001</v>
      </c>
      <c r="D329" s="8">
        <v>0.44</v>
      </c>
      <c r="L329">
        <v>303</v>
      </c>
      <c r="M329">
        <v>3.1673936379094823</v>
      </c>
      <c r="N329">
        <v>0.20260636209051786</v>
      </c>
    </row>
    <row r="330" spans="1:14" x14ac:dyDescent="0.25">
      <c r="A330" s="8">
        <v>2.59</v>
      </c>
      <c r="B330" s="6">
        <v>9</v>
      </c>
      <c r="C330" s="8">
        <v>21.327786010000001</v>
      </c>
      <c r="D330" s="8">
        <v>0.22500000000000001</v>
      </c>
      <c r="L330">
        <v>304</v>
      </c>
      <c r="M330">
        <v>2.9165987952602914</v>
      </c>
      <c r="N330">
        <v>0.18340120473970867</v>
      </c>
    </row>
    <row r="331" spans="1:14" x14ac:dyDescent="0.25">
      <c r="A331" s="8">
        <v>2.93</v>
      </c>
      <c r="B331" s="6">
        <v>9</v>
      </c>
      <c r="C331" s="8">
        <v>23.245686880000001</v>
      </c>
      <c r="D331" s="8">
        <v>0.3</v>
      </c>
      <c r="L331">
        <v>305</v>
      </c>
      <c r="M331">
        <v>3.698641963414139</v>
      </c>
      <c r="N331">
        <v>-9.8641963414138889E-2</v>
      </c>
    </row>
    <row r="332" spans="1:14" x14ac:dyDescent="0.25">
      <c r="A332" s="8">
        <v>3.99</v>
      </c>
      <c r="B332" s="6">
        <v>11</v>
      </c>
      <c r="C332" s="8">
        <v>23.93343247</v>
      </c>
      <c r="D332" s="8">
        <v>0.27500000000000002</v>
      </c>
      <c r="L332">
        <v>306</v>
      </c>
      <c r="M332">
        <v>4.0628183544611591</v>
      </c>
      <c r="N332">
        <v>0.20718164553884044</v>
      </c>
    </row>
    <row r="333" spans="1:14" x14ac:dyDescent="0.25">
      <c r="A333" s="8">
        <v>3.09</v>
      </c>
      <c r="B333" s="6">
        <v>6</v>
      </c>
      <c r="C333" s="8">
        <v>26.032788109999998</v>
      </c>
      <c r="D333" s="8">
        <v>0.15</v>
      </c>
      <c r="L333">
        <v>307</v>
      </c>
      <c r="M333">
        <v>3.4719702903552649</v>
      </c>
      <c r="N333">
        <v>-0.17197029035526512</v>
      </c>
    </row>
    <row r="334" spans="1:14" x14ac:dyDescent="0.25">
      <c r="A334" s="8">
        <v>2.35</v>
      </c>
      <c r="B334" s="6">
        <v>4</v>
      </c>
      <c r="C334" s="8">
        <v>19.511338559999999</v>
      </c>
      <c r="D334" s="8">
        <v>0.1</v>
      </c>
      <c r="L334">
        <v>308</v>
      </c>
      <c r="M334">
        <v>2.1393279250572057</v>
      </c>
      <c r="N334">
        <v>0.13067207494279431</v>
      </c>
    </row>
    <row r="335" spans="1:14" x14ac:dyDescent="0.25">
      <c r="A335" s="8">
        <v>3.39</v>
      </c>
      <c r="B335" s="6">
        <v>8</v>
      </c>
      <c r="C335" s="8">
        <v>22.172788929999999</v>
      </c>
      <c r="D335" s="8">
        <v>0.32</v>
      </c>
      <c r="L335">
        <v>309</v>
      </c>
      <c r="M335">
        <v>2.5247283299140273</v>
      </c>
      <c r="N335">
        <v>-0.15472832991402719</v>
      </c>
    </row>
    <row r="336" spans="1:14" x14ac:dyDescent="0.25">
      <c r="A336" s="8">
        <v>3.39</v>
      </c>
      <c r="B336" s="6">
        <v>9</v>
      </c>
      <c r="C336" s="8">
        <v>21.83280135</v>
      </c>
      <c r="D336" s="8">
        <v>0.22500000000000001</v>
      </c>
      <c r="L336">
        <v>310</v>
      </c>
      <c r="M336">
        <v>2.3574483870257925</v>
      </c>
      <c r="N336">
        <v>0.32255161297420765</v>
      </c>
    </row>
    <row r="337" spans="1:14" x14ac:dyDescent="0.25">
      <c r="A337" s="8">
        <v>2.73</v>
      </c>
      <c r="B337" s="6">
        <v>6</v>
      </c>
      <c r="C337" s="8">
        <v>23.968893210000001</v>
      </c>
      <c r="D337" s="8">
        <v>0.2</v>
      </c>
      <c r="L337">
        <v>311</v>
      </c>
      <c r="M337">
        <v>3.0533399871798226</v>
      </c>
      <c r="N337">
        <v>-0.37333998717982242</v>
      </c>
    </row>
    <row r="338" spans="1:14" x14ac:dyDescent="0.25">
      <c r="A338" s="8">
        <v>3.2</v>
      </c>
      <c r="B338" s="6">
        <v>8</v>
      </c>
      <c r="C338" s="8">
        <v>18.023345290000002</v>
      </c>
      <c r="D338" s="8">
        <v>0.4</v>
      </c>
      <c r="L338">
        <v>312</v>
      </c>
      <c r="M338">
        <v>3.6882402401860457</v>
      </c>
      <c r="N338">
        <v>0.17175975981395419</v>
      </c>
    </row>
    <row r="339" spans="1:14" x14ac:dyDescent="0.25">
      <c r="A339" s="8">
        <v>2.93</v>
      </c>
      <c r="B339" s="6">
        <v>7</v>
      </c>
      <c r="C339" s="8">
        <v>24.220432339999999</v>
      </c>
      <c r="D339" s="8">
        <v>0.28000000000000003</v>
      </c>
      <c r="L339">
        <v>313</v>
      </c>
      <c r="M339">
        <v>4.2126772176979239</v>
      </c>
      <c r="N339">
        <v>0.12732278230207594</v>
      </c>
    </row>
    <row r="340" spans="1:14" x14ac:dyDescent="0.25">
      <c r="A340" s="8">
        <v>2.88</v>
      </c>
      <c r="B340" s="6">
        <v>9</v>
      </c>
      <c r="C340" s="8">
        <v>22.422902610000001</v>
      </c>
      <c r="D340" s="8">
        <v>0.45</v>
      </c>
      <c r="L340">
        <v>314</v>
      </c>
      <c r="M340">
        <v>2.8226601199058647</v>
      </c>
      <c r="N340">
        <v>0.7173398800941353</v>
      </c>
    </row>
    <row r="341" spans="1:14" x14ac:dyDescent="0.25">
      <c r="A341" s="8">
        <v>2.42</v>
      </c>
      <c r="B341" s="6">
        <v>6</v>
      </c>
      <c r="C341" s="8">
        <v>20.600280560000002</v>
      </c>
      <c r="D341" s="8">
        <v>0.24</v>
      </c>
      <c r="L341">
        <v>315</v>
      </c>
      <c r="M341">
        <v>2.5141847382952864</v>
      </c>
      <c r="N341">
        <v>4.5815261704713617E-2</v>
      </c>
    </row>
    <row r="342" spans="1:14" x14ac:dyDescent="0.25">
      <c r="A342" s="8">
        <v>5.04</v>
      </c>
      <c r="B342" s="6">
        <v>15</v>
      </c>
      <c r="C342" s="8">
        <v>26.252760810000002</v>
      </c>
      <c r="D342" s="8">
        <v>0.5</v>
      </c>
      <c r="L342">
        <v>316</v>
      </c>
      <c r="M342">
        <v>3.244602794143769</v>
      </c>
      <c r="N342">
        <v>-4.4602794143768776E-2</v>
      </c>
    </row>
    <row r="343" spans="1:14" x14ac:dyDescent="0.25">
      <c r="A343" s="8">
        <v>4.42</v>
      </c>
      <c r="B343" s="6">
        <v>12</v>
      </c>
      <c r="C343" s="8">
        <v>19.36404155</v>
      </c>
      <c r="D343" s="8">
        <v>0.48</v>
      </c>
      <c r="L343">
        <v>317</v>
      </c>
      <c r="M343">
        <v>2.6108073106577097</v>
      </c>
      <c r="N343">
        <v>3.9192689342290254E-2</v>
      </c>
    </row>
    <row r="344" spans="1:14" x14ac:dyDescent="0.25">
      <c r="A344" s="8">
        <v>1.69</v>
      </c>
      <c r="B344" s="6">
        <v>2</v>
      </c>
      <c r="C344" s="8">
        <v>26.015267120000001</v>
      </c>
      <c r="D344" s="8">
        <v>0.05</v>
      </c>
      <c r="L344">
        <v>318</v>
      </c>
      <c r="M344">
        <v>2.9554069571003252</v>
      </c>
      <c r="N344">
        <v>-0.22540695710032521</v>
      </c>
    </row>
    <row r="345" spans="1:14" x14ac:dyDescent="0.25">
      <c r="A345" s="8">
        <v>3.91</v>
      </c>
      <c r="B345" s="6">
        <v>9</v>
      </c>
      <c r="C345" s="8">
        <v>25.564726950000001</v>
      </c>
      <c r="D345" s="8">
        <v>0.22500000000000001</v>
      </c>
      <c r="L345">
        <v>319</v>
      </c>
      <c r="M345">
        <v>3.7469746221494984</v>
      </c>
      <c r="N345">
        <v>-4.6974622149498213E-2</v>
      </c>
    </row>
    <row r="346" spans="1:14" x14ac:dyDescent="0.25">
      <c r="A346" s="8">
        <v>2.5</v>
      </c>
      <c r="B346" s="6">
        <v>7</v>
      </c>
      <c r="C346" s="8">
        <v>22.344352950000001</v>
      </c>
      <c r="D346" s="8">
        <v>0.17499999999999999</v>
      </c>
      <c r="L346">
        <v>320</v>
      </c>
      <c r="M346">
        <v>2.5024493501718901</v>
      </c>
      <c r="N346">
        <v>-0.15244935017188999</v>
      </c>
    </row>
    <row r="347" spans="1:14" x14ac:dyDescent="0.25">
      <c r="A347" s="8">
        <v>3.26</v>
      </c>
      <c r="B347" s="6">
        <v>6</v>
      </c>
      <c r="C347" s="8">
        <v>25.09741425</v>
      </c>
      <c r="D347" s="8">
        <v>0.24</v>
      </c>
      <c r="L347">
        <v>321</v>
      </c>
      <c r="M347">
        <v>2.1563858309043744</v>
      </c>
      <c r="N347">
        <v>0.12361416909562539</v>
      </c>
    </row>
    <row r="348" spans="1:14" x14ac:dyDescent="0.25">
      <c r="A348" s="8">
        <v>2.2400000000000002</v>
      </c>
      <c r="B348" s="6">
        <v>5</v>
      </c>
      <c r="C348" s="8">
        <v>23.982415329999998</v>
      </c>
      <c r="D348" s="8">
        <v>0.2</v>
      </c>
      <c r="L348">
        <v>322</v>
      </c>
      <c r="M348">
        <v>2.4738296138458624</v>
      </c>
      <c r="N348">
        <v>-5.382961384586249E-2</v>
      </c>
    </row>
    <row r="349" spans="1:14" x14ac:dyDescent="0.25">
      <c r="A349" s="8">
        <v>2.1</v>
      </c>
      <c r="B349" s="6">
        <v>5</v>
      </c>
      <c r="C349" s="8">
        <v>23.145361050000002</v>
      </c>
      <c r="D349" s="8">
        <v>0.16666666699999999</v>
      </c>
      <c r="L349">
        <v>323</v>
      </c>
      <c r="M349">
        <v>3.4808884841949466</v>
      </c>
      <c r="N349">
        <v>0.21911151580505361</v>
      </c>
    </row>
    <row r="350" spans="1:14" x14ac:dyDescent="0.25">
      <c r="A350" s="8">
        <v>2.37</v>
      </c>
      <c r="B350" s="6">
        <v>3</v>
      </c>
      <c r="C350" s="8">
        <v>19.537597389999998</v>
      </c>
      <c r="D350" s="8">
        <v>0.15</v>
      </c>
      <c r="L350">
        <v>324</v>
      </c>
      <c r="M350">
        <v>2.6856096964537146</v>
      </c>
      <c r="N350">
        <v>0.41439030354628548</v>
      </c>
    </row>
    <row r="351" spans="1:14" x14ac:dyDescent="0.25">
      <c r="A351" s="8">
        <v>3.23</v>
      </c>
      <c r="B351" s="6">
        <v>8</v>
      </c>
      <c r="C351" s="8">
        <v>25.420487000000001</v>
      </c>
      <c r="D351" s="8">
        <v>0.32</v>
      </c>
      <c r="L351">
        <v>325</v>
      </c>
      <c r="M351">
        <v>3.1627997017449858</v>
      </c>
      <c r="N351">
        <v>0.4872002982550141</v>
      </c>
    </row>
    <row r="352" spans="1:14" x14ac:dyDescent="0.25">
      <c r="A352" s="8">
        <v>3.17</v>
      </c>
      <c r="B352" s="6">
        <v>9</v>
      </c>
      <c r="C352" s="8">
        <v>24.354719039999999</v>
      </c>
      <c r="D352" s="8">
        <v>0.45</v>
      </c>
      <c r="L352">
        <v>326</v>
      </c>
      <c r="M352">
        <v>2.5233194708019782</v>
      </c>
      <c r="N352">
        <v>-0.56331947080197819</v>
      </c>
    </row>
    <row r="353" spans="1:14" x14ac:dyDescent="0.25">
      <c r="A353" s="8">
        <v>2.94</v>
      </c>
      <c r="B353" s="6">
        <v>6</v>
      </c>
      <c r="C353" s="8">
        <v>25.657281659999999</v>
      </c>
      <c r="D353" s="8">
        <v>0.3</v>
      </c>
      <c r="L353">
        <v>327</v>
      </c>
      <c r="M353">
        <v>2.3277797581930626</v>
      </c>
      <c r="N353">
        <v>2.220241806937473E-3</v>
      </c>
    </row>
    <row r="354" spans="1:14" x14ac:dyDescent="0.25">
      <c r="A354" s="8">
        <v>2.5499999999999998</v>
      </c>
      <c r="B354" s="6">
        <v>7</v>
      </c>
      <c r="C354" s="8">
        <v>22.806752660000001</v>
      </c>
      <c r="D354" s="8">
        <v>0.28000000000000003</v>
      </c>
      <c r="L354">
        <v>328</v>
      </c>
      <c r="M354">
        <v>3.8637367837578163</v>
      </c>
      <c r="N354">
        <v>-0.30373678375781621</v>
      </c>
    </row>
    <row r="355" spans="1:14" x14ac:dyDescent="0.25">
      <c r="A355" s="8">
        <v>3.65</v>
      </c>
      <c r="B355" s="6">
        <v>9</v>
      </c>
      <c r="C355" s="8">
        <v>24.950624919999999</v>
      </c>
      <c r="D355" s="8">
        <v>0.3</v>
      </c>
      <c r="L355">
        <v>329</v>
      </c>
      <c r="M355">
        <v>3.2097169022859751</v>
      </c>
      <c r="N355">
        <v>-0.6197169022859752</v>
      </c>
    </row>
    <row r="356" spans="1:14" x14ac:dyDescent="0.25">
      <c r="A356" s="8">
        <v>3.47</v>
      </c>
      <c r="B356" s="6">
        <v>8</v>
      </c>
      <c r="C356" s="8">
        <v>24.2104474</v>
      </c>
      <c r="D356" s="8">
        <v>0.2</v>
      </c>
      <c r="L356">
        <v>330</v>
      </c>
      <c r="M356">
        <v>3.3194402284672648</v>
      </c>
      <c r="N356">
        <v>-0.38944022846726467</v>
      </c>
    </row>
    <row r="357" spans="1:14" x14ac:dyDescent="0.25">
      <c r="A357" s="8">
        <v>3.63</v>
      </c>
      <c r="B357" s="6">
        <v>10</v>
      </c>
      <c r="C357" s="8">
        <v>23.370351070000002</v>
      </c>
      <c r="D357" s="8">
        <v>0.5</v>
      </c>
      <c r="L357">
        <v>331</v>
      </c>
      <c r="M357">
        <v>3.8444306823603154</v>
      </c>
      <c r="N357">
        <v>0.14556931763968484</v>
      </c>
    </row>
    <row r="358" spans="1:14" x14ac:dyDescent="0.25">
      <c r="A358" s="8">
        <v>1.98</v>
      </c>
      <c r="B358" s="6">
        <v>5</v>
      </c>
      <c r="C358" s="8">
        <v>21.095367240000002</v>
      </c>
      <c r="D358" s="8">
        <v>0.25</v>
      </c>
      <c r="L358">
        <v>332</v>
      </c>
      <c r="M358">
        <v>2.7504239296826309</v>
      </c>
      <c r="N358">
        <v>0.33957607031736892</v>
      </c>
    </row>
    <row r="359" spans="1:14" x14ac:dyDescent="0.25">
      <c r="A359" s="8">
        <v>4.16</v>
      </c>
      <c r="B359" s="6">
        <v>9</v>
      </c>
      <c r="C359" s="8">
        <v>26.334448219999999</v>
      </c>
      <c r="D359" s="8">
        <v>0.36</v>
      </c>
      <c r="L359">
        <v>333</v>
      </c>
      <c r="M359">
        <v>1.8916866109434511</v>
      </c>
      <c r="N359">
        <v>0.45831338905654895</v>
      </c>
    </row>
    <row r="360" spans="1:14" x14ac:dyDescent="0.25">
      <c r="A360" s="8">
        <v>3.87</v>
      </c>
      <c r="B360" s="6">
        <v>10</v>
      </c>
      <c r="C360" s="8">
        <v>25.14577349</v>
      </c>
      <c r="D360" s="8">
        <v>0.25</v>
      </c>
      <c r="L360">
        <v>334</v>
      </c>
      <c r="M360">
        <v>3.0152373897626665</v>
      </c>
      <c r="N360">
        <v>0.37476261023733359</v>
      </c>
    </row>
    <row r="361" spans="1:14" x14ac:dyDescent="0.25">
      <c r="A361" s="8">
        <v>2.5499999999999998</v>
      </c>
      <c r="B361" s="6">
        <v>7</v>
      </c>
      <c r="C361" s="8">
        <v>22.628765059999999</v>
      </c>
      <c r="D361" s="8">
        <v>0.17499999999999999</v>
      </c>
      <c r="L361">
        <v>335</v>
      </c>
      <c r="M361">
        <v>3.238608887134689</v>
      </c>
      <c r="N361">
        <v>0.15139111286531115</v>
      </c>
    </row>
    <row r="362" spans="1:14" x14ac:dyDescent="0.25">
      <c r="A362" s="8">
        <v>2.29</v>
      </c>
      <c r="B362" s="6">
        <v>5</v>
      </c>
      <c r="C362" s="8">
        <v>23.438221200000001</v>
      </c>
      <c r="D362" s="8">
        <v>0.16666666699999999</v>
      </c>
      <c r="L362">
        <v>336</v>
      </c>
      <c r="M362">
        <v>2.6323482684955115</v>
      </c>
      <c r="N362">
        <v>9.765173150448847E-2</v>
      </c>
    </row>
    <row r="363" spans="1:14" x14ac:dyDescent="0.25">
      <c r="A363" s="8">
        <v>2.97</v>
      </c>
      <c r="B363" s="6">
        <v>6</v>
      </c>
      <c r="C363" s="8">
        <v>19.662801479999999</v>
      </c>
      <c r="D363" s="8">
        <v>0.2</v>
      </c>
      <c r="L363">
        <v>337</v>
      </c>
      <c r="M363">
        <v>2.7778472487474017</v>
      </c>
      <c r="N363">
        <v>0.42215275125259843</v>
      </c>
    </row>
    <row r="364" spans="1:14" x14ac:dyDescent="0.25">
      <c r="A364" s="8">
        <v>3.95</v>
      </c>
      <c r="B364" s="6">
        <v>13</v>
      </c>
      <c r="C364" s="8">
        <v>21.23786333</v>
      </c>
      <c r="D364" s="8">
        <v>0.65</v>
      </c>
      <c r="L364">
        <v>338</v>
      </c>
      <c r="M364">
        <v>2.8895610760006667</v>
      </c>
      <c r="N364">
        <v>4.0438923999333465E-2</v>
      </c>
    </row>
    <row r="365" spans="1:14" x14ac:dyDescent="0.25">
      <c r="A365" s="8">
        <v>2.96</v>
      </c>
      <c r="B365" s="6">
        <v>8</v>
      </c>
      <c r="C365" s="8">
        <v>21.479621099999999</v>
      </c>
      <c r="D365" s="8">
        <v>0.2</v>
      </c>
      <c r="L365">
        <v>339</v>
      </c>
      <c r="M365">
        <v>3.2723686471117364</v>
      </c>
      <c r="N365">
        <v>-0.39236864711173647</v>
      </c>
    </row>
    <row r="366" spans="1:14" x14ac:dyDescent="0.25">
      <c r="A366" s="8">
        <v>2.33</v>
      </c>
      <c r="B366" s="6">
        <v>4</v>
      </c>
      <c r="C366" s="8">
        <v>21.167451799999998</v>
      </c>
      <c r="D366" s="8">
        <v>0.2</v>
      </c>
      <c r="L366">
        <v>340</v>
      </c>
      <c r="M366">
        <v>2.4396295569312536</v>
      </c>
      <c r="N366">
        <v>-1.9629556931253678E-2</v>
      </c>
    </row>
    <row r="367" spans="1:14" x14ac:dyDescent="0.25">
      <c r="A367" s="8">
        <v>3.31</v>
      </c>
      <c r="B367" s="6">
        <v>7</v>
      </c>
      <c r="C367" s="8">
        <v>18.695232910000001</v>
      </c>
      <c r="D367" s="8">
        <v>0.17499999999999999</v>
      </c>
      <c r="L367">
        <v>341</v>
      </c>
      <c r="M367">
        <v>4.9484086210611071</v>
      </c>
      <c r="N367">
        <v>9.1591378938892909E-2</v>
      </c>
    </row>
    <row r="368" spans="1:14" x14ac:dyDescent="0.25">
      <c r="A368" s="8">
        <v>1.88</v>
      </c>
      <c r="B368" s="6">
        <v>5</v>
      </c>
      <c r="C368" s="8">
        <v>25.83706269</v>
      </c>
      <c r="D368" s="8">
        <v>0.16666666699999999</v>
      </c>
      <c r="L368">
        <v>342</v>
      </c>
      <c r="M368">
        <v>3.825837535216035</v>
      </c>
      <c r="N368">
        <v>0.59416246478396495</v>
      </c>
    </row>
    <row r="369" spans="1:14" x14ac:dyDescent="0.25">
      <c r="A369" s="8">
        <v>3.52</v>
      </c>
      <c r="B369" s="6">
        <v>10</v>
      </c>
      <c r="C369" s="8">
        <v>21.16614491</v>
      </c>
      <c r="D369" s="8">
        <v>0.33333333300000001</v>
      </c>
      <c r="L369">
        <v>343</v>
      </c>
      <c r="M369">
        <v>1.7781326504026362</v>
      </c>
      <c r="N369">
        <v>-8.8132650402636292E-2</v>
      </c>
    </row>
    <row r="370" spans="1:14" x14ac:dyDescent="0.25">
      <c r="A370" s="8">
        <v>2.54</v>
      </c>
      <c r="B370" s="6">
        <v>9</v>
      </c>
      <c r="C370" s="8">
        <v>22.080902120000001</v>
      </c>
      <c r="D370" s="8">
        <v>0.3</v>
      </c>
      <c r="L370">
        <v>344</v>
      </c>
      <c r="M370">
        <v>3.452112773752722</v>
      </c>
      <c r="N370">
        <v>0.45788722624727818</v>
      </c>
    </row>
    <row r="371" spans="1:14" x14ac:dyDescent="0.25">
      <c r="A371" s="8">
        <v>2.74</v>
      </c>
      <c r="B371" s="6">
        <v>8</v>
      </c>
      <c r="C371" s="8">
        <v>23.39226292</v>
      </c>
      <c r="D371" s="8">
        <v>0.2</v>
      </c>
      <c r="L371">
        <v>345</v>
      </c>
      <c r="M371">
        <v>2.7822303614309583</v>
      </c>
      <c r="N371">
        <v>-0.28223036143095825</v>
      </c>
    </row>
    <row r="372" spans="1:14" x14ac:dyDescent="0.25">
      <c r="A372" s="8">
        <v>2.5099999999999998</v>
      </c>
      <c r="B372" s="6">
        <v>7</v>
      </c>
      <c r="C372" s="8">
        <v>24.827543240000001</v>
      </c>
      <c r="D372" s="8">
        <v>0.233333333</v>
      </c>
      <c r="L372">
        <v>346</v>
      </c>
      <c r="M372">
        <v>2.6969110851203193</v>
      </c>
      <c r="N372">
        <v>0.56308891487968049</v>
      </c>
    </row>
    <row r="373" spans="1:14" x14ac:dyDescent="0.25">
      <c r="A373" s="8">
        <v>3.79</v>
      </c>
      <c r="B373" s="6">
        <v>12</v>
      </c>
      <c r="C373" s="8">
        <v>22.251639449999999</v>
      </c>
      <c r="D373" s="8">
        <v>0.48</v>
      </c>
      <c r="L373">
        <v>347</v>
      </c>
      <c r="M373">
        <v>2.3902996451495571</v>
      </c>
      <c r="N373">
        <v>-0.15029964514955685</v>
      </c>
    </row>
    <row r="374" spans="1:14" x14ac:dyDescent="0.25">
      <c r="A374" s="8">
        <v>3.6</v>
      </c>
      <c r="B374" s="6">
        <v>10</v>
      </c>
      <c r="C374" s="8">
        <v>23.856633380000002</v>
      </c>
      <c r="D374" s="8">
        <v>0.4</v>
      </c>
      <c r="L374">
        <v>348</v>
      </c>
      <c r="M374">
        <v>2.3424116749043149</v>
      </c>
      <c r="N374">
        <v>-0.24241167490431481</v>
      </c>
    </row>
    <row r="375" spans="1:14" x14ac:dyDescent="0.25">
      <c r="A375" s="8">
        <v>2.2400000000000002</v>
      </c>
      <c r="B375" s="6">
        <v>7</v>
      </c>
      <c r="C375" s="8">
        <v>20.693335189999999</v>
      </c>
      <c r="D375" s="8">
        <v>0.28000000000000003</v>
      </c>
      <c r="L375">
        <v>349</v>
      </c>
      <c r="M375">
        <v>1.6503666562203989</v>
      </c>
      <c r="N375">
        <v>0.7196333437796012</v>
      </c>
    </row>
    <row r="376" spans="1:14" x14ac:dyDescent="0.25">
      <c r="A376" s="8">
        <v>2.86</v>
      </c>
      <c r="B376" s="6">
        <v>7</v>
      </c>
      <c r="C376" s="8">
        <v>23.800962770000002</v>
      </c>
      <c r="D376" s="8">
        <v>0.35</v>
      </c>
      <c r="L376">
        <v>350</v>
      </c>
      <c r="M376">
        <v>3.2010385644985413</v>
      </c>
      <c r="N376">
        <v>2.8961435501458688E-2</v>
      </c>
    </row>
    <row r="377" spans="1:14" x14ac:dyDescent="0.25">
      <c r="A377" s="8">
        <v>2.63</v>
      </c>
      <c r="B377" s="6">
        <v>7</v>
      </c>
      <c r="C377" s="8">
        <v>24.011931109999999</v>
      </c>
      <c r="D377" s="8">
        <v>0.233333333</v>
      </c>
      <c r="L377">
        <v>351</v>
      </c>
      <c r="M377">
        <v>3.3828880840580604</v>
      </c>
      <c r="N377">
        <v>-0.21288808405806048</v>
      </c>
    </row>
    <row r="378" spans="1:14" x14ac:dyDescent="0.25">
      <c r="A378" s="8">
        <v>2.75</v>
      </c>
      <c r="B378" s="6">
        <v>8</v>
      </c>
      <c r="C378" s="8">
        <v>23.24783485</v>
      </c>
      <c r="D378" s="8">
        <v>0.32</v>
      </c>
      <c r="L378">
        <v>352</v>
      </c>
      <c r="M378">
        <v>2.7289411631116307</v>
      </c>
      <c r="N378">
        <v>0.21105883688836924</v>
      </c>
    </row>
    <row r="379" spans="1:14" x14ac:dyDescent="0.25">
      <c r="A379" s="8">
        <v>3.16</v>
      </c>
      <c r="B379" s="6">
        <v>7</v>
      </c>
      <c r="C379" s="8">
        <v>25.4049555</v>
      </c>
      <c r="D379" s="8">
        <v>0.35</v>
      </c>
      <c r="L379">
        <v>353</v>
      </c>
      <c r="M379">
        <v>2.8086843012565677</v>
      </c>
      <c r="N379">
        <v>-0.25868430125656783</v>
      </c>
    </row>
    <row r="380" spans="1:14" x14ac:dyDescent="0.25">
      <c r="A380" s="8">
        <v>2.82</v>
      </c>
      <c r="B380" s="6">
        <v>10</v>
      </c>
      <c r="C380" s="8">
        <v>23.871950779999999</v>
      </c>
      <c r="D380" s="8">
        <v>0.33333333300000001</v>
      </c>
      <c r="L380">
        <v>354</v>
      </c>
      <c r="M380">
        <v>3.4169799270033052</v>
      </c>
      <c r="N380">
        <v>0.23302007299669469</v>
      </c>
    </row>
    <row r="381" spans="1:14" x14ac:dyDescent="0.25">
      <c r="A381" s="8">
        <v>3.08</v>
      </c>
      <c r="B381" s="6">
        <v>8</v>
      </c>
      <c r="C381" s="8">
        <v>21.820181399999999</v>
      </c>
      <c r="D381" s="8">
        <v>0.32</v>
      </c>
      <c r="L381">
        <v>355</v>
      </c>
      <c r="M381">
        <v>3.1318120618153875</v>
      </c>
      <c r="N381">
        <v>0.33818793818461268</v>
      </c>
    </row>
    <row r="382" spans="1:14" x14ac:dyDescent="0.25">
      <c r="A382" s="8">
        <v>2.1800000000000002</v>
      </c>
      <c r="B382" s="6">
        <v>7</v>
      </c>
      <c r="C382" s="8">
        <v>22.41318897</v>
      </c>
      <c r="D382" s="8">
        <v>0.35</v>
      </c>
      <c r="L382">
        <v>356</v>
      </c>
      <c r="M382">
        <v>3.569394506272785</v>
      </c>
      <c r="N382">
        <v>6.060549372721491E-2</v>
      </c>
    </row>
    <row r="383" spans="1:14" x14ac:dyDescent="0.25">
      <c r="A383" s="8">
        <v>3.89</v>
      </c>
      <c r="B383" s="6">
        <v>11</v>
      </c>
      <c r="C383" s="8">
        <v>23.103567699999999</v>
      </c>
      <c r="D383" s="8">
        <v>0.44</v>
      </c>
      <c r="L383">
        <v>357</v>
      </c>
      <c r="M383">
        <v>2.2251312966518895</v>
      </c>
      <c r="N383">
        <v>-0.24513129665188949</v>
      </c>
    </row>
    <row r="384" spans="1:14" x14ac:dyDescent="0.25">
      <c r="A384" s="8">
        <v>2.97</v>
      </c>
      <c r="B384" s="6">
        <v>6</v>
      </c>
      <c r="C384" s="8">
        <v>23.281965400000001</v>
      </c>
      <c r="D384" s="8">
        <v>0.2</v>
      </c>
      <c r="L384">
        <v>358</v>
      </c>
      <c r="M384">
        <v>3.4961486148631575</v>
      </c>
      <c r="N384">
        <v>0.66385138513684261</v>
      </c>
    </row>
    <row r="385" spans="1:14" x14ac:dyDescent="0.25">
      <c r="A385" s="8">
        <v>1.68</v>
      </c>
      <c r="B385" s="6">
        <v>5</v>
      </c>
      <c r="C385" s="8">
        <v>22.044708830000001</v>
      </c>
      <c r="D385" s="8">
        <v>0.16666666699999999</v>
      </c>
      <c r="L385">
        <v>359</v>
      </c>
      <c r="M385">
        <v>3.6709666241785635</v>
      </c>
      <c r="N385">
        <v>0.19903337582143665</v>
      </c>
    </row>
    <row r="386" spans="1:14" x14ac:dyDescent="0.25">
      <c r="A386" s="8">
        <v>2.37</v>
      </c>
      <c r="B386" s="6">
        <v>6</v>
      </c>
      <c r="C386" s="8">
        <v>21.544655290000001</v>
      </c>
      <c r="D386" s="8">
        <v>0.3</v>
      </c>
      <c r="L386">
        <v>360</v>
      </c>
      <c r="M386">
        <v>2.7985016104843252</v>
      </c>
      <c r="N386">
        <v>-0.2485016104843254</v>
      </c>
    </row>
    <row r="387" spans="1:14" x14ac:dyDescent="0.25">
      <c r="A387" s="8">
        <v>3.51</v>
      </c>
      <c r="B387" s="6">
        <v>7</v>
      </c>
      <c r="C387" s="8">
        <v>27.207346210000001</v>
      </c>
      <c r="D387" s="8">
        <v>0.233333333</v>
      </c>
      <c r="L387">
        <v>361</v>
      </c>
      <c r="M387">
        <v>2.3591662372837305</v>
      </c>
      <c r="N387">
        <v>-6.9166237283730503E-2</v>
      </c>
    </row>
    <row r="388" spans="1:14" x14ac:dyDescent="0.25">
      <c r="A388" s="8">
        <v>2.4300000000000002</v>
      </c>
      <c r="B388" s="6">
        <v>5</v>
      </c>
      <c r="C388" s="8">
        <v>19.724790169999999</v>
      </c>
      <c r="D388" s="8">
        <v>0.125</v>
      </c>
      <c r="L388">
        <v>362</v>
      </c>
      <c r="M388">
        <v>2.3859962724940993</v>
      </c>
      <c r="N388">
        <v>0.5840037275059009</v>
      </c>
    </row>
    <row r="389" spans="1:14" x14ac:dyDescent="0.25">
      <c r="A389" s="8">
        <v>3.71</v>
      </c>
      <c r="B389" s="6">
        <v>8</v>
      </c>
      <c r="C389" s="8">
        <v>25.307180689999999</v>
      </c>
      <c r="D389" s="8">
        <v>0.26666666700000002</v>
      </c>
      <c r="L389">
        <v>363</v>
      </c>
      <c r="M389">
        <v>4.1758613170257162</v>
      </c>
      <c r="N389">
        <v>-0.22586131702571599</v>
      </c>
    </row>
    <row r="390" spans="1:14" x14ac:dyDescent="0.25">
      <c r="A390" s="8">
        <v>2.86</v>
      </c>
      <c r="B390" s="6">
        <v>5</v>
      </c>
      <c r="C390" s="8">
        <v>26.060390399999999</v>
      </c>
      <c r="D390" s="8">
        <v>0.125</v>
      </c>
      <c r="L390">
        <v>364</v>
      </c>
      <c r="M390">
        <v>2.9755811796325426</v>
      </c>
      <c r="N390">
        <v>-1.5581179632542685E-2</v>
      </c>
    </row>
    <row r="391" spans="1:14" x14ac:dyDescent="0.25">
      <c r="A391" s="8">
        <v>3.36</v>
      </c>
      <c r="B391" s="6">
        <v>6</v>
      </c>
      <c r="C391" s="8">
        <v>20.191997409999999</v>
      </c>
      <c r="D391" s="8">
        <v>0.3</v>
      </c>
      <c r="L391">
        <v>365</v>
      </c>
      <c r="M391">
        <v>1.9864330371368304</v>
      </c>
      <c r="N391">
        <v>0.34356696286316968</v>
      </c>
    </row>
    <row r="392" spans="1:14" x14ac:dyDescent="0.25">
      <c r="A392" s="8">
        <v>2.85</v>
      </c>
      <c r="B392" s="6">
        <v>9</v>
      </c>
      <c r="C392" s="8">
        <v>19.945408619999998</v>
      </c>
      <c r="D392" s="8">
        <v>0.3</v>
      </c>
      <c r="L392">
        <v>366</v>
      </c>
      <c r="M392">
        <v>2.5734637902871631</v>
      </c>
      <c r="N392">
        <v>0.73653620971283695</v>
      </c>
    </row>
    <row r="393" spans="1:14" x14ac:dyDescent="0.25">
      <c r="A393" s="8">
        <v>3.52</v>
      </c>
      <c r="B393" s="6">
        <v>10</v>
      </c>
      <c r="C393" s="8">
        <v>21.408885860000002</v>
      </c>
      <c r="D393" s="8">
        <v>0.5</v>
      </c>
      <c r="L393">
        <v>367</v>
      </c>
      <c r="M393">
        <v>2.4964042308534826</v>
      </c>
      <c r="N393">
        <v>-0.61640423085348273</v>
      </c>
    </row>
    <row r="394" spans="1:14" x14ac:dyDescent="0.25">
      <c r="A394" s="8">
        <v>3.01</v>
      </c>
      <c r="B394" s="6">
        <v>8</v>
      </c>
      <c r="C394" s="8">
        <v>25.736196960000001</v>
      </c>
      <c r="D394" s="8">
        <v>0.26666666700000002</v>
      </c>
      <c r="L394">
        <v>368</v>
      </c>
      <c r="M394">
        <v>3.4432916219957219</v>
      </c>
      <c r="N394">
        <v>7.6708378004278099E-2</v>
      </c>
    </row>
    <row r="395" spans="1:14" x14ac:dyDescent="0.25">
      <c r="A395" s="8">
        <v>3.37</v>
      </c>
      <c r="B395" s="6">
        <v>9</v>
      </c>
      <c r="C395" s="8">
        <v>25.40934888</v>
      </c>
      <c r="D395" s="8">
        <v>0.22500000000000001</v>
      </c>
      <c r="L395">
        <v>369</v>
      </c>
      <c r="M395">
        <v>3.2528027603104901</v>
      </c>
      <c r="N395">
        <v>-0.71280276031049006</v>
      </c>
    </row>
    <row r="396" spans="1:14" x14ac:dyDescent="0.25">
      <c r="A396" s="8">
        <v>4.3099999999999996</v>
      </c>
      <c r="B396" s="6">
        <v>10</v>
      </c>
      <c r="C396" s="8">
        <v>23.69341996</v>
      </c>
      <c r="D396" s="8">
        <v>0.25</v>
      </c>
      <c r="L396">
        <v>370</v>
      </c>
      <c r="M396">
        <v>3.0850036349671797</v>
      </c>
      <c r="N396">
        <v>-0.34500363496717945</v>
      </c>
    </row>
    <row r="397" spans="1:14" x14ac:dyDescent="0.25">
      <c r="A397" s="8">
        <v>1.93</v>
      </c>
      <c r="B397" s="6">
        <v>3</v>
      </c>
      <c r="C397" s="8">
        <v>24.281085869999998</v>
      </c>
      <c r="D397" s="8">
        <v>0.1</v>
      </c>
      <c r="L397">
        <v>371</v>
      </c>
      <c r="M397">
        <v>2.9242939594102855</v>
      </c>
      <c r="N397">
        <v>-0.41429395941028568</v>
      </c>
    </row>
    <row r="398" spans="1:14" x14ac:dyDescent="0.25">
      <c r="A398" s="8">
        <v>3.29</v>
      </c>
      <c r="B398" s="6">
        <v>8</v>
      </c>
      <c r="C398" s="8">
        <v>24.872418020000001</v>
      </c>
      <c r="D398" s="8">
        <v>0.4</v>
      </c>
      <c r="L398">
        <v>372</v>
      </c>
      <c r="M398">
        <v>3.991037338406128</v>
      </c>
      <c r="N398">
        <v>-0.20103733840612792</v>
      </c>
    </row>
    <row r="399" spans="1:14" x14ac:dyDescent="0.25">
      <c r="A399" s="8">
        <v>2.81</v>
      </c>
      <c r="B399" s="6">
        <v>9</v>
      </c>
      <c r="C399" s="8">
        <v>24.045123839999999</v>
      </c>
      <c r="D399" s="8">
        <v>0.36</v>
      </c>
      <c r="L399">
        <v>373</v>
      </c>
      <c r="M399">
        <v>3.5972147723516681</v>
      </c>
      <c r="N399">
        <v>2.7852276483320004E-3</v>
      </c>
    </row>
    <row r="400" spans="1:14" x14ac:dyDescent="0.25">
      <c r="A400" s="8">
        <v>2.37</v>
      </c>
      <c r="B400" s="6">
        <v>5</v>
      </c>
      <c r="C400" s="8">
        <v>20.021707159999998</v>
      </c>
      <c r="D400" s="8">
        <v>0.125</v>
      </c>
      <c r="L400">
        <v>374</v>
      </c>
      <c r="M400">
        <v>2.6877754482259899</v>
      </c>
      <c r="N400">
        <v>-0.44777544822598969</v>
      </c>
    </row>
    <row r="401" spans="1:14" x14ac:dyDescent="0.25">
      <c r="A401" s="8">
        <v>3.2</v>
      </c>
      <c r="B401" s="6">
        <v>8</v>
      </c>
      <c r="C401" s="8">
        <v>27.607277499999999</v>
      </c>
      <c r="D401" s="8">
        <v>0.2</v>
      </c>
      <c r="L401">
        <v>375</v>
      </c>
      <c r="M401">
        <v>2.865563174350914</v>
      </c>
      <c r="N401">
        <v>-5.5631743509141351E-3</v>
      </c>
    </row>
    <row r="402" spans="1:14" x14ac:dyDescent="0.25">
      <c r="A402" s="8">
        <v>3.2</v>
      </c>
      <c r="B402" s="6">
        <v>10</v>
      </c>
      <c r="C402" s="8">
        <v>22.05227026</v>
      </c>
      <c r="D402" s="8">
        <v>0.33333333300000001</v>
      </c>
      <c r="L402">
        <v>376</v>
      </c>
      <c r="M402">
        <v>2.8776326969971731</v>
      </c>
      <c r="N402">
        <v>-0.24763269699717316</v>
      </c>
    </row>
    <row r="403" spans="1:14" x14ac:dyDescent="0.25">
      <c r="A403" s="8">
        <v>4.38</v>
      </c>
      <c r="B403" s="6">
        <v>12</v>
      </c>
      <c r="C403" s="8">
        <v>24.38571151</v>
      </c>
      <c r="D403" s="8">
        <v>0.6</v>
      </c>
      <c r="L403">
        <v>377</v>
      </c>
      <c r="M403">
        <v>3.0767408887104644</v>
      </c>
      <c r="N403">
        <v>-0.32674088871046436</v>
      </c>
    </row>
    <row r="404" spans="1:14" x14ac:dyDescent="0.25">
      <c r="A404" s="8">
        <v>3.48</v>
      </c>
      <c r="B404" s="6">
        <v>9</v>
      </c>
      <c r="C404" s="8">
        <v>26.795534029999999</v>
      </c>
      <c r="D404" s="8">
        <v>0.45</v>
      </c>
      <c r="L404">
        <v>378</v>
      </c>
      <c r="M404">
        <v>2.9573277802589386</v>
      </c>
      <c r="N404">
        <v>0.20267221974106153</v>
      </c>
    </row>
    <row r="405" spans="1:14" x14ac:dyDescent="0.25">
      <c r="A405" s="8">
        <v>3.8</v>
      </c>
      <c r="B405" s="6">
        <v>11</v>
      </c>
      <c r="C405" s="8">
        <v>22.75253464</v>
      </c>
      <c r="D405" s="8">
        <v>0.366666667</v>
      </c>
      <c r="L405">
        <v>379</v>
      </c>
      <c r="M405">
        <v>3.5980910825420107</v>
      </c>
      <c r="N405">
        <v>-0.77809108254201087</v>
      </c>
    </row>
    <row r="406" spans="1:14" x14ac:dyDescent="0.25">
      <c r="A406" s="8">
        <v>2.0699999999999998</v>
      </c>
      <c r="B406" s="6">
        <v>4</v>
      </c>
      <c r="C406" s="8">
        <v>24.98047691</v>
      </c>
      <c r="D406" s="8">
        <v>0.16</v>
      </c>
      <c r="L406">
        <v>380</v>
      </c>
      <c r="M406">
        <v>2.9950646730006323</v>
      </c>
      <c r="N406">
        <v>8.4935326999367788E-2</v>
      </c>
    </row>
    <row r="407" spans="1:14" x14ac:dyDescent="0.25">
      <c r="A407" s="8">
        <v>4.3099999999999996</v>
      </c>
      <c r="B407" s="6">
        <v>13</v>
      </c>
      <c r="C407" s="8">
        <v>24.979720279999999</v>
      </c>
      <c r="D407" s="8">
        <v>0.43333333299999999</v>
      </c>
      <c r="L407">
        <v>381</v>
      </c>
      <c r="M407">
        <v>2.7861684779382427</v>
      </c>
      <c r="N407">
        <v>-0.60616847793824258</v>
      </c>
    </row>
    <row r="408" spans="1:14" x14ac:dyDescent="0.25">
      <c r="A408" s="8">
        <v>4.24</v>
      </c>
      <c r="B408" s="6">
        <v>12</v>
      </c>
      <c r="C408" s="8">
        <v>20.713961380000001</v>
      </c>
      <c r="D408" s="8">
        <v>0.4</v>
      </c>
      <c r="L408">
        <v>382</v>
      </c>
      <c r="M408">
        <v>3.7969540247971585</v>
      </c>
      <c r="N408">
        <v>9.3045975202841635E-2</v>
      </c>
    </row>
    <row r="409" spans="1:14" x14ac:dyDescent="0.25">
      <c r="A409" s="8">
        <v>3.12</v>
      </c>
      <c r="B409" s="6">
        <v>7</v>
      </c>
      <c r="C409" s="8">
        <v>23.357389430000001</v>
      </c>
      <c r="D409" s="8">
        <v>0.28000000000000003</v>
      </c>
      <c r="L409">
        <v>383</v>
      </c>
      <c r="M409">
        <v>2.5930490506169415</v>
      </c>
      <c r="N409">
        <v>0.37695094938305873</v>
      </c>
    </row>
    <row r="410" spans="1:14" x14ac:dyDescent="0.25">
      <c r="A410" s="8">
        <v>4.24</v>
      </c>
      <c r="B410" s="6">
        <v>12</v>
      </c>
      <c r="C410" s="8">
        <v>23.72283105</v>
      </c>
      <c r="D410" s="8">
        <v>0.4</v>
      </c>
      <c r="L410">
        <v>384</v>
      </c>
      <c r="M410">
        <v>2.2794432366308488</v>
      </c>
      <c r="N410">
        <v>-0.59944323663084886</v>
      </c>
    </row>
    <row r="411" spans="1:14" x14ac:dyDescent="0.25">
      <c r="A411" s="8">
        <v>2.78</v>
      </c>
      <c r="B411" s="6">
        <v>7</v>
      </c>
      <c r="C411" s="8">
        <v>24.99304927</v>
      </c>
      <c r="D411" s="8">
        <v>0.28000000000000003</v>
      </c>
      <c r="L411">
        <v>385</v>
      </c>
      <c r="M411">
        <v>2.493657342286582</v>
      </c>
      <c r="N411">
        <v>-0.12365734228658187</v>
      </c>
    </row>
    <row r="412" spans="1:14" x14ac:dyDescent="0.25">
      <c r="A412" s="8">
        <v>1.75</v>
      </c>
      <c r="B412" s="6">
        <v>3</v>
      </c>
      <c r="C412" s="8">
        <v>22.878164330000001</v>
      </c>
      <c r="D412" s="8">
        <v>0.12</v>
      </c>
      <c r="L412">
        <v>386</v>
      </c>
      <c r="M412">
        <v>3.0604427570926771</v>
      </c>
      <c r="N412">
        <v>0.44955724290732268</v>
      </c>
    </row>
    <row r="413" spans="1:14" x14ac:dyDescent="0.25">
      <c r="A413" s="8">
        <v>3.1</v>
      </c>
      <c r="B413" s="6">
        <v>9</v>
      </c>
      <c r="C413" s="8">
        <v>23.429653009999999</v>
      </c>
      <c r="D413" s="8">
        <v>0.45</v>
      </c>
      <c r="L413">
        <v>387</v>
      </c>
      <c r="M413">
        <v>2.1467204271118971</v>
      </c>
      <c r="N413">
        <v>0.28327957288810302</v>
      </c>
    </row>
    <row r="414" spans="1:14" x14ac:dyDescent="0.25">
      <c r="A414" s="8">
        <v>3.8</v>
      </c>
      <c r="B414" s="6">
        <v>10</v>
      </c>
      <c r="C414" s="8">
        <v>18.963024269999998</v>
      </c>
      <c r="D414" s="8">
        <v>0.5</v>
      </c>
      <c r="L414">
        <v>388</v>
      </c>
      <c r="M414">
        <v>3.1945562976593127</v>
      </c>
      <c r="N414">
        <v>0.51544370234068726</v>
      </c>
    </row>
    <row r="415" spans="1:14" x14ac:dyDescent="0.25">
      <c r="A415" s="8">
        <v>3.3</v>
      </c>
      <c r="B415" s="6">
        <v>8</v>
      </c>
      <c r="C415" s="8">
        <v>23.957637500000001</v>
      </c>
      <c r="D415" s="8">
        <v>0.26666666700000002</v>
      </c>
      <c r="L415">
        <v>389</v>
      </c>
      <c r="M415">
        <v>2.5091808344584701</v>
      </c>
      <c r="N415">
        <v>0.35081916554152981</v>
      </c>
    </row>
    <row r="416" spans="1:14" x14ac:dyDescent="0.25">
      <c r="A416" s="8">
        <v>2.86</v>
      </c>
      <c r="B416" s="6">
        <v>6</v>
      </c>
      <c r="C416" s="8">
        <v>18.645869909999998</v>
      </c>
      <c r="D416" s="8">
        <v>0.24</v>
      </c>
      <c r="L416">
        <v>390</v>
      </c>
      <c r="M416">
        <v>2.4162716316377661</v>
      </c>
      <c r="N416">
        <v>0.94372836836223373</v>
      </c>
    </row>
    <row r="417" spans="1:14" x14ac:dyDescent="0.25">
      <c r="A417" s="8">
        <v>2.2799999999999998</v>
      </c>
      <c r="B417" s="6">
        <v>6</v>
      </c>
      <c r="C417" s="8">
        <v>22.78702423</v>
      </c>
      <c r="D417" s="8">
        <v>0.24</v>
      </c>
      <c r="L417">
        <v>391</v>
      </c>
      <c r="M417">
        <v>3.1306309351011272</v>
      </c>
      <c r="N417">
        <v>-0.28063093510112713</v>
      </c>
    </row>
    <row r="418" spans="1:14" x14ac:dyDescent="0.25">
      <c r="A418" s="8">
        <v>3.09</v>
      </c>
      <c r="B418" s="6">
        <v>7</v>
      </c>
      <c r="C418" s="8">
        <v>22.575142140000001</v>
      </c>
      <c r="D418" s="8">
        <v>0.35</v>
      </c>
      <c r="L418">
        <v>392</v>
      </c>
      <c r="M418">
        <v>3.457178859261747</v>
      </c>
      <c r="N418">
        <v>6.2821140738253067E-2</v>
      </c>
    </row>
    <row r="419" spans="1:14" x14ac:dyDescent="0.25">
      <c r="A419" s="8">
        <v>3.67</v>
      </c>
      <c r="B419" s="6">
        <v>11</v>
      </c>
      <c r="C419" s="8">
        <v>20.157693720000001</v>
      </c>
      <c r="D419" s="8">
        <v>0.44</v>
      </c>
      <c r="L419">
        <v>393</v>
      </c>
      <c r="M419">
        <v>3.2191003670982568</v>
      </c>
      <c r="N419">
        <v>-0.20910036709825697</v>
      </c>
    </row>
    <row r="420" spans="1:14" x14ac:dyDescent="0.25">
      <c r="A420" s="8">
        <v>1.48</v>
      </c>
      <c r="B420" s="6">
        <v>3</v>
      </c>
      <c r="C420" s="8">
        <v>20.872420770000002</v>
      </c>
      <c r="D420" s="8">
        <v>7.4999999999999997E-2</v>
      </c>
      <c r="L420">
        <v>394</v>
      </c>
      <c r="M420">
        <v>3.4432235767547406</v>
      </c>
      <c r="N420">
        <v>-7.3223576754740449E-2</v>
      </c>
    </row>
    <row r="421" spans="1:14" x14ac:dyDescent="0.25">
      <c r="A421" s="8">
        <v>2.39</v>
      </c>
      <c r="B421" s="6">
        <v>5</v>
      </c>
      <c r="C421" s="8">
        <v>24.840022919999999</v>
      </c>
      <c r="D421" s="8">
        <v>0.16666666699999999</v>
      </c>
      <c r="L421">
        <v>395</v>
      </c>
      <c r="M421">
        <v>3.5878773140919904</v>
      </c>
      <c r="N421">
        <v>0.72212268590800921</v>
      </c>
    </row>
    <row r="422" spans="1:14" x14ac:dyDescent="0.25">
      <c r="A422" s="8">
        <v>2.11</v>
      </c>
      <c r="B422" s="6">
        <v>6</v>
      </c>
      <c r="C422" s="8">
        <v>20.914844609999999</v>
      </c>
      <c r="D422" s="8">
        <v>0.2</v>
      </c>
      <c r="L422">
        <v>396</v>
      </c>
      <c r="M422">
        <v>1.9217421698715458</v>
      </c>
      <c r="N422">
        <v>8.2578301284541578E-3</v>
      </c>
    </row>
    <row r="423" spans="1:14" x14ac:dyDescent="0.25">
      <c r="A423" s="8">
        <v>2.65</v>
      </c>
      <c r="B423" s="6">
        <v>5</v>
      </c>
      <c r="C423" s="8">
        <v>23.36212549</v>
      </c>
      <c r="D423" s="8">
        <v>0.25</v>
      </c>
      <c r="L423">
        <v>397</v>
      </c>
      <c r="M423">
        <v>3.1696834760249715</v>
      </c>
      <c r="N423">
        <v>0.12031652397502857</v>
      </c>
    </row>
    <row r="424" spans="1:14" x14ac:dyDescent="0.25">
      <c r="A424" s="8">
        <v>2.94</v>
      </c>
      <c r="B424" s="6">
        <v>6</v>
      </c>
      <c r="C424" s="8">
        <v>26.13973287</v>
      </c>
      <c r="D424" s="8">
        <v>0.2</v>
      </c>
      <c r="L424">
        <v>398</v>
      </c>
      <c r="M424">
        <v>3.3651761075710995</v>
      </c>
      <c r="N424">
        <v>-0.55517610757109948</v>
      </c>
    </row>
    <row r="425" spans="1:14" x14ac:dyDescent="0.25">
      <c r="A425" s="8">
        <v>3.57</v>
      </c>
      <c r="B425" s="6">
        <v>10</v>
      </c>
      <c r="C425" s="8">
        <v>21.21442497</v>
      </c>
      <c r="D425" s="8">
        <v>0.5</v>
      </c>
      <c r="L425">
        <v>399</v>
      </c>
      <c r="M425">
        <v>2.163707081767587</v>
      </c>
      <c r="N425">
        <v>0.20629291823241314</v>
      </c>
    </row>
    <row r="426" spans="1:14" x14ac:dyDescent="0.25">
      <c r="A426" s="8">
        <v>2.77</v>
      </c>
      <c r="B426" s="6">
        <v>8</v>
      </c>
      <c r="C426" s="8">
        <v>21.992991679999999</v>
      </c>
      <c r="D426" s="8">
        <v>0.32</v>
      </c>
      <c r="L426">
        <v>400</v>
      </c>
      <c r="M426">
        <v>3.3261450968928075</v>
      </c>
      <c r="N426">
        <v>-0.12614509689280728</v>
      </c>
    </row>
    <row r="427" spans="1:14" x14ac:dyDescent="0.25">
      <c r="A427" s="8">
        <v>2.41</v>
      </c>
      <c r="B427" s="6">
        <v>6</v>
      </c>
      <c r="C427" s="8">
        <v>22.200201880000002</v>
      </c>
      <c r="D427" s="8">
        <v>0.24</v>
      </c>
      <c r="L427">
        <v>401</v>
      </c>
      <c r="M427">
        <v>3.4939869537182418</v>
      </c>
      <c r="N427">
        <v>-0.29398695371824157</v>
      </c>
    </row>
    <row r="428" spans="1:14" x14ac:dyDescent="0.25">
      <c r="A428" s="8">
        <v>3.69</v>
      </c>
      <c r="B428" s="6">
        <v>12</v>
      </c>
      <c r="C428" s="8">
        <v>20.501209589999998</v>
      </c>
      <c r="D428" s="8">
        <v>0.3</v>
      </c>
      <c r="L428">
        <v>402</v>
      </c>
      <c r="M428">
        <v>4.1131278428719593</v>
      </c>
      <c r="N428">
        <v>0.26687215712804058</v>
      </c>
    </row>
    <row r="429" spans="1:14" x14ac:dyDescent="0.25">
      <c r="A429" s="8">
        <v>2.33</v>
      </c>
      <c r="B429" s="6">
        <v>7</v>
      </c>
      <c r="C429" s="8">
        <v>21.437406589999998</v>
      </c>
      <c r="D429" s="8">
        <v>0.28000000000000003</v>
      </c>
      <c r="L429">
        <v>403</v>
      </c>
      <c r="M429">
        <v>3.5225273863208262</v>
      </c>
      <c r="N429">
        <v>-4.2527386320826199E-2</v>
      </c>
    </row>
    <row r="430" spans="1:14" x14ac:dyDescent="0.25">
      <c r="A430" s="8">
        <v>3.34</v>
      </c>
      <c r="B430" s="6">
        <v>9</v>
      </c>
      <c r="C430" s="8">
        <v>22.344116159999999</v>
      </c>
      <c r="D430" s="8">
        <v>0.22500000000000001</v>
      </c>
      <c r="L430">
        <v>404</v>
      </c>
      <c r="M430">
        <v>3.7768713836423022</v>
      </c>
      <c r="N430">
        <v>2.3128616357697585E-2</v>
      </c>
    </row>
    <row r="431" spans="1:14" x14ac:dyDescent="0.25">
      <c r="A431" s="8">
        <v>2.25</v>
      </c>
      <c r="B431" s="6">
        <v>4</v>
      </c>
      <c r="C431" s="8">
        <v>20.208421600000001</v>
      </c>
      <c r="D431" s="8">
        <v>0.2</v>
      </c>
      <c r="L431">
        <v>405</v>
      </c>
      <c r="M431">
        <v>2.204576635915207</v>
      </c>
      <c r="N431">
        <v>-0.13457663591520719</v>
      </c>
    </row>
    <row r="432" spans="1:14" x14ac:dyDescent="0.25">
      <c r="A432" s="8">
        <v>1.95</v>
      </c>
      <c r="B432" s="6">
        <v>4</v>
      </c>
      <c r="C432" s="8">
        <v>20.877412939999999</v>
      </c>
      <c r="D432" s="8">
        <v>0.16</v>
      </c>
      <c r="L432">
        <v>406</v>
      </c>
      <c r="M432">
        <v>4.3899333773030422</v>
      </c>
      <c r="N432">
        <v>-7.9933377303042619E-2</v>
      </c>
    </row>
    <row r="433" spans="1:14" x14ac:dyDescent="0.25">
      <c r="A433" s="8">
        <v>3.04</v>
      </c>
      <c r="B433" s="6">
        <v>10</v>
      </c>
      <c r="C433" s="8">
        <v>20.805263360000001</v>
      </c>
      <c r="D433" s="8">
        <v>0.4</v>
      </c>
      <c r="L433">
        <v>407</v>
      </c>
      <c r="M433">
        <v>3.9030666017139724</v>
      </c>
      <c r="N433">
        <v>0.33693339828602786</v>
      </c>
    </row>
    <row r="434" spans="1:14" x14ac:dyDescent="0.25">
      <c r="A434" s="8">
        <v>3.34</v>
      </c>
      <c r="B434" s="6">
        <v>9</v>
      </c>
      <c r="C434" s="8">
        <v>23.603400019999999</v>
      </c>
      <c r="D434" s="8">
        <v>0.22500000000000001</v>
      </c>
      <c r="L434">
        <v>408</v>
      </c>
      <c r="M434">
        <v>2.840186293287116</v>
      </c>
      <c r="N434">
        <v>0.27981370671288408</v>
      </c>
    </row>
    <row r="435" spans="1:14" x14ac:dyDescent="0.25">
      <c r="A435" s="8">
        <v>4.83</v>
      </c>
      <c r="B435" s="6">
        <v>13</v>
      </c>
      <c r="C435" s="8">
        <v>25.786909059999999</v>
      </c>
      <c r="D435" s="8">
        <v>0.52</v>
      </c>
      <c r="L435">
        <v>409</v>
      </c>
      <c r="M435">
        <v>4.075204376612839</v>
      </c>
      <c r="N435">
        <v>0.16479562338716125</v>
      </c>
    </row>
    <row r="436" spans="1:14" x14ac:dyDescent="0.25">
      <c r="A436" s="8">
        <v>3.15</v>
      </c>
      <c r="B436" s="6">
        <v>9</v>
      </c>
      <c r="C436" s="8">
        <v>24.1718084</v>
      </c>
      <c r="D436" s="8">
        <v>0.36</v>
      </c>
      <c r="L436">
        <v>410</v>
      </c>
      <c r="M436">
        <v>2.9337625781479475</v>
      </c>
      <c r="N436">
        <v>-0.15376257814794769</v>
      </c>
    </row>
    <row r="437" spans="1:14" x14ac:dyDescent="0.25">
      <c r="A437" s="8">
        <v>4.32</v>
      </c>
      <c r="B437" s="6">
        <v>11</v>
      </c>
      <c r="C437" s="8">
        <v>26.71100663</v>
      </c>
      <c r="D437" s="8">
        <v>0.55000000000000004</v>
      </c>
      <c r="L437">
        <v>411</v>
      </c>
      <c r="M437">
        <v>1.8414808695363636</v>
      </c>
      <c r="N437">
        <v>-9.1480869536363585E-2</v>
      </c>
    </row>
    <row r="438" spans="1:14" x14ac:dyDescent="0.25">
      <c r="A438" s="8">
        <v>1.82</v>
      </c>
      <c r="B438" s="6">
        <v>4</v>
      </c>
      <c r="C438" s="8">
        <v>24.505364629999999</v>
      </c>
      <c r="D438" s="8">
        <v>0.2</v>
      </c>
      <c r="L438">
        <v>412</v>
      </c>
      <c r="M438">
        <v>3.3299649516185195</v>
      </c>
      <c r="N438">
        <v>-0.22996495161851938</v>
      </c>
    </row>
    <row r="439" spans="1:14" x14ac:dyDescent="0.25">
      <c r="A439" s="8">
        <v>3.84</v>
      </c>
      <c r="B439" s="6">
        <v>11</v>
      </c>
      <c r="C439" s="8">
        <v>25.01600801</v>
      </c>
      <c r="D439" s="8">
        <v>0.55000000000000004</v>
      </c>
      <c r="L439">
        <v>413</v>
      </c>
      <c r="M439">
        <v>3.3172508404409102</v>
      </c>
      <c r="N439">
        <v>0.48274915955908959</v>
      </c>
    </row>
    <row r="440" spans="1:14" x14ac:dyDescent="0.25">
      <c r="A440" s="8">
        <v>3.19</v>
      </c>
      <c r="B440" s="6">
        <v>9</v>
      </c>
      <c r="C440" s="8">
        <v>20.583642350000002</v>
      </c>
      <c r="D440" s="8">
        <v>0.22500000000000001</v>
      </c>
      <c r="L440">
        <v>414</v>
      </c>
      <c r="M440">
        <v>3.1173487787784708</v>
      </c>
      <c r="N440">
        <v>0.18265122122152899</v>
      </c>
    </row>
    <row r="441" spans="1:14" x14ac:dyDescent="0.25">
      <c r="A441" s="8">
        <v>2.84</v>
      </c>
      <c r="B441" s="6">
        <v>6</v>
      </c>
      <c r="C441" s="8">
        <v>25.23366755</v>
      </c>
      <c r="D441" s="8">
        <v>0.3</v>
      </c>
      <c r="L441">
        <v>415</v>
      </c>
      <c r="M441">
        <v>2.3278175020975036</v>
      </c>
      <c r="N441">
        <v>0.53218249790249628</v>
      </c>
    </row>
    <row r="442" spans="1:14" x14ac:dyDescent="0.25">
      <c r="A442" s="8">
        <v>2.73</v>
      </c>
      <c r="B442" s="6">
        <v>9</v>
      </c>
      <c r="C442" s="8">
        <v>23.622219980000001</v>
      </c>
      <c r="D442" s="8">
        <v>0.45</v>
      </c>
      <c r="L442">
        <v>416</v>
      </c>
      <c r="M442">
        <v>2.5647334101759114</v>
      </c>
      <c r="N442">
        <v>-0.28473341017591158</v>
      </c>
    </row>
    <row r="443" spans="1:14" x14ac:dyDescent="0.25">
      <c r="A443" s="8">
        <v>4.63</v>
      </c>
      <c r="B443" s="6">
        <v>12</v>
      </c>
      <c r="C443" s="8">
        <v>22.501271800000001</v>
      </c>
      <c r="D443" s="8">
        <v>0.6</v>
      </c>
      <c r="L443">
        <v>417</v>
      </c>
      <c r="M443">
        <v>2.7954338371525607</v>
      </c>
      <c r="N443">
        <v>0.29456616284743919</v>
      </c>
    </row>
    <row r="444" spans="1:14" x14ac:dyDescent="0.25">
      <c r="A444" s="8">
        <v>2.79</v>
      </c>
      <c r="B444" s="6">
        <v>6</v>
      </c>
      <c r="C444" s="8">
        <v>26.846891589999998</v>
      </c>
      <c r="D444" s="8">
        <v>0.15</v>
      </c>
      <c r="L444">
        <v>418</v>
      </c>
      <c r="M444">
        <v>3.6284202404642301</v>
      </c>
      <c r="N444">
        <v>4.1579759535769867E-2</v>
      </c>
    </row>
    <row r="445" spans="1:14" x14ac:dyDescent="0.25">
      <c r="A445" s="8">
        <v>3.43</v>
      </c>
      <c r="B445" s="6">
        <v>9</v>
      </c>
      <c r="C445" s="8">
        <v>18.844376359999998</v>
      </c>
      <c r="D445" s="8">
        <v>0.45</v>
      </c>
      <c r="L445">
        <v>419</v>
      </c>
      <c r="M445">
        <v>1.7267320531025394</v>
      </c>
      <c r="N445">
        <v>-0.24673205310253943</v>
      </c>
    </row>
    <row r="446" spans="1:14" x14ac:dyDescent="0.25">
      <c r="A446" s="8">
        <v>2.35</v>
      </c>
      <c r="B446" s="6">
        <v>5</v>
      </c>
      <c r="C446" s="8">
        <v>23.036033740000001</v>
      </c>
      <c r="D446" s="8">
        <v>0.2</v>
      </c>
      <c r="L446">
        <v>420</v>
      </c>
      <c r="M446">
        <v>2.4393634725897728</v>
      </c>
      <c r="N446">
        <v>-4.9363472589772694E-2</v>
      </c>
    </row>
    <row r="447" spans="1:14" x14ac:dyDescent="0.25">
      <c r="A447" s="8">
        <v>2.2400000000000002</v>
      </c>
      <c r="B447" s="6">
        <v>5</v>
      </c>
      <c r="C447" s="8">
        <v>22.023452320000001</v>
      </c>
      <c r="D447" s="8">
        <v>0.2</v>
      </c>
      <c r="L447">
        <v>421</v>
      </c>
      <c r="M447">
        <v>2.4576258018899715</v>
      </c>
      <c r="N447">
        <v>-0.34762580188997161</v>
      </c>
    </row>
    <row r="448" spans="1:14" x14ac:dyDescent="0.25">
      <c r="A448" s="8">
        <v>2</v>
      </c>
      <c r="B448" s="6">
        <v>5</v>
      </c>
      <c r="C448" s="8">
        <v>22.84186532</v>
      </c>
      <c r="D448" s="8">
        <v>0.25</v>
      </c>
      <c r="L448">
        <v>422</v>
      </c>
      <c r="M448">
        <v>2.3548127930886054</v>
      </c>
      <c r="N448">
        <v>0.29518720691139455</v>
      </c>
    </row>
    <row r="449" spans="1:14" x14ac:dyDescent="0.25">
      <c r="A449" s="8">
        <v>2.5099999999999998</v>
      </c>
      <c r="B449" s="6">
        <v>7</v>
      </c>
      <c r="C449" s="8">
        <v>21.642713879999999</v>
      </c>
      <c r="D449" s="8">
        <v>0.233333333</v>
      </c>
      <c r="L449">
        <v>423</v>
      </c>
      <c r="M449">
        <v>2.7565422515252296</v>
      </c>
      <c r="N449">
        <v>0.18345774847477037</v>
      </c>
    </row>
    <row r="450" spans="1:14" x14ac:dyDescent="0.25">
      <c r="A450" s="8">
        <v>3.59</v>
      </c>
      <c r="B450" s="6">
        <v>12</v>
      </c>
      <c r="C450" s="8">
        <v>21.072833110000001</v>
      </c>
      <c r="D450" s="8">
        <v>0.4</v>
      </c>
      <c r="L450">
        <v>424</v>
      </c>
      <c r="M450">
        <v>3.4460537297012319</v>
      </c>
      <c r="N450">
        <v>0.12394627029876792</v>
      </c>
    </row>
    <row r="451" spans="1:14" x14ac:dyDescent="0.25">
      <c r="A451" s="8">
        <v>3.19</v>
      </c>
      <c r="B451" s="6">
        <v>9</v>
      </c>
      <c r="C451" s="8">
        <v>21.119079419999998</v>
      </c>
      <c r="D451" s="8">
        <v>0.45</v>
      </c>
      <c r="L451">
        <v>425</v>
      </c>
      <c r="M451">
        <v>3.0049511687087866</v>
      </c>
      <c r="N451">
        <v>-0.23495116870878663</v>
      </c>
    </row>
    <row r="452" spans="1:14" x14ac:dyDescent="0.25">
      <c r="A452" s="8">
        <v>2.15</v>
      </c>
      <c r="B452" s="6">
        <v>4</v>
      </c>
      <c r="C452" s="8">
        <v>23.920543250000001</v>
      </c>
      <c r="D452" s="8">
        <v>0.1</v>
      </c>
      <c r="L452">
        <v>426</v>
      </c>
      <c r="M452">
        <v>2.5311612370116534</v>
      </c>
      <c r="N452">
        <v>-0.12116123701165327</v>
      </c>
    </row>
    <row r="453" spans="1:14" x14ac:dyDescent="0.25">
      <c r="A453" s="8">
        <v>4.0199999999999996</v>
      </c>
      <c r="B453" s="6">
        <v>10</v>
      </c>
      <c r="C453" s="8">
        <v>24.527395429999999</v>
      </c>
      <c r="D453" s="8">
        <v>0.5</v>
      </c>
      <c r="L453">
        <v>427</v>
      </c>
      <c r="M453">
        <v>3.8908950476910453</v>
      </c>
      <c r="N453">
        <v>-0.20089504769104538</v>
      </c>
    </row>
    <row r="454" spans="1:14" x14ac:dyDescent="0.25">
      <c r="A454" s="8">
        <v>1.74</v>
      </c>
      <c r="B454" s="6">
        <v>6</v>
      </c>
      <c r="C454" s="8">
        <v>22.273766680000001</v>
      </c>
      <c r="D454" s="8">
        <v>0.15</v>
      </c>
      <c r="L454">
        <v>428</v>
      </c>
      <c r="M454">
        <v>2.730343857366119</v>
      </c>
      <c r="N454">
        <v>-0.40034385736611888</v>
      </c>
    </row>
    <row r="455" spans="1:14" x14ac:dyDescent="0.25">
      <c r="A455" s="8">
        <v>2.36</v>
      </c>
      <c r="B455" s="6">
        <v>6</v>
      </c>
      <c r="C455" s="8">
        <v>22.27259377</v>
      </c>
      <c r="D455" s="8">
        <v>0.24</v>
      </c>
      <c r="L455">
        <v>429</v>
      </c>
      <c r="M455">
        <v>3.2678612653761956</v>
      </c>
      <c r="N455">
        <v>7.2138734623804268E-2</v>
      </c>
    </row>
    <row r="456" spans="1:14" x14ac:dyDescent="0.25">
      <c r="A456" s="8">
        <v>2.69</v>
      </c>
      <c r="B456" s="6">
        <v>7</v>
      </c>
      <c r="C456" s="8">
        <v>22.640366740000001</v>
      </c>
      <c r="D456" s="8">
        <v>0.35</v>
      </c>
      <c r="L456">
        <v>430</v>
      </c>
      <c r="M456">
        <v>1.9315668106814936</v>
      </c>
      <c r="N456">
        <v>0.31843318931850639</v>
      </c>
    </row>
    <row r="457" spans="1:14" x14ac:dyDescent="0.25">
      <c r="A457" s="8">
        <v>4.37</v>
      </c>
      <c r="B457" s="6">
        <v>14</v>
      </c>
      <c r="C457" s="8">
        <v>19.99955628</v>
      </c>
      <c r="D457" s="8">
        <v>0.35</v>
      </c>
      <c r="L457">
        <v>431</v>
      </c>
      <c r="M457">
        <v>1.969839881078129</v>
      </c>
      <c r="N457">
        <v>-1.9839881078129062E-2</v>
      </c>
    </row>
    <row r="458" spans="1:14" x14ac:dyDescent="0.25">
      <c r="A458" s="8">
        <v>4.25</v>
      </c>
      <c r="B458" s="6">
        <v>12</v>
      </c>
      <c r="C458" s="8">
        <v>21.823691289999999</v>
      </c>
      <c r="D458" s="8">
        <v>0.48</v>
      </c>
      <c r="L458">
        <v>432</v>
      </c>
      <c r="M458">
        <v>3.4226455476115647</v>
      </c>
      <c r="N458">
        <v>-0.38264554761156466</v>
      </c>
    </row>
    <row r="459" spans="1:14" x14ac:dyDescent="0.25">
      <c r="A459" s="8">
        <v>2.2400000000000002</v>
      </c>
      <c r="B459" s="6">
        <v>7</v>
      </c>
      <c r="C459" s="8">
        <v>20.68342801</v>
      </c>
      <c r="D459" s="8">
        <v>0.233333333</v>
      </c>
      <c r="L459">
        <v>433</v>
      </c>
      <c r="M459">
        <v>3.339905037756159</v>
      </c>
      <c r="N459">
        <v>9.4962243840868155E-5</v>
      </c>
    </row>
    <row r="460" spans="1:14" x14ac:dyDescent="0.25">
      <c r="A460" s="8">
        <v>2.88</v>
      </c>
      <c r="B460" s="6">
        <v>8</v>
      </c>
      <c r="C460" s="8">
        <v>22.513877600000001</v>
      </c>
      <c r="D460" s="8">
        <v>0.4</v>
      </c>
      <c r="L460">
        <v>434</v>
      </c>
      <c r="M460">
        <v>4.4361127389078048</v>
      </c>
      <c r="N460">
        <v>0.3938872610921953</v>
      </c>
    </row>
    <row r="461" spans="1:14" x14ac:dyDescent="0.25">
      <c r="A461" s="8">
        <v>4.2</v>
      </c>
      <c r="B461" s="6">
        <v>12</v>
      </c>
      <c r="C461" s="8">
        <v>18.285331549999999</v>
      </c>
      <c r="D461" s="8">
        <v>0.6</v>
      </c>
      <c r="L461">
        <v>435</v>
      </c>
      <c r="M461">
        <v>3.3724237456093542</v>
      </c>
      <c r="N461">
        <v>-0.2224237456093543</v>
      </c>
    </row>
    <row r="462" spans="1:14" x14ac:dyDescent="0.25">
      <c r="A462" s="8">
        <v>2.96</v>
      </c>
      <c r="B462" s="6">
        <v>8</v>
      </c>
      <c r="C462" s="8">
        <v>24.05307337</v>
      </c>
      <c r="D462" s="8">
        <v>0.4</v>
      </c>
      <c r="L462">
        <v>436</v>
      </c>
      <c r="M462">
        <v>4.0033360149129837</v>
      </c>
      <c r="N462">
        <v>0.31666398508701654</v>
      </c>
    </row>
    <row r="463" spans="1:14" x14ac:dyDescent="0.25">
      <c r="A463" s="8">
        <v>2.62</v>
      </c>
      <c r="B463" s="6">
        <v>8</v>
      </c>
      <c r="C463" s="8">
        <v>22.214116000000001</v>
      </c>
      <c r="D463" s="8">
        <v>0.2</v>
      </c>
      <c r="L463">
        <v>437</v>
      </c>
      <c r="M463">
        <v>2.1773954085188318</v>
      </c>
      <c r="N463">
        <v>-0.35739540851883178</v>
      </c>
    </row>
    <row r="464" spans="1:14" x14ac:dyDescent="0.25">
      <c r="A464" s="8">
        <v>3.46</v>
      </c>
      <c r="B464" s="6">
        <v>9</v>
      </c>
      <c r="C464" s="8">
        <v>22.80221714</v>
      </c>
      <c r="D464" s="8">
        <v>0.3</v>
      </c>
      <c r="L464">
        <v>438</v>
      </c>
      <c r="M464">
        <v>3.9063649517218524</v>
      </c>
      <c r="N464">
        <v>-6.6364951721852528E-2</v>
      </c>
    </row>
    <row r="465" spans="1:14" x14ac:dyDescent="0.25">
      <c r="A465" s="8">
        <v>2.41</v>
      </c>
      <c r="B465" s="6">
        <v>6</v>
      </c>
      <c r="C465" s="8">
        <v>22.04248286</v>
      </c>
      <c r="D465" s="8">
        <v>0.24</v>
      </c>
      <c r="L465">
        <v>439</v>
      </c>
      <c r="M465">
        <v>3.1671443591430553</v>
      </c>
      <c r="N465">
        <v>2.2855640856944692E-2</v>
      </c>
    </row>
    <row r="466" spans="1:14" x14ac:dyDescent="0.25">
      <c r="A466" s="8">
        <v>2.4</v>
      </c>
      <c r="B466" s="6">
        <v>5</v>
      </c>
      <c r="C466" s="8">
        <v>23.791597700000001</v>
      </c>
      <c r="D466" s="8">
        <v>0.125</v>
      </c>
      <c r="L466">
        <v>440</v>
      </c>
      <c r="M466">
        <v>2.7047061518586628</v>
      </c>
      <c r="N466">
        <v>0.13529384814133705</v>
      </c>
    </row>
    <row r="467" spans="1:14" x14ac:dyDescent="0.25">
      <c r="A467" s="8">
        <v>4.83</v>
      </c>
      <c r="B467" s="6">
        <v>14</v>
      </c>
      <c r="C467" s="8">
        <v>19.70627228</v>
      </c>
      <c r="D467" s="8">
        <v>0.46666666699999998</v>
      </c>
      <c r="L467">
        <v>441</v>
      </c>
      <c r="M467">
        <v>3.3409817298011442</v>
      </c>
      <c r="N467">
        <v>-0.61098172980114418</v>
      </c>
    </row>
    <row r="468" spans="1:14" x14ac:dyDescent="0.25">
      <c r="A468" s="8">
        <v>1.79</v>
      </c>
      <c r="B468" s="6">
        <v>5</v>
      </c>
      <c r="C468" s="8">
        <v>22.58954323</v>
      </c>
      <c r="D468" s="8">
        <v>0.16666666699999999</v>
      </c>
      <c r="L468">
        <v>442</v>
      </c>
      <c r="M468">
        <v>4.0053188334473457</v>
      </c>
      <c r="N468">
        <v>0.62468116655265415</v>
      </c>
    </row>
    <row r="469" spans="1:14" x14ac:dyDescent="0.25">
      <c r="A469" s="8">
        <v>3.13</v>
      </c>
      <c r="B469" s="6">
        <v>8</v>
      </c>
      <c r="C469" s="8">
        <v>23.090982950000001</v>
      </c>
      <c r="D469" s="8">
        <v>0.2</v>
      </c>
      <c r="L469">
        <v>443</v>
      </c>
      <c r="M469">
        <v>2.7969988820582263</v>
      </c>
      <c r="N469">
        <v>-6.9988820582262967E-3</v>
      </c>
    </row>
    <row r="470" spans="1:14" x14ac:dyDescent="0.25">
      <c r="A470" s="8">
        <v>3.73</v>
      </c>
      <c r="B470" s="6">
        <v>6</v>
      </c>
      <c r="C470" s="8">
        <v>26.976667989999999</v>
      </c>
      <c r="D470" s="8">
        <v>0.3</v>
      </c>
      <c r="L470">
        <v>444</v>
      </c>
      <c r="M470">
        <v>3.0676407546961815</v>
      </c>
      <c r="N470">
        <v>0.36235924530381869</v>
      </c>
    </row>
    <row r="471" spans="1:14" x14ac:dyDescent="0.25">
      <c r="A471" s="8">
        <v>3.98</v>
      </c>
      <c r="B471" s="6">
        <v>12</v>
      </c>
      <c r="C471" s="8">
        <v>21.778284719999998</v>
      </c>
      <c r="D471" s="8">
        <v>0.3</v>
      </c>
      <c r="L471">
        <v>445</v>
      </c>
      <c r="M471">
        <v>2.3361570471061359</v>
      </c>
      <c r="N471">
        <v>1.3842952893864169E-2</v>
      </c>
    </row>
    <row r="472" spans="1:14" x14ac:dyDescent="0.25">
      <c r="A472" s="8">
        <v>3.67</v>
      </c>
      <c r="B472" s="6">
        <v>10</v>
      </c>
      <c r="C472" s="8">
        <v>19.565876100000001</v>
      </c>
      <c r="D472" s="8">
        <v>0.33333333300000001</v>
      </c>
      <c r="L472">
        <v>446</v>
      </c>
      <c r="M472">
        <v>2.2782271492841626</v>
      </c>
      <c r="N472">
        <v>-3.8227149284162376E-2</v>
      </c>
    </row>
    <row r="473" spans="1:14" x14ac:dyDescent="0.25">
      <c r="A473" s="8">
        <v>3.08</v>
      </c>
      <c r="B473" s="6">
        <v>7</v>
      </c>
      <c r="C473" s="8">
        <v>25.114032569999999</v>
      </c>
      <c r="D473" s="8">
        <v>0.35</v>
      </c>
      <c r="L473">
        <v>447</v>
      </c>
      <c r="M473">
        <v>2.3250486497874752</v>
      </c>
      <c r="N473">
        <v>-0.32504864978747516</v>
      </c>
    </row>
    <row r="474" spans="1:14" x14ac:dyDescent="0.25">
      <c r="A474" s="8">
        <v>3.59</v>
      </c>
      <c r="B474" s="6">
        <v>10</v>
      </c>
      <c r="C474" s="8">
        <v>24.51902977</v>
      </c>
      <c r="D474" s="8">
        <v>0.4</v>
      </c>
      <c r="L474">
        <v>448</v>
      </c>
      <c r="M474">
        <v>2.7420895107001551</v>
      </c>
      <c r="N474">
        <v>-0.23208951070015527</v>
      </c>
    </row>
    <row r="475" spans="1:14" x14ac:dyDescent="0.25">
      <c r="A475" s="8">
        <v>2.76</v>
      </c>
      <c r="B475" s="6">
        <v>8</v>
      </c>
      <c r="C475" s="8">
        <v>19.853100479999998</v>
      </c>
      <c r="D475" s="8">
        <v>0.2</v>
      </c>
      <c r="L475">
        <v>449</v>
      </c>
      <c r="M475">
        <v>3.9235976940681008</v>
      </c>
      <c r="N475">
        <v>-0.33359769406810091</v>
      </c>
    </row>
    <row r="476" spans="1:14" x14ac:dyDescent="0.25">
      <c r="A476" s="8">
        <v>3.59</v>
      </c>
      <c r="B476" s="6">
        <v>8</v>
      </c>
      <c r="C476" s="8">
        <v>25.31876209</v>
      </c>
      <c r="D476" s="8">
        <v>0.26666666700000002</v>
      </c>
      <c r="L476">
        <v>450</v>
      </c>
      <c r="M476">
        <v>3.1977767746136019</v>
      </c>
      <c r="N476">
        <v>-7.7767746136019333E-3</v>
      </c>
    </row>
    <row r="477" spans="1:14" x14ac:dyDescent="0.25">
      <c r="A477" s="8">
        <v>2.77</v>
      </c>
      <c r="B477" s="6">
        <v>6</v>
      </c>
      <c r="C477" s="8">
        <v>22.721899359999998</v>
      </c>
      <c r="D477" s="8">
        <v>0.24</v>
      </c>
      <c r="L477">
        <v>451</v>
      </c>
      <c r="M477">
        <v>2.1439377110750986</v>
      </c>
      <c r="N477">
        <v>6.062288924901349E-3</v>
      </c>
    </row>
    <row r="478" spans="1:14" x14ac:dyDescent="0.25">
      <c r="A478" s="8">
        <v>3.1</v>
      </c>
      <c r="B478" s="6">
        <v>5</v>
      </c>
      <c r="C478" s="8">
        <v>24.628849800000001</v>
      </c>
      <c r="D478" s="8">
        <v>0.2</v>
      </c>
      <c r="L478">
        <v>452</v>
      </c>
      <c r="M478">
        <v>3.6355891452681268</v>
      </c>
      <c r="N478">
        <v>0.38441085473187275</v>
      </c>
    </row>
    <row r="479" spans="1:14" x14ac:dyDescent="0.25">
      <c r="A479" s="8">
        <v>2.06</v>
      </c>
      <c r="B479" s="6">
        <v>6</v>
      </c>
      <c r="C479" s="8">
        <v>20.38526044</v>
      </c>
      <c r="D479" s="8">
        <v>0.2</v>
      </c>
      <c r="L479">
        <v>453</v>
      </c>
      <c r="M479">
        <v>2.5353698875587805</v>
      </c>
      <c r="N479">
        <v>-0.79536988755878046</v>
      </c>
    </row>
    <row r="480" spans="1:14" x14ac:dyDescent="0.25">
      <c r="A480" s="8">
        <v>3.55</v>
      </c>
      <c r="B480" s="6">
        <v>10</v>
      </c>
      <c r="C480" s="8">
        <v>25.78925078</v>
      </c>
      <c r="D480" s="8">
        <v>0.5</v>
      </c>
      <c r="L480">
        <v>454</v>
      </c>
      <c r="M480">
        <v>2.5353027852447223</v>
      </c>
      <c r="N480">
        <v>-0.17530278524472243</v>
      </c>
    </row>
    <row r="481" spans="1:14" x14ac:dyDescent="0.25">
      <c r="A481" s="8">
        <v>1.64</v>
      </c>
      <c r="B481" s="6">
        <v>3</v>
      </c>
      <c r="C481" s="8">
        <v>19.557648350000001</v>
      </c>
      <c r="D481" s="8">
        <v>0.15</v>
      </c>
      <c r="L481">
        <v>455</v>
      </c>
      <c r="M481">
        <v>2.7991653439122635</v>
      </c>
      <c r="N481">
        <v>-0.10916534391226351</v>
      </c>
    </row>
    <row r="482" spans="1:14" x14ac:dyDescent="0.25">
      <c r="A482" s="8">
        <v>4.79</v>
      </c>
      <c r="B482" s="6">
        <v>13</v>
      </c>
      <c r="C482" s="8">
        <v>23.844217189999998</v>
      </c>
      <c r="D482" s="8">
        <v>0.52</v>
      </c>
      <c r="L482">
        <v>456</v>
      </c>
      <c r="M482">
        <v>4.347839855687722</v>
      </c>
      <c r="N482">
        <v>2.2160144312278085E-2</v>
      </c>
    </row>
    <row r="483" spans="1:14" x14ac:dyDescent="0.25">
      <c r="A483" s="8">
        <v>2.46</v>
      </c>
      <c r="B483" s="6">
        <v>8</v>
      </c>
      <c r="C483" s="8">
        <v>22.905258589999999</v>
      </c>
      <c r="D483" s="8">
        <v>0.32</v>
      </c>
      <c r="L483">
        <v>457</v>
      </c>
      <c r="M483">
        <v>3.9665543756613628</v>
      </c>
      <c r="N483">
        <v>0.28344562433863718</v>
      </c>
    </row>
    <row r="484" spans="1:14" x14ac:dyDescent="0.25">
      <c r="A484" s="8">
        <v>2.4300000000000002</v>
      </c>
      <c r="B484" s="6">
        <v>6</v>
      </c>
      <c r="C484" s="8">
        <v>21.7940702</v>
      </c>
      <c r="D484" s="8">
        <v>0.2</v>
      </c>
      <c r="L484">
        <v>458</v>
      </c>
      <c r="M484">
        <v>2.6872086573351361</v>
      </c>
      <c r="N484">
        <v>-0.44720865733513593</v>
      </c>
    </row>
    <row r="485" spans="1:14" x14ac:dyDescent="0.25">
      <c r="A485" s="8">
        <v>3.42</v>
      </c>
      <c r="B485" s="6">
        <v>10</v>
      </c>
      <c r="C485" s="8">
        <v>21.655028810000001</v>
      </c>
      <c r="D485" s="8">
        <v>0.5</v>
      </c>
      <c r="L485">
        <v>459</v>
      </c>
      <c r="M485">
        <v>3.034751111238351</v>
      </c>
      <c r="N485">
        <v>-0.15475111123835106</v>
      </c>
    </row>
    <row r="486" spans="1:14" x14ac:dyDescent="0.25">
      <c r="A486" s="8">
        <v>3.72</v>
      </c>
      <c r="B486" s="6">
        <v>7</v>
      </c>
      <c r="C486" s="8">
        <v>18.256681279999999</v>
      </c>
      <c r="D486" s="8">
        <v>0.17499999999999999</v>
      </c>
      <c r="L486">
        <v>460</v>
      </c>
      <c r="M486">
        <v>3.7641244138360861</v>
      </c>
      <c r="N486">
        <v>0.43587558616391409</v>
      </c>
    </row>
    <row r="487" spans="1:14" x14ac:dyDescent="0.25">
      <c r="A487" s="8">
        <v>2.14</v>
      </c>
      <c r="B487" s="6">
        <v>6</v>
      </c>
      <c r="C487" s="8">
        <v>22.187515099999999</v>
      </c>
      <c r="D487" s="8">
        <v>0.2</v>
      </c>
      <c r="L487">
        <v>461</v>
      </c>
      <c r="M487">
        <v>3.1228086757195497</v>
      </c>
      <c r="N487">
        <v>-0.16280867571954971</v>
      </c>
    </row>
    <row r="488" spans="1:14" x14ac:dyDescent="0.25">
      <c r="A488" s="8">
        <v>3.75</v>
      </c>
      <c r="B488" s="6">
        <v>11</v>
      </c>
      <c r="C488" s="8">
        <v>23.641753019999999</v>
      </c>
      <c r="D488" s="8">
        <v>0.366666667</v>
      </c>
      <c r="L488">
        <v>462</v>
      </c>
      <c r="M488">
        <v>3.0176017161221029</v>
      </c>
      <c r="N488">
        <v>-0.39760171612210282</v>
      </c>
    </row>
    <row r="489" spans="1:14" x14ac:dyDescent="0.25">
      <c r="A489" s="8">
        <v>3.04</v>
      </c>
      <c r="B489" s="6">
        <v>9</v>
      </c>
      <c r="C489" s="8">
        <v>23.704580889999999</v>
      </c>
      <c r="D489" s="8">
        <v>0.3</v>
      </c>
      <c r="L489">
        <v>463</v>
      </c>
      <c r="M489">
        <v>3.2940692743712114</v>
      </c>
      <c r="N489">
        <v>0.16593072562878852</v>
      </c>
    </row>
    <row r="490" spans="1:14" x14ac:dyDescent="0.25">
      <c r="A490" s="8">
        <v>2.2200000000000002</v>
      </c>
      <c r="B490" s="6">
        <v>8</v>
      </c>
      <c r="C490" s="8">
        <v>20.88311873</v>
      </c>
      <c r="D490" s="8">
        <v>0.4</v>
      </c>
      <c r="L490">
        <v>464</v>
      </c>
      <c r="M490">
        <v>2.5221381139988077</v>
      </c>
      <c r="N490">
        <v>-0.11213811399880758</v>
      </c>
    </row>
    <row r="491" spans="1:14" x14ac:dyDescent="0.25">
      <c r="A491" s="8">
        <v>3.86</v>
      </c>
      <c r="B491" s="6">
        <v>9</v>
      </c>
      <c r="C491" s="8">
        <v>25.51080722</v>
      </c>
      <c r="D491" s="8">
        <v>0.22500000000000001</v>
      </c>
      <c r="L491">
        <v>465</v>
      </c>
      <c r="M491">
        <v>2.3793829469066337</v>
      </c>
      <c r="N491">
        <v>2.0617053093366255E-2</v>
      </c>
    </row>
    <row r="492" spans="1:14" x14ac:dyDescent="0.25">
      <c r="A492" s="8">
        <v>2.33</v>
      </c>
      <c r="B492" s="6">
        <v>4</v>
      </c>
      <c r="C492" s="8">
        <v>25.002732909999999</v>
      </c>
      <c r="D492" s="8">
        <v>0.2</v>
      </c>
      <c r="L492">
        <v>466</v>
      </c>
      <c r="M492">
        <v>4.3310610448017588</v>
      </c>
      <c r="N492">
        <v>0.49893895519824127</v>
      </c>
    </row>
    <row r="493" spans="1:14" x14ac:dyDescent="0.25">
      <c r="A493" s="8">
        <v>3.62</v>
      </c>
      <c r="B493" s="6">
        <v>10</v>
      </c>
      <c r="C493" s="8">
        <v>20.286128860000002</v>
      </c>
      <c r="D493" s="8">
        <v>0.25</v>
      </c>
      <c r="L493">
        <v>467</v>
      </c>
      <c r="M493">
        <v>2.3106132744159549</v>
      </c>
      <c r="N493">
        <v>-0.52061327441595484</v>
      </c>
    </row>
    <row r="494" spans="1:14" x14ac:dyDescent="0.25">
      <c r="A494" s="8">
        <v>2.91</v>
      </c>
      <c r="B494" s="6">
        <v>8</v>
      </c>
      <c r="C494" s="8">
        <v>23.40090301</v>
      </c>
      <c r="D494" s="8">
        <v>0.2</v>
      </c>
      <c r="L494">
        <v>468</v>
      </c>
      <c r="M494">
        <v>3.0677673737311135</v>
      </c>
      <c r="N494">
        <v>6.2232626268886371E-2</v>
      </c>
    </row>
    <row r="495" spans="1:14" x14ac:dyDescent="0.25">
      <c r="A495" s="8">
        <v>2.38</v>
      </c>
      <c r="B495" s="6">
        <v>4</v>
      </c>
      <c r="C495" s="8">
        <v>25.299344040000001</v>
      </c>
      <c r="D495" s="8">
        <v>0.16</v>
      </c>
      <c r="L495">
        <v>469</v>
      </c>
      <c r="M495">
        <v>2.804423404613364</v>
      </c>
      <c r="N495">
        <v>0.92557659538663595</v>
      </c>
    </row>
    <row r="496" spans="1:14" x14ac:dyDescent="0.25">
      <c r="A496" s="8">
        <v>1.77</v>
      </c>
      <c r="B496" s="6">
        <v>4</v>
      </c>
      <c r="C496" s="8">
        <v>25.189343269999998</v>
      </c>
      <c r="D496" s="8">
        <v>0.1</v>
      </c>
      <c r="L496">
        <v>470</v>
      </c>
      <c r="M496">
        <v>3.963956660644484</v>
      </c>
      <c r="N496">
        <v>1.604333935551594E-2</v>
      </c>
    </row>
    <row r="497" spans="1:14" x14ac:dyDescent="0.25">
      <c r="A497" s="8">
        <v>2.56</v>
      </c>
      <c r="B497" s="6">
        <v>7</v>
      </c>
      <c r="C497" s="8">
        <v>21.261495289999999</v>
      </c>
      <c r="D497" s="8">
        <v>0.35</v>
      </c>
      <c r="L497">
        <v>471</v>
      </c>
      <c r="M497">
        <v>3.3517400619730315</v>
      </c>
      <c r="N497">
        <v>0.31825993802696839</v>
      </c>
    </row>
    <row r="498" spans="1:14" x14ac:dyDescent="0.25">
      <c r="A498" s="8">
        <v>3.71</v>
      </c>
      <c r="B498" s="6">
        <v>9</v>
      </c>
      <c r="C498" s="8">
        <v>24.414372369999999</v>
      </c>
      <c r="D498" s="8">
        <v>0.3</v>
      </c>
      <c r="L498">
        <v>472</v>
      </c>
      <c r="M498">
        <v>2.940684046455321</v>
      </c>
      <c r="N498">
        <v>0.13931595354467907</v>
      </c>
    </row>
    <row r="499" spans="1:14" x14ac:dyDescent="0.25">
      <c r="A499" s="8">
        <v>3.09</v>
      </c>
      <c r="B499" s="6">
        <v>8</v>
      </c>
      <c r="C499" s="8">
        <v>20.610954119999999</v>
      </c>
      <c r="D499" s="8">
        <v>0.4</v>
      </c>
      <c r="L499">
        <v>473</v>
      </c>
      <c r="M499">
        <v>3.6351105449112158</v>
      </c>
      <c r="N499">
        <v>-4.5110544911215911E-2</v>
      </c>
    </row>
    <row r="500" spans="1:14" x14ac:dyDescent="0.25">
      <c r="A500" s="8">
        <v>2.96</v>
      </c>
      <c r="B500" s="6">
        <v>7</v>
      </c>
      <c r="C500" s="8">
        <v>24.762293440000001</v>
      </c>
      <c r="D500" s="8">
        <v>0.17499999999999999</v>
      </c>
      <c r="L500">
        <v>474</v>
      </c>
      <c r="M500">
        <v>2.8825277505839111</v>
      </c>
      <c r="N500">
        <v>-0.1225277505839113</v>
      </c>
    </row>
    <row r="501" spans="1:14" x14ac:dyDescent="0.25">
      <c r="A501" s="8">
        <v>2.69</v>
      </c>
      <c r="B501" s="6">
        <v>7</v>
      </c>
      <c r="C501" s="8">
        <v>18.660645160000001</v>
      </c>
      <c r="D501" s="8">
        <v>0.35</v>
      </c>
      <c r="L501">
        <v>475</v>
      </c>
      <c r="M501">
        <v>3.1952188708661522</v>
      </c>
      <c r="N501">
        <v>0.39478112913384766</v>
      </c>
    </row>
    <row r="502" spans="1:14" x14ac:dyDescent="0.25">
      <c r="A502" s="8">
        <v>3.49</v>
      </c>
      <c r="B502" s="6">
        <v>9</v>
      </c>
      <c r="C502" s="8">
        <v>24.380945369999999</v>
      </c>
      <c r="D502" s="8">
        <v>0.22500000000000001</v>
      </c>
      <c r="L502">
        <v>476</v>
      </c>
      <c r="M502">
        <v>2.5610076089808138</v>
      </c>
      <c r="N502">
        <v>0.20899239101918621</v>
      </c>
    </row>
    <row r="503" spans="1:14" x14ac:dyDescent="0.25">
      <c r="A503" s="8">
        <v>3.25</v>
      </c>
      <c r="B503" s="6">
        <v>8</v>
      </c>
      <c r="C503" s="8">
        <v>25.717165739999999</v>
      </c>
      <c r="D503" s="8">
        <v>0.32</v>
      </c>
      <c r="L503">
        <v>477</v>
      </c>
      <c r="M503">
        <v>2.4272822344565004</v>
      </c>
      <c r="N503">
        <v>0.67271776554349971</v>
      </c>
    </row>
    <row r="504" spans="1:14" x14ac:dyDescent="0.25">
      <c r="A504" s="8">
        <v>2.13</v>
      </c>
      <c r="B504" s="6">
        <v>4</v>
      </c>
      <c r="C504" s="8">
        <v>22.024589249999998</v>
      </c>
      <c r="D504" s="8">
        <v>0.16</v>
      </c>
      <c r="L504">
        <v>478</v>
      </c>
      <c r="M504">
        <v>2.4273282314918943</v>
      </c>
      <c r="N504">
        <v>-0.3673282314918942</v>
      </c>
    </row>
    <row r="505" spans="1:14" x14ac:dyDescent="0.25">
      <c r="A505" s="8">
        <v>3.09</v>
      </c>
      <c r="B505" s="6">
        <v>9</v>
      </c>
      <c r="C505" s="8">
        <v>24.001663180000001</v>
      </c>
      <c r="D505" s="8">
        <v>0.3</v>
      </c>
      <c r="L505">
        <v>479</v>
      </c>
      <c r="M505">
        <v>3.7077800328824879</v>
      </c>
      <c r="N505">
        <v>-0.1577800328824881</v>
      </c>
    </row>
    <row r="506" spans="1:14" x14ac:dyDescent="0.25">
      <c r="A506" s="8">
        <v>4.04</v>
      </c>
      <c r="B506" s="6">
        <v>12</v>
      </c>
      <c r="C506" s="8">
        <v>25.138288530000001</v>
      </c>
      <c r="D506" s="8">
        <v>0.3</v>
      </c>
      <c r="L506">
        <v>480</v>
      </c>
      <c r="M506">
        <v>1.6515137739149273</v>
      </c>
      <c r="N506">
        <v>-1.1513773914927361E-2</v>
      </c>
    </row>
    <row r="507" spans="1:14" x14ac:dyDescent="0.25">
      <c r="A507" s="8">
        <v>3.45</v>
      </c>
      <c r="B507" s="6">
        <v>9</v>
      </c>
      <c r="C507" s="8">
        <v>21.082047509999999</v>
      </c>
      <c r="D507" s="8">
        <v>0.3</v>
      </c>
      <c r="L507">
        <v>481</v>
      </c>
      <c r="M507">
        <v>4.3249711168062666</v>
      </c>
      <c r="N507">
        <v>0.46502888319373348</v>
      </c>
    </row>
    <row r="508" spans="1:14" x14ac:dyDescent="0.25">
      <c r="A508" s="8">
        <v>2.99</v>
      </c>
      <c r="B508" s="6">
        <v>6</v>
      </c>
      <c r="C508" s="8">
        <v>20.85961687</v>
      </c>
      <c r="D508" s="8">
        <v>0.24</v>
      </c>
      <c r="L508">
        <v>482</v>
      </c>
      <c r="M508">
        <v>3.0571420620422503</v>
      </c>
      <c r="N508">
        <v>-0.59714206204225029</v>
      </c>
    </row>
    <row r="509" spans="1:14" x14ac:dyDescent="0.25">
      <c r="A509" s="8">
        <v>1.6</v>
      </c>
      <c r="B509" s="6">
        <v>4</v>
      </c>
      <c r="C509" s="8">
        <v>21.627326310000001</v>
      </c>
      <c r="D509" s="8">
        <v>0.2</v>
      </c>
      <c r="L509">
        <v>483</v>
      </c>
      <c r="M509">
        <v>2.5079263975607513</v>
      </c>
      <c r="N509">
        <v>-7.7926397560751148E-2</v>
      </c>
    </row>
    <row r="510" spans="1:14" x14ac:dyDescent="0.25">
      <c r="A510" s="8">
        <v>3.52</v>
      </c>
      <c r="B510" s="6">
        <v>10</v>
      </c>
      <c r="C510" s="8">
        <v>24.617838540000001</v>
      </c>
      <c r="D510" s="8">
        <v>0.25</v>
      </c>
      <c r="L510">
        <v>484</v>
      </c>
      <c r="M510">
        <v>3.4712607253334147</v>
      </c>
      <c r="N510">
        <v>-5.1260725333414747E-2</v>
      </c>
    </row>
    <row r="511" spans="1:14" x14ac:dyDescent="0.25">
      <c r="A511" s="8">
        <v>2.97</v>
      </c>
      <c r="B511" s="6">
        <v>9</v>
      </c>
      <c r="C511" s="8">
        <v>23.418940169999999</v>
      </c>
      <c r="D511" s="8">
        <v>0.36</v>
      </c>
      <c r="L511">
        <v>485</v>
      </c>
      <c r="M511">
        <v>2.5483742018217139</v>
      </c>
      <c r="N511">
        <v>1.1716257981782863</v>
      </c>
    </row>
    <row r="512" spans="1:14" x14ac:dyDescent="0.25">
      <c r="A512" s="8">
        <v>2.71</v>
      </c>
      <c r="B512" s="6">
        <v>9</v>
      </c>
      <c r="C512" s="8">
        <v>24.09157343</v>
      </c>
      <c r="D512" s="8">
        <v>0.22500000000000001</v>
      </c>
      <c r="L512">
        <v>486</v>
      </c>
      <c r="M512">
        <v>2.5304354248897107</v>
      </c>
      <c r="N512">
        <v>-0.39043542488971061</v>
      </c>
    </row>
    <row r="513" spans="1:14" x14ac:dyDescent="0.25">
      <c r="A513" s="8">
        <v>3.67</v>
      </c>
      <c r="B513" s="6">
        <v>12</v>
      </c>
      <c r="C513" s="8">
        <v>21.53346981</v>
      </c>
      <c r="D513" s="8">
        <v>0.48</v>
      </c>
      <c r="L513">
        <v>487</v>
      </c>
      <c r="M513">
        <v>3.8277436679617405</v>
      </c>
      <c r="N513">
        <v>-7.7743667961740481E-2</v>
      </c>
    </row>
    <row r="514" spans="1:14" x14ac:dyDescent="0.25">
      <c r="A514" s="8">
        <v>3.37</v>
      </c>
      <c r="B514" s="6">
        <v>10</v>
      </c>
      <c r="C514" s="8">
        <v>23.11172788</v>
      </c>
      <c r="D514" s="8">
        <v>0.25</v>
      </c>
      <c r="L514">
        <v>488</v>
      </c>
      <c r="M514">
        <v>3.345693606798477</v>
      </c>
      <c r="N514">
        <v>-0.30569360679847701</v>
      </c>
    </row>
    <row r="515" spans="1:14" x14ac:dyDescent="0.25">
      <c r="A515" s="8">
        <v>2.4</v>
      </c>
      <c r="B515" s="6">
        <v>5</v>
      </c>
      <c r="C515" s="8">
        <v>21.22534108</v>
      </c>
      <c r="D515" s="8">
        <v>0.125</v>
      </c>
      <c r="L515">
        <v>489</v>
      </c>
      <c r="M515">
        <v>2.9414552114267813</v>
      </c>
      <c r="N515">
        <v>-0.72145521142678115</v>
      </c>
    </row>
    <row r="516" spans="1:14" x14ac:dyDescent="0.25">
      <c r="A516" s="8">
        <v>3.49</v>
      </c>
      <c r="B516" s="6">
        <v>11</v>
      </c>
      <c r="C516" s="8">
        <v>24.046446370000002</v>
      </c>
      <c r="D516" s="8">
        <v>0.55000000000000004</v>
      </c>
      <c r="L516">
        <v>490</v>
      </c>
      <c r="M516">
        <v>3.4490280198872121</v>
      </c>
      <c r="N516">
        <v>0.41097198011278779</v>
      </c>
    </row>
    <row r="517" spans="1:14" x14ac:dyDescent="0.25">
      <c r="A517" s="8">
        <v>3.98</v>
      </c>
      <c r="B517" s="6">
        <v>12</v>
      </c>
      <c r="C517" s="8">
        <v>23.563837580000001</v>
      </c>
      <c r="D517" s="8">
        <v>0.4</v>
      </c>
      <c r="L517">
        <v>491</v>
      </c>
      <c r="M517">
        <v>2.205849904198093</v>
      </c>
      <c r="N517">
        <v>0.12415009580190706</v>
      </c>
    </row>
    <row r="518" spans="1:14" x14ac:dyDescent="0.25">
      <c r="A518" s="8">
        <v>3.31</v>
      </c>
      <c r="B518" s="6">
        <v>7</v>
      </c>
      <c r="C518" s="8">
        <v>21.179118580000001</v>
      </c>
      <c r="D518" s="8">
        <v>0.35</v>
      </c>
      <c r="L518">
        <v>492</v>
      </c>
      <c r="M518">
        <v>3.392945804018737</v>
      </c>
      <c r="N518">
        <v>0.22705419598126309</v>
      </c>
    </row>
    <row r="519" spans="1:14" x14ac:dyDescent="0.25">
      <c r="A519" s="8">
        <v>2.66</v>
      </c>
      <c r="B519" s="6">
        <v>8</v>
      </c>
      <c r="C519" s="8">
        <v>24.304612299999999</v>
      </c>
      <c r="D519" s="8">
        <v>0.4</v>
      </c>
      <c r="L519">
        <v>493</v>
      </c>
      <c r="M519">
        <v>3.0854979354954994</v>
      </c>
      <c r="N519">
        <v>-0.1754979354954993</v>
      </c>
    </row>
    <row r="520" spans="1:14" x14ac:dyDescent="0.25">
      <c r="A520" s="8">
        <v>3.27</v>
      </c>
      <c r="B520" s="6">
        <v>10</v>
      </c>
      <c r="C520" s="8">
        <v>20.651851740000001</v>
      </c>
      <c r="D520" s="8">
        <v>0.5</v>
      </c>
      <c r="L520">
        <v>494</v>
      </c>
      <c r="M520">
        <v>2.2228190605685114</v>
      </c>
      <c r="N520">
        <v>0.15718093943148848</v>
      </c>
    </row>
    <row r="521" spans="1:14" x14ac:dyDescent="0.25">
      <c r="A521" s="8">
        <v>3</v>
      </c>
      <c r="B521" s="6">
        <v>8</v>
      </c>
      <c r="C521" s="8">
        <v>22.834569949999999</v>
      </c>
      <c r="D521" s="8">
        <v>0.4</v>
      </c>
      <c r="L521">
        <v>495</v>
      </c>
      <c r="M521">
        <v>2.2165259040473906</v>
      </c>
      <c r="N521">
        <v>-0.44652590404739056</v>
      </c>
    </row>
    <row r="522" spans="1:14" x14ac:dyDescent="0.25">
      <c r="A522" s="8">
        <v>1.93</v>
      </c>
      <c r="B522" s="6">
        <v>4</v>
      </c>
      <c r="C522" s="8">
        <v>23.866945659999999</v>
      </c>
      <c r="D522" s="8">
        <v>0.133333333</v>
      </c>
      <c r="L522">
        <v>496</v>
      </c>
      <c r="M522">
        <v>2.7202799519522407</v>
      </c>
      <c r="N522">
        <v>-0.16027995195224065</v>
      </c>
    </row>
    <row r="523" spans="1:14" x14ac:dyDescent="0.25">
      <c r="A523" s="8">
        <v>3.64</v>
      </c>
      <c r="B523" s="6">
        <v>9</v>
      </c>
      <c r="C523" s="8">
        <v>22.815389209999999</v>
      </c>
      <c r="D523" s="8">
        <v>0.45</v>
      </c>
      <c r="L523">
        <v>497</v>
      </c>
      <c r="M523">
        <v>3.3863008578295171</v>
      </c>
      <c r="N523">
        <v>0.3236991421704829</v>
      </c>
    </row>
    <row r="524" spans="1:14" x14ac:dyDescent="0.25">
      <c r="A524" s="8">
        <v>3.38</v>
      </c>
      <c r="B524" s="6">
        <v>11</v>
      </c>
      <c r="C524" s="8">
        <v>23.252825659999999</v>
      </c>
      <c r="D524" s="8">
        <v>0.55000000000000004</v>
      </c>
      <c r="L524">
        <v>498</v>
      </c>
      <c r="M524">
        <v>2.9258846432367616</v>
      </c>
      <c r="N524">
        <v>0.1641153567632383</v>
      </c>
    </row>
    <row r="525" spans="1:14" x14ac:dyDescent="0.25">
      <c r="A525" s="8">
        <v>2.2000000000000002</v>
      </c>
      <c r="B525" s="6">
        <v>4</v>
      </c>
      <c r="C525" s="8">
        <v>24.445653790000001</v>
      </c>
      <c r="D525" s="8">
        <v>0.2</v>
      </c>
      <c r="L525">
        <v>499</v>
      </c>
      <c r="M525">
        <v>2.9205610109557263</v>
      </c>
      <c r="N525">
        <v>3.9438989044273676E-2</v>
      </c>
    </row>
    <row r="526" spans="1:14" x14ac:dyDescent="0.25">
      <c r="A526" s="8">
        <v>3.06</v>
      </c>
      <c r="B526" s="6">
        <v>6</v>
      </c>
      <c r="C526" s="8">
        <v>23.069733769999999</v>
      </c>
      <c r="D526" s="8">
        <v>0.15</v>
      </c>
      <c r="L526">
        <v>500</v>
      </c>
      <c r="M526">
        <v>2.5714850211888791</v>
      </c>
      <c r="N526">
        <v>0.11851497881112083</v>
      </c>
    </row>
    <row r="527" spans="1:14" x14ac:dyDescent="0.25">
      <c r="A527" s="8">
        <v>3.06</v>
      </c>
      <c r="B527" s="6">
        <v>9</v>
      </c>
      <c r="C527" s="8">
        <v>23.386705559999999</v>
      </c>
      <c r="D527" s="8">
        <v>0.36</v>
      </c>
      <c r="L527">
        <v>501</v>
      </c>
      <c r="M527">
        <v>3.3843884953703132</v>
      </c>
      <c r="N527">
        <v>0.10561150462968705</v>
      </c>
    </row>
    <row r="528" spans="1:14" x14ac:dyDescent="0.25">
      <c r="A528" s="8">
        <v>3.7</v>
      </c>
      <c r="B528" s="6">
        <v>10</v>
      </c>
      <c r="C528" s="8">
        <v>25.207867090000001</v>
      </c>
      <c r="D528" s="8">
        <v>0.4</v>
      </c>
      <c r="L528">
        <v>502</v>
      </c>
      <c r="M528">
        <v>3.2180115888447238</v>
      </c>
      <c r="N528">
        <v>3.1988411155276175E-2</v>
      </c>
    </row>
    <row r="529" spans="1:14" x14ac:dyDescent="0.25">
      <c r="A529" s="8">
        <v>2.15</v>
      </c>
      <c r="B529" s="6">
        <v>5</v>
      </c>
      <c r="C529" s="8">
        <v>21.93048666</v>
      </c>
      <c r="D529" s="8">
        <v>0.16666666699999999</v>
      </c>
      <c r="L529">
        <v>503</v>
      </c>
      <c r="M529">
        <v>2.0354699678143522</v>
      </c>
      <c r="N529">
        <v>9.4530032185647705E-2</v>
      </c>
    </row>
    <row r="530" spans="1:14" x14ac:dyDescent="0.25">
      <c r="A530" s="8">
        <v>3.08</v>
      </c>
      <c r="B530" s="6">
        <v>10</v>
      </c>
      <c r="C530" s="8">
        <v>22.6000342</v>
      </c>
      <c r="D530" s="8">
        <v>0.25</v>
      </c>
      <c r="L530">
        <v>504</v>
      </c>
      <c r="M530">
        <v>3.3626897182859046</v>
      </c>
      <c r="N530">
        <v>-0.27268971828590471</v>
      </c>
    </row>
    <row r="531" spans="1:14" x14ac:dyDescent="0.25">
      <c r="A531" s="8">
        <v>4.1399999999999997</v>
      </c>
      <c r="B531" s="6">
        <v>11</v>
      </c>
      <c r="C531" s="8">
        <v>16.449978730000002</v>
      </c>
      <c r="D531" s="8">
        <v>0.44</v>
      </c>
      <c r="L531">
        <v>505</v>
      </c>
      <c r="M531">
        <v>4.1561828594964654</v>
      </c>
      <c r="N531">
        <v>-0.11618285949646534</v>
      </c>
    </row>
    <row r="532" spans="1:14" x14ac:dyDescent="0.25">
      <c r="A532" s="8">
        <v>3.51</v>
      </c>
      <c r="B532" s="6">
        <v>11</v>
      </c>
      <c r="C532" s="8">
        <v>21.230993850000001</v>
      </c>
      <c r="D532" s="8">
        <v>0.366666667</v>
      </c>
      <c r="L532">
        <v>506</v>
      </c>
      <c r="M532">
        <v>3.1956581748446546</v>
      </c>
      <c r="N532">
        <v>0.25434182515534554</v>
      </c>
    </row>
    <row r="533" spans="1:14" x14ac:dyDescent="0.25">
      <c r="A533" s="8">
        <v>2.58</v>
      </c>
      <c r="B533" s="6">
        <v>6</v>
      </c>
      <c r="C533" s="8">
        <v>24.01404054</v>
      </c>
      <c r="D533" s="8">
        <v>0.15</v>
      </c>
      <c r="L533">
        <v>507</v>
      </c>
      <c r="M533">
        <v>2.4544662166240885</v>
      </c>
      <c r="N533">
        <v>0.53553378337591173</v>
      </c>
    </row>
    <row r="534" spans="1:14" x14ac:dyDescent="0.25">
      <c r="A534" s="8">
        <v>3</v>
      </c>
      <c r="B534" s="6">
        <v>7</v>
      </c>
      <c r="C534" s="8">
        <v>25.854610730000001</v>
      </c>
      <c r="D534" s="8">
        <v>0.35</v>
      </c>
      <c r="L534">
        <v>508</v>
      </c>
      <c r="M534">
        <v>2.0127425099841894</v>
      </c>
      <c r="N534">
        <v>-0.41274250998418927</v>
      </c>
    </row>
    <row r="535" spans="1:14" x14ac:dyDescent="0.25">
      <c r="A535" s="8">
        <v>2.61</v>
      </c>
      <c r="B535" s="6">
        <v>6</v>
      </c>
      <c r="C535" s="8">
        <v>22.316846739999999</v>
      </c>
      <c r="D535" s="8">
        <v>0.2</v>
      </c>
      <c r="L535">
        <v>509</v>
      </c>
      <c r="M535">
        <v>3.6407634058436384</v>
      </c>
      <c r="N535">
        <v>-0.12076340584363843</v>
      </c>
    </row>
    <row r="536" spans="1:14" x14ac:dyDescent="0.25">
      <c r="A536" s="8">
        <v>2.5</v>
      </c>
      <c r="B536" s="6">
        <v>6</v>
      </c>
      <c r="C536" s="8">
        <v>22.87470356</v>
      </c>
      <c r="D536" s="8">
        <v>0.3</v>
      </c>
      <c r="L536">
        <v>510</v>
      </c>
      <c r="M536">
        <v>3.3293520688277374</v>
      </c>
      <c r="N536">
        <v>-0.35935206882773718</v>
      </c>
    </row>
    <row r="537" spans="1:14" x14ac:dyDescent="0.25">
      <c r="A537" s="8">
        <v>3.56</v>
      </c>
      <c r="B537" s="6">
        <v>9</v>
      </c>
      <c r="C537" s="8">
        <v>24.17571178</v>
      </c>
      <c r="D537" s="8">
        <v>0.45</v>
      </c>
      <c r="L537">
        <v>511</v>
      </c>
      <c r="M537">
        <v>3.3678334938804122</v>
      </c>
      <c r="N537">
        <v>-0.65783349388041223</v>
      </c>
    </row>
    <row r="538" spans="1:14" x14ac:dyDescent="0.25">
      <c r="A538" s="8">
        <v>2.86</v>
      </c>
      <c r="B538" s="6">
        <v>7</v>
      </c>
      <c r="C538" s="8">
        <v>24.371179489999999</v>
      </c>
      <c r="D538" s="8">
        <v>0.233333333</v>
      </c>
      <c r="L538">
        <v>512</v>
      </c>
      <c r="M538">
        <v>3.9499507718917597</v>
      </c>
      <c r="N538">
        <v>-0.27995077189175976</v>
      </c>
    </row>
    <row r="539" spans="1:14" x14ac:dyDescent="0.25">
      <c r="A539" s="8">
        <v>3.4</v>
      </c>
      <c r="B539" s="6">
        <v>9</v>
      </c>
      <c r="C539" s="8">
        <v>24.062052189999999</v>
      </c>
      <c r="D539" s="8">
        <v>0.45</v>
      </c>
      <c r="L539">
        <v>513</v>
      </c>
      <c r="M539">
        <v>3.5545986442559876</v>
      </c>
      <c r="N539">
        <v>-0.18459864425598749</v>
      </c>
    </row>
    <row r="540" spans="1:14" x14ac:dyDescent="0.25">
      <c r="A540" s="8">
        <v>1.98</v>
      </c>
      <c r="B540" s="6">
        <v>4</v>
      </c>
      <c r="C540" s="8">
        <v>21.64561952</v>
      </c>
      <c r="D540" s="8">
        <v>0.16</v>
      </c>
      <c r="L540">
        <v>514</v>
      </c>
      <c r="M540">
        <v>2.2325671147718085</v>
      </c>
      <c r="N540">
        <v>0.16743288522819144</v>
      </c>
    </row>
    <row r="541" spans="1:14" x14ac:dyDescent="0.25">
      <c r="A541" s="8">
        <v>2.61</v>
      </c>
      <c r="B541" s="6">
        <v>7</v>
      </c>
      <c r="C541" s="8">
        <v>21.931519460000001</v>
      </c>
      <c r="D541" s="8">
        <v>0.28000000000000003</v>
      </c>
      <c r="L541">
        <v>515</v>
      </c>
      <c r="M541">
        <v>3.8508962203902968</v>
      </c>
      <c r="N541">
        <v>-0.36089622039029656</v>
      </c>
    </row>
    <row r="542" spans="1:14" x14ac:dyDescent="0.25">
      <c r="A542" s="8">
        <v>3.14</v>
      </c>
      <c r="B542" s="6">
        <v>8</v>
      </c>
      <c r="C542" s="8">
        <v>21.637239529999999</v>
      </c>
      <c r="D542" s="8">
        <v>0.2</v>
      </c>
      <c r="L542">
        <v>516</v>
      </c>
      <c r="M542">
        <v>4.0661083421710247</v>
      </c>
      <c r="N542">
        <v>-8.6108342171024699E-2</v>
      </c>
    </row>
    <row r="543" spans="1:14" x14ac:dyDescent="0.25">
      <c r="A543" s="8">
        <v>2.97</v>
      </c>
      <c r="B543" s="6">
        <v>8</v>
      </c>
      <c r="C543" s="8">
        <v>22.150555570000002</v>
      </c>
      <c r="D543" s="8">
        <v>0.4</v>
      </c>
      <c r="L543">
        <v>517</v>
      </c>
      <c r="M543">
        <v>2.7155671710351168</v>
      </c>
      <c r="N543">
        <v>0.59443282896488325</v>
      </c>
    </row>
    <row r="544" spans="1:14" x14ac:dyDescent="0.25">
      <c r="A544" s="8">
        <v>2.2000000000000002</v>
      </c>
      <c r="B544" s="6">
        <v>7</v>
      </c>
      <c r="C544" s="8">
        <v>20.973940979999998</v>
      </c>
      <c r="D544" s="8">
        <v>0.28000000000000003</v>
      </c>
      <c r="L544">
        <v>518</v>
      </c>
      <c r="M544">
        <v>3.1371992464186924</v>
      </c>
      <c r="N544">
        <v>-0.47719924641869227</v>
      </c>
    </row>
    <row r="545" spans="1:14" x14ac:dyDescent="0.25">
      <c r="A545" s="8">
        <v>2.0299999999999998</v>
      </c>
      <c r="B545" s="6">
        <v>6</v>
      </c>
      <c r="C545" s="8">
        <v>22.216246470000002</v>
      </c>
      <c r="D545" s="8">
        <v>0.3</v>
      </c>
      <c r="L545">
        <v>519</v>
      </c>
      <c r="M545">
        <v>3.4138688514409958</v>
      </c>
      <c r="N545">
        <v>-0.14386885144099582</v>
      </c>
    </row>
    <row r="546" spans="1:14" x14ac:dyDescent="0.25">
      <c r="A546" s="8">
        <v>2.5099999999999998</v>
      </c>
      <c r="B546" s="6">
        <v>6</v>
      </c>
      <c r="C546" s="8">
        <v>21.207739060000002</v>
      </c>
      <c r="D546" s="8">
        <v>0.24</v>
      </c>
      <c r="L546">
        <v>520</v>
      </c>
      <c r="M546">
        <v>3.0530979569347574</v>
      </c>
      <c r="N546">
        <v>-5.3097956934757384E-2</v>
      </c>
    </row>
    <row r="547" spans="1:14" x14ac:dyDescent="0.25">
      <c r="A547" s="8">
        <v>5.04</v>
      </c>
      <c r="B547" s="6">
        <v>14</v>
      </c>
      <c r="C547" s="8">
        <v>26.327465660000001</v>
      </c>
      <c r="D547" s="8">
        <v>0.7</v>
      </c>
      <c r="L547">
        <v>521</v>
      </c>
      <c r="M547">
        <v>2.1408713868755056</v>
      </c>
      <c r="N547">
        <v>-0.21087138687550566</v>
      </c>
    </row>
    <row r="548" spans="1:14" x14ac:dyDescent="0.25">
      <c r="A548" s="8">
        <v>2.37</v>
      </c>
      <c r="B548" s="6">
        <v>7</v>
      </c>
      <c r="C548" s="8">
        <v>25.193094240000001</v>
      </c>
      <c r="D548" s="8">
        <v>0.233333333</v>
      </c>
      <c r="L548">
        <v>522</v>
      </c>
      <c r="M548">
        <v>3.2948228499890648</v>
      </c>
      <c r="N548">
        <v>0.3451771500109353</v>
      </c>
    </row>
    <row r="549" spans="1:14" x14ac:dyDescent="0.25">
      <c r="A549" s="8">
        <v>3.57</v>
      </c>
      <c r="B549" s="6">
        <v>11</v>
      </c>
      <c r="C549" s="8">
        <v>24.965366289999999</v>
      </c>
      <c r="D549" s="8">
        <v>0.27500000000000002</v>
      </c>
      <c r="L549">
        <v>523</v>
      </c>
      <c r="M549">
        <v>3.8054930896082784</v>
      </c>
      <c r="N549">
        <v>-0.42549308960827847</v>
      </c>
    </row>
    <row r="550" spans="1:14" x14ac:dyDescent="0.25">
      <c r="A550" s="8">
        <v>3.65</v>
      </c>
      <c r="B550" s="6">
        <v>9</v>
      </c>
      <c r="C550" s="8">
        <v>23.48041169</v>
      </c>
      <c r="D550" s="8">
        <v>0.36</v>
      </c>
      <c r="L550">
        <v>524</v>
      </c>
      <c r="M550">
        <v>2.1739793445937554</v>
      </c>
      <c r="N550">
        <v>2.6020655406244764E-2</v>
      </c>
    </row>
    <row r="551" spans="1:14" x14ac:dyDescent="0.25">
      <c r="A551" s="8">
        <v>3.53</v>
      </c>
      <c r="B551" s="6">
        <v>11</v>
      </c>
      <c r="C551" s="8">
        <v>21.688624560000001</v>
      </c>
      <c r="D551" s="8">
        <v>0.55000000000000004</v>
      </c>
      <c r="L551">
        <v>525</v>
      </c>
      <c r="M551">
        <v>2.5809072550065788</v>
      </c>
      <c r="N551">
        <v>0.47909274499342125</v>
      </c>
    </row>
    <row r="552" spans="1:14" x14ac:dyDescent="0.25">
      <c r="A552" s="8">
        <v>3.15</v>
      </c>
      <c r="B552" s="6">
        <v>11</v>
      </c>
      <c r="C552" s="8">
        <v>23.779209049999999</v>
      </c>
      <c r="D552" s="8">
        <v>0.55000000000000004</v>
      </c>
      <c r="L552">
        <v>526</v>
      </c>
      <c r="M552">
        <v>3.3275079231356006</v>
      </c>
      <c r="N552">
        <v>-0.26750792313560057</v>
      </c>
    </row>
    <row r="553" spans="1:14" x14ac:dyDescent="0.25">
      <c r="A553" s="8">
        <v>4.04</v>
      </c>
      <c r="B553" s="6">
        <v>8</v>
      </c>
      <c r="C553" s="8">
        <v>29.029423420000001</v>
      </c>
      <c r="D553" s="8">
        <v>0.32</v>
      </c>
      <c r="L553">
        <v>527</v>
      </c>
      <c r="M553">
        <v>3.6745190060733433</v>
      </c>
      <c r="N553">
        <v>2.5480993926656925E-2</v>
      </c>
    </row>
    <row r="554" spans="1:14" x14ac:dyDescent="0.25">
      <c r="A554" s="8">
        <v>3.6</v>
      </c>
      <c r="B554" s="6">
        <v>6</v>
      </c>
      <c r="C554" s="8">
        <v>24.422821160000002</v>
      </c>
      <c r="D554" s="8">
        <v>0.24</v>
      </c>
      <c r="L554">
        <v>528</v>
      </c>
      <c r="M554">
        <v>2.272908573337201</v>
      </c>
      <c r="N554">
        <v>-0.12290857333720107</v>
      </c>
    </row>
    <row r="555" spans="1:14" x14ac:dyDescent="0.25">
      <c r="A555" s="8">
        <v>3.24</v>
      </c>
      <c r="B555" s="6">
        <v>6</v>
      </c>
      <c r="C555" s="8">
        <v>25.688636420000002</v>
      </c>
      <c r="D555" s="8">
        <v>0.24</v>
      </c>
      <c r="L555">
        <v>529</v>
      </c>
      <c r="M555">
        <v>3.5253245908188333</v>
      </c>
      <c r="N555">
        <v>-0.44532459081883324</v>
      </c>
    </row>
    <row r="556" spans="1:14" x14ac:dyDescent="0.25">
      <c r="A556" s="8">
        <v>2.57</v>
      </c>
      <c r="B556" s="6">
        <v>7</v>
      </c>
      <c r="C556" s="8">
        <v>21.889110410000001</v>
      </c>
      <c r="D556" s="8">
        <v>0.28000000000000003</v>
      </c>
      <c r="L556">
        <v>530</v>
      </c>
      <c r="M556">
        <v>3.4163014455887533</v>
      </c>
      <c r="N556">
        <v>0.72369855441124642</v>
      </c>
    </row>
    <row r="557" spans="1:14" x14ac:dyDescent="0.25">
      <c r="A557" s="8">
        <v>3.76</v>
      </c>
      <c r="B557" s="6">
        <v>10</v>
      </c>
      <c r="C557" s="8">
        <v>27.554172999999999</v>
      </c>
      <c r="D557" s="8">
        <v>0.4</v>
      </c>
      <c r="L557">
        <v>531</v>
      </c>
      <c r="M557">
        <v>3.6898238625682294</v>
      </c>
      <c r="N557">
        <v>-0.17982386256822958</v>
      </c>
    </row>
    <row r="558" spans="1:14" x14ac:dyDescent="0.25">
      <c r="A558" s="8">
        <v>3.58</v>
      </c>
      <c r="B558" s="6">
        <v>9</v>
      </c>
      <c r="C558" s="8">
        <v>24.46200125</v>
      </c>
      <c r="D558" s="8">
        <v>0.22500000000000001</v>
      </c>
      <c r="L558">
        <v>532</v>
      </c>
      <c r="M558">
        <v>2.6349311523626033</v>
      </c>
      <c r="N558">
        <v>-5.4931152362603264E-2</v>
      </c>
    </row>
    <row r="559" spans="1:14" x14ac:dyDescent="0.25">
      <c r="A559" s="8">
        <v>3.2</v>
      </c>
      <c r="B559" s="6">
        <v>8</v>
      </c>
      <c r="C559" s="8">
        <v>21.25241076</v>
      </c>
      <c r="D559" s="8">
        <v>0.32</v>
      </c>
      <c r="L559">
        <v>533</v>
      </c>
      <c r="M559">
        <v>2.9830526069390646</v>
      </c>
      <c r="N559">
        <v>1.6947393060935401E-2</v>
      </c>
    </row>
    <row r="560" spans="1:14" x14ac:dyDescent="0.25">
      <c r="A560" s="8">
        <v>3.58</v>
      </c>
      <c r="B560" s="6">
        <v>9</v>
      </c>
      <c r="C560" s="8">
        <v>23.858356239999999</v>
      </c>
      <c r="D560" s="8">
        <v>0.45</v>
      </c>
      <c r="L560">
        <v>534</v>
      </c>
      <c r="M560">
        <v>2.5378345026748317</v>
      </c>
      <c r="N560">
        <v>7.2165497325168193E-2</v>
      </c>
    </row>
    <row r="561" spans="1:14" x14ac:dyDescent="0.25">
      <c r="A561" s="8">
        <v>3.37</v>
      </c>
      <c r="B561" s="6">
        <v>9</v>
      </c>
      <c r="C561" s="8">
        <v>24.879961640000001</v>
      </c>
      <c r="D561" s="8">
        <v>0.45</v>
      </c>
      <c r="L561">
        <v>535</v>
      </c>
      <c r="M561">
        <v>2.5697495545843276</v>
      </c>
      <c r="N561">
        <v>-6.9749554584327633E-2</v>
      </c>
    </row>
    <row r="562" spans="1:14" x14ac:dyDescent="0.25">
      <c r="A562" s="8">
        <v>2.58</v>
      </c>
      <c r="B562" s="6">
        <v>9</v>
      </c>
      <c r="C562" s="8">
        <v>22.125585109999999</v>
      </c>
      <c r="D562" s="8">
        <v>0.3</v>
      </c>
      <c r="L562">
        <v>536</v>
      </c>
      <c r="M562">
        <v>3.3726470584216317</v>
      </c>
      <c r="N562">
        <v>0.18735294157836835</v>
      </c>
    </row>
    <row r="563" spans="1:14" x14ac:dyDescent="0.25">
      <c r="A563" s="8">
        <v>3.65</v>
      </c>
      <c r="B563" s="6">
        <v>12</v>
      </c>
      <c r="C563" s="8">
        <v>23.16893357</v>
      </c>
      <c r="D563" s="8">
        <v>0.3</v>
      </c>
      <c r="L563">
        <v>537</v>
      </c>
      <c r="M563">
        <v>2.8981853375404976</v>
      </c>
      <c r="N563">
        <v>-3.8185337540497688E-2</v>
      </c>
    </row>
    <row r="564" spans="1:14" x14ac:dyDescent="0.25">
      <c r="A564" s="8">
        <v>2.68</v>
      </c>
      <c r="B564" s="6">
        <v>3</v>
      </c>
      <c r="C564" s="8">
        <v>24.912590000000002</v>
      </c>
      <c r="D564" s="8">
        <v>0.1</v>
      </c>
      <c r="L564">
        <v>538</v>
      </c>
      <c r="M564">
        <v>3.3661445803935561</v>
      </c>
      <c r="N564">
        <v>3.3855419606443782E-2</v>
      </c>
    </row>
    <row r="565" spans="1:14" x14ac:dyDescent="0.25">
      <c r="A565" s="8">
        <v>3.83</v>
      </c>
      <c r="B565" s="6">
        <v>9</v>
      </c>
      <c r="C565" s="8">
        <v>20.21608324</v>
      </c>
      <c r="D565" s="8">
        <v>0.22500000000000001</v>
      </c>
      <c r="L565">
        <v>539</v>
      </c>
      <c r="M565">
        <v>2.0137890666019631</v>
      </c>
      <c r="N565">
        <v>-3.3789066601963125E-2</v>
      </c>
    </row>
    <row r="566" spans="1:14" x14ac:dyDescent="0.25">
      <c r="A566" s="8">
        <v>2.65</v>
      </c>
      <c r="B566" s="6">
        <v>7</v>
      </c>
      <c r="C566" s="8">
        <v>21.466271920000001</v>
      </c>
      <c r="D566" s="8">
        <v>0.35</v>
      </c>
      <c r="L566">
        <v>540</v>
      </c>
      <c r="M566">
        <v>2.7586121106702555</v>
      </c>
      <c r="N566">
        <v>-0.14861211067025559</v>
      </c>
    </row>
    <row r="567" spans="1:14" x14ac:dyDescent="0.25">
      <c r="A567" s="8">
        <v>3.77</v>
      </c>
      <c r="B567" s="6">
        <v>13</v>
      </c>
      <c r="C567" s="8">
        <v>22.92021123</v>
      </c>
      <c r="D567" s="8">
        <v>0.65</v>
      </c>
      <c r="L567">
        <v>541</v>
      </c>
      <c r="M567">
        <v>2.9845985478800858</v>
      </c>
      <c r="N567">
        <v>0.1554014521199143</v>
      </c>
    </row>
    <row r="568" spans="1:14" x14ac:dyDescent="0.25">
      <c r="A568" s="8">
        <v>3.1</v>
      </c>
      <c r="B568" s="6">
        <v>9</v>
      </c>
      <c r="C568" s="8">
        <v>22.484759029999999</v>
      </c>
      <c r="D568" s="8">
        <v>0.3</v>
      </c>
      <c r="L568">
        <v>542</v>
      </c>
      <c r="M568">
        <v>3.0139654167167471</v>
      </c>
      <c r="N568">
        <v>-4.3965416716746919E-2</v>
      </c>
    </row>
    <row r="569" spans="1:14" x14ac:dyDescent="0.25">
      <c r="A569" s="8">
        <v>2.27</v>
      </c>
      <c r="B569" s="6">
        <v>5</v>
      </c>
      <c r="C569" s="8">
        <v>23.299195919999999</v>
      </c>
      <c r="D569" s="8">
        <v>0.16666666699999999</v>
      </c>
      <c r="L569">
        <v>543</v>
      </c>
      <c r="M569">
        <v>2.7038289372806816</v>
      </c>
      <c r="N569">
        <v>-0.50382893728068145</v>
      </c>
    </row>
    <row r="570" spans="1:14" x14ac:dyDescent="0.25">
      <c r="A570" s="8">
        <v>3.41</v>
      </c>
      <c r="B570" s="6">
        <v>11</v>
      </c>
      <c r="C570" s="8">
        <v>21.615298450000001</v>
      </c>
      <c r="D570" s="8">
        <v>0.27500000000000002</v>
      </c>
      <c r="L570">
        <v>544</v>
      </c>
      <c r="M570">
        <v>2.5320791498243294</v>
      </c>
      <c r="N570">
        <v>-0.50207914982432955</v>
      </c>
    </row>
    <row r="571" spans="1:14" x14ac:dyDescent="0.25">
      <c r="A571" s="8">
        <v>2.14</v>
      </c>
      <c r="B571" s="6">
        <v>4</v>
      </c>
      <c r="C571" s="8">
        <v>22.150201819999999</v>
      </c>
      <c r="D571" s="8">
        <v>0.16</v>
      </c>
      <c r="L571">
        <v>545</v>
      </c>
      <c r="M571">
        <v>2.4743823265762757</v>
      </c>
      <c r="N571">
        <v>3.5617673423724128E-2</v>
      </c>
    </row>
    <row r="572" spans="1:14" x14ac:dyDescent="0.25">
      <c r="A572" s="8">
        <v>2.09</v>
      </c>
      <c r="B572" s="6">
        <v>5</v>
      </c>
      <c r="C572" s="8">
        <v>24.59611975</v>
      </c>
      <c r="D572" s="8">
        <v>0.2</v>
      </c>
      <c r="L572">
        <v>546</v>
      </c>
      <c r="M572">
        <v>4.7098602686339781</v>
      </c>
      <c r="N572">
        <v>0.33013973136602193</v>
      </c>
    </row>
    <row r="573" spans="1:14" x14ac:dyDescent="0.25">
      <c r="A573" s="8">
        <v>3.25</v>
      </c>
      <c r="B573" s="6">
        <v>9</v>
      </c>
      <c r="C573" s="8">
        <v>20.66469644</v>
      </c>
      <c r="D573" s="8">
        <v>0.36</v>
      </c>
      <c r="L573">
        <v>547</v>
      </c>
      <c r="M573">
        <v>2.9452071735582601</v>
      </c>
      <c r="N573">
        <v>-0.57520717355826001</v>
      </c>
    </row>
    <row r="574" spans="1:14" x14ac:dyDescent="0.25">
      <c r="A574" s="8">
        <v>2.59</v>
      </c>
      <c r="B574" s="6">
        <v>5</v>
      </c>
      <c r="C574" s="8">
        <v>21.237150190000001</v>
      </c>
      <c r="D574" s="8">
        <v>0.25</v>
      </c>
      <c r="L574">
        <v>548</v>
      </c>
      <c r="M574">
        <v>3.9034677331800296</v>
      </c>
      <c r="N574">
        <v>-0.33346773318002976</v>
      </c>
    </row>
    <row r="575" spans="1:14" x14ac:dyDescent="0.25">
      <c r="A575" s="8">
        <v>2.0299999999999998</v>
      </c>
      <c r="B575" s="6">
        <v>6</v>
      </c>
      <c r="C575" s="8">
        <v>22.1707462</v>
      </c>
      <c r="D575" s="8">
        <v>0.2</v>
      </c>
      <c r="L575">
        <v>549</v>
      </c>
      <c r="M575">
        <v>3.3328688614552</v>
      </c>
      <c r="N575">
        <v>0.31713113854479991</v>
      </c>
    </row>
    <row r="576" spans="1:14" x14ac:dyDescent="0.25">
      <c r="A576" s="8">
        <v>2.13</v>
      </c>
      <c r="B576" s="6">
        <v>5</v>
      </c>
      <c r="C576" s="8">
        <v>23.437318609999998</v>
      </c>
      <c r="D576" s="8">
        <v>0.25</v>
      </c>
      <c r="L576">
        <v>550</v>
      </c>
      <c r="M576">
        <v>3.7160049673632365</v>
      </c>
      <c r="N576">
        <v>-0.18600496736323668</v>
      </c>
    </row>
    <row r="577" spans="1:14" x14ac:dyDescent="0.25">
      <c r="A577" s="8">
        <v>3.69</v>
      </c>
      <c r="B577" s="6">
        <v>11</v>
      </c>
      <c r="C577" s="8">
        <v>24.112044189999999</v>
      </c>
      <c r="D577" s="8">
        <v>0.366666667</v>
      </c>
      <c r="L577">
        <v>551</v>
      </c>
      <c r="M577">
        <v>3.8356075430197225</v>
      </c>
      <c r="N577">
        <v>-0.6856075430197226</v>
      </c>
    </row>
    <row r="578" spans="1:14" x14ac:dyDescent="0.25">
      <c r="A578" s="8">
        <v>2.98</v>
      </c>
      <c r="B578" s="6">
        <v>7</v>
      </c>
      <c r="C578" s="8">
        <v>23.298912179999999</v>
      </c>
      <c r="D578" s="8">
        <v>0.28000000000000003</v>
      </c>
      <c r="L578">
        <v>552</v>
      </c>
      <c r="M578">
        <v>3.407506226187019</v>
      </c>
      <c r="N578">
        <v>0.632493773812981</v>
      </c>
    </row>
    <row r="579" spans="1:14" x14ac:dyDescent="0.25">
      <c r="A579" s="8">
        <v>3.46</v>
      </c>
      <c r="B579" s="6">
        <v>9</v>
      </c>
      <c r="C579" s="8">
        <v>23.720786789999998</v>
      </c>
      <c r="D579" s="8">
        <v>0.22500000000000001</v>
      </c>
      <c r="L579">
        <v>553</v>
      </c>
      <c r="M579">
        <v>2.6583175379711834</v>
      </c>
      <c r="N579">
        <v>0.94168246202881667</v>
      </c>
    </row>
    <row r="580" spans="1:14" x14ac:dyDescent="0.25">
      <c r="A580" s="8">
        <v>1.26</v>
      </c>
      <c r="B580" s="6">
        <v>4</v>
      </c>
      <c r="C580" s="8">
        <v>23.061495170000001</v>
      </c>
      <c r="D580" s="8">
        <v>0.16</v>
      </c>
      <c r="L580">
        <v>554</v>
      </c>
      <c r="M580">
        <v>2.7307349724855303</v>
      </c>
      <c r="N580">
        <v>0.50926502751446989</v>
      </c>
    </row>
    <row r="581" spans="1:14" x14ac:dyDescent="0.25">
      <c r="A581" s="8">
        <v>3.39</v>
      </c>
      <c r="B581" s="6">
        <v>10</v>
      </c>
      <c r="C581" s="8">
        <v>20.887938399999999</v>
      </c>
      <c r="D581" s="8">
        <v>0.5</v>
      </c>
      <c r="L581">
        <v>555</v>
      </c>
      <c r="M581">
        <v>2.7561858841123685</v>
      </c>
      <c r="N581">
        <v>-0.18618588411236869</v>
      </c>
    </row>
    <row r="582" spans="1:14" x14ac:dyDescent="0.25">
      <c r="A582" s="8">
        <v>4.1500000000000004</v>
      </c>
      <c r="B582" s="6">
        <v>12</v>
      </c>
      <c r="C582" s="8">
        <v>24.754701010000002</v>
      </c>
      <c r="D582" s="8">
        <v>0.6</v>
      </c>
      <c r="L582">
        <v>556</v>
      </c>
      <c r="M582">
        <v>3.8087514331559893</v>
      </c>
      <c r="N582">
        <v>-4.875143315598951E-2</v>
      </c>
    </row>
    <row r="583" spans="1:14" x14ac:dyDescent="0.25">
      <c r="A583" s="8">
        <v>2.56</v>
      </c>
      <c r="B583" s="6">
        <v>8</v>
      </c>
      <c r="C583" s="8">
        <v>21.364635209999999</v>
      </c>
      <c r="D583" s="8">
        <v>0.26666666700000002</v>
      </c>
      <c r="L583">
        <v>557</v>
      </c>
      <c r="M583">
        <v>3.3890257114534115</v>
      </c>
      <c r="N583">
        <v>0.1909742885465886</v>
      </c>
    </row>
    <row r="584" spans="1:14" x14ac:dyDescent="0.25">
      <c r="A584" s="8">
        <v>3.08</v>
      </c>
      <c r="B584" s="6">
        <v>10</v>
      </c>
      <c r="C584" s="8">
        <v>22.274427339999999</v>
      </c>
      <c r="D584" s="8">
        <v>0.4</v>
      </c>
      <c r="L584">
        <v>558</v>
      </c>
      <c r="M584">
        <v>2.9625824503251299</v>
      </c>
      <c r="N584">
        <v>0.23741754967487028</v>
      </c>
    </row>
    <row r="585" spans="1:14" x14ac:dyDescent="0.25">
      <c r="A585" s="8">
        <v>3.61</v>
      </c>
      <c r="B585" s="6">
        <v>6</v>
      </c>
      <c r="C585" s="8">
        <v>25.58151685</v>
      </c>
      <c r="D585" s="8">
        <v>0.3</v>
      </c>
      <c r="L585">
        <v>559</v>
      </c>
      <c r="M585">
        <v>3.3544911120035774</v>
      </c>
      <c r="N585">
        <v>0.22550888799642266</v>
      </c>
    </row>
    <row r="586" spans="1:14" x14ac:dyDescent="0.25">
      <c r="A586" s="8">
        <v>2.0099999999999998</v>
      </c>
      <c r="B586" s="6">
        <v>6</v>
      </c>
      <c r="C586" s="8">
        <v>24.219658160000002</v>
      </c>
      <c r="D586" s="8">
        <v>0.3</v>
      </c>
      <c r="L586">
        <v>560</v>
      </c>
      <c r="M586">
        <v>3.4129372727442875</v>
      </c>
      <c r="N586">
        <v>-4.293727274428738E-2</v>
      </c>
    </row>
    <row r="587" spans="1:14" x14ac:dyDescent="0.25">
      <c r="A587" s="8">
        <v>4.0599999999999996</v>
      </c>
      <c r="B587" s="6">
        <v>10</v>
      </c>
      <c r="C587" s="8">
        <v>26.14746843</v>
      </c>
      <c r="D587" s="8">
        <v>0.25</v>
      </c>
      <c r="L587">
        <v>561</v>
      </c>
      <c r="M587">
        <v>3.2553590792335454</v>
      </c>
      <c r="N587">
        <v>-0.67535907923354532</v>
      </c>
    </row>
    <row r="588" spans="1:14" x14ac:dyDescent="0.25">
      <c r="A588" s="8">
        <v>3.62</v>
      </c>
      <c r="B588" s="6">
        <v>9</v>
      </c>
      <c r="C588" s="8">
        <v>24.715797649999999</v>
      </c>
      <c r="D588" s="8">
        <v>0.3</v>
      </c>
      <c r="L588">
        <v>562</v>
      </c>
      <c r="M588">
        <v>4.0435158389935646</v>
      </c>
      <c r="N588">
        <v>-0.39351583899356468</v>
      </c>
    </row>
    <row r="589" spans="1:14" x14ac:dyDescent="0.25">
      <c r="A589" s="8">
        <v>2.99</v>
      </c>
      <c r="B589" s="6">
        <v>7</v>
      </c>
      <c r="C589" s="8">
        <v>22.45517997</v>
      </c>
      <c r="D589" s="8">
        <v>0.28000000000000003</v>
      </c>
      <c r="L589">
        <v>563</v>
      </c>
      <c r="M589">
        <v>1.9578705927346225</v>
      </c>
      <c r="N589">
        <v>0.72212940726537767</v>
      </c>
    </row>
    <row r="590" spans="1:14" x14ac:dyDescent="0.25">
      <c r="A590" s="8">
        <v>2.8</v>
      </c>
      <c r="B590" s="6">
        <v>7</v>
      </c>
      <c r="C590" s="8">
        <v>22.612589239999998</v>
      </c>
      <c r="D590" s="8">
        <v>0.35</v>
      </c>
      <c r="L590">
        <v>564</v>
      </c>
      <c r="M590">
        <v>3.1461162607943458</v>
      </c>
      <c r="N590">
        <v>0.68388373920565426</v>
      </c>
    </row>
    <row r="591" spans="1:14" x14ac:dyDescent="0.25">
      <c r="A591" s="8">
        <v>2.09</v>
      </c>
      <c r="B591" s="6">
        <v>3</v>
      </c>
      <c r="C591" s="8">
        <v>25.168396489999999</v>
      </c>
      <c r="D591" s="8">
        <v>0.1</v>
      </c>
      <c r="L591">
        <v>565</v>
      </c>
      <c r="M591">
        <v>2.7319952461675228</v>
      </c>
      <c r="N591">
        <v>-8.1995246167522851E-2</v>
      </c>
    </row>
    <row r="592" spans="1:14" x14ac:dyDescent="0.25">
      <c r="A592" s="8">
        <v>3.63</v>
      </c>
      <c r="B592" s="6">
        <v>9</v>
      </c>
      <c r="C592" s="8">
        <v>23.512341209999999</v>
      </c>
      <c r="D592" s="8">
        <v>0.22500000000000001</v>
      </c>
      <c r="L592">
        <v>566</v>
      </c>
      <c r="M592">
        <v>4.2721086310915926</v>
      </c>
      <c r="N592">
        <v>-0.50210863109159254</v>
      </c>
    </row>
    <row r="593" spans="1:14" x14ac:dyDescent="0.25">
      <c r="A593" s="8">
        <v>3.33</v>
      </c>
      <c r="B593" s="6">
        <v>9</v>
      </c>
      <c r="C593" s="8">
        <v>22.305627009999998</v>
      </c>
      <c r="D593" s="8">
        <v>0.3</v>
      </c>
      <c r="L593">
        <v>567</v>
      </c>
      <c r="M593">
        <v>3.2759074599118296</v>
      </c>
      <c r="N593">
        <v>-0.17590745991182954</v>
      </c>
    </row>
    <row r="594" spans="1:14" x14ac:dyDescent="0.25">
      <c r="A594" s="8">
        <v>2.46</v>
      </c>
      <c r="B594" s="6">
        <v>9</v>
      </c>
      <c r="C594" s="8">
        <v>22.450395390000001</v>
      </c>
      <c r="D594" s="8">
        <v>0.3</v>
      </c>
      <c r="L594">
        <v>568</v>
      </c>
      <c r="M594">
        <v>2.3512125852553623</v>
      </c>
      <c r="N594">
        <v>-8.1212585255362235E-2</v>
      </c>
    </row>
    <row r="595" spans="1:14" x14ac:dyDescent="0.25">
      <c r="A595" s="8">
        <v>4.22</v>
      </c>
      <c r="B595" s="6">
        <v>13</v>
      </c>
      <c r="C595" s="8">
        <v>22.907477570000001</v>
      </c>
      <c r="D595" s="8">
        <v>0.52</v>
      </c>
      <c r="L595">
        <v>569</v>
      </c>
      <c r="M595">
        <v>3.7118099722980666</v>
      </c>
      <c r="N595">
        <v>-0.3018099722980665</v>
      </c>
    </row>
    <row r="596" spans="1:14" x14ac:dyDescent="0.25">
      <c r="A596" s="8">
        <v>1.19</v>
      </c>
      <c r="B596" s="6">
        <v>3</v>
      </c>
      <c r="C596" s="8">
        <v>22.61951831</v>
      </c>
      <c r="D596" s="8">
        <v>0.12</v>
      </c>
      <c r="L596">
        <v>570</v>
      </c>
      <c r="M596">
        <v>2.0426562771831889</v>
      </c>
      <c r="N596">
        <v>9.7343722816811251E-2</v>
      </c>
    </row>
    <row r="597" spans="1:14" x14ac:dyDescent="0.25">
      <c r="A597" s="8">
        <v>3.35</v>
      </c>
      <c r="B597" s="6">
        <v>8</v>
      </c>
      <c r="C597" s="8">
        <v>22.777018429999998</v>
      </c>
      <c r="D597" s="8">
        <v>0.2</v>
      </c>
      <c r="L597">
        <v>571</v>
      </c>
      <c r="M597">
        <v>2.4254097445858012</v>
      </c>
      <c r="N597">
        <v>-0.33540974458580131</v>
      </c>
    </row>
    <row r="598" spans="1:14" x14ac:dyDescent="0.25">
      <c r="A598" s="8">
        <v>3.58</v>
      </c>
      <c r="B598" s="6">
        <v>11</v>
      </c>
      <c r="C598" s="8">
        <v>24.319399539999999</v>
      </c>
      <c r="D598" s="8">
        <v>0.44</v>
      </c>
      <c r="L598">
        <v>572</v>
      </c>
      <c r="M598">
        <v>3.17178147282005</v>
      </c>
      <c r="N598">
        <v>7.8218527179950037E-2</v>
      </c>
    </row>
    <row r="599" spans="1:14" x14ac:dyDescent="0.25">
      <c r="A599" s="8">
        <v>2.7</v>
      </c>
      <c r="B599" s="6">
        <v>9</v>
      </c>
      <c r="C599" s="8">
        <v>22.289766870000001</v>
      </c>
      <c r="D599" s="8">
        <v>0.3</v>
      </c>
      <c r="L599">
        <v>573</v>
      </c>
      <c r="M599">
        <v>2.2332427152935606</v>
      </c>
      <c r="N599">
        <v>0.3567572847064393</v>
      </c>
    </row>
    <row r="600" spans="1:14" x14ac:dyDescent="0.25">
      <c r="A600" s="8">
        <v>2.58</v>
      </c>
      <c r="B600" s="6">
        <v>7</v>
      </c>
      <c r="C600" s="8">
        <v>25.18420592</v>
      </c>
      <c r="D600" s="8">
        <v>0.35</v>
      </c>
      <c r="L600">
        <v>574</v>
      </c>
      <c r="M600">
        <v>2.5294760742198288</v>
      </c>
      <c r="N600">
        <v>-0.49947607421982898</v>
      </c>
    </row>
    <row r="601" spans="1:14" x14ac:dyDescent="0.25">
      <c r="A601" s="8">
        <v>2.89</v>
      </c>
      <c r="B601" s="6">
        <v>8</v>
      </c>
      <c r="C601" s="8">
        <v>20.624469520000002</v>
      </c>
      <c r="D601" s="8">
        <v>0.26666666700000002</v>
      </c>
      <c r="L601">
        <v>575</v>
      </c>
      <c r="M601">
        <v>2.3591146000075152</v>
      </c>
      <c r="N601">
        <v>-0.22911460000751527</v>
      </c>
    </row>
    <row r="602" spans="1:14" x14ac:dyDescent="0.25">
      <c r="A602" s="8">
        <v>3.39</v>
      </c>
      <c r="B602" s="6">
        <v>9</v>
      </c>
      <c r="C602" s="8">
        <v>21.471626430000001</v>
      </c>
      <c r="D602" s="8">
        <v>0.22500000000000001</v>
      </c>
      <c r="L602">
        <v>576</v>
      </c>
      <c r="M602">
        <v>3.8546490791085066</v>
      </c>
      <c r="N602">
        <v>-0.16464907910850668</v>
      </c>
    </row>
    <row r="603" spans="1:14" x14ac:dyDescent="0.25">
      <c r="A603" s="8">
        <v>3.8</v>
      </c>
      <c r="B603" s="6">
        <v>8</v>
      </c>
      <c r="C603" s="8">
        <v>16.857698020000001</v>
      </c>
      <c r="D603" s="8">
        <v>0.32</v>
      </c>
      <c r="L603">
        <v>577</v>
      </c>
      <c r="M603">
        <v>2.836840803185777</v>
      </c>
      <c r="N603">
        <v>0.14315919681422296</v>
      </c>
    </row>
    <row r="604" spans="1:14" x14ac:dyDescent="0.25">
      <c r="A604" s="8">
        <v>2.71</v>
      </c>
      <c r="B604" s="6">
        <v>7</v>
      </c>
      <c r="C604" s="8">
        <v>20.086637119999999</v>
      </c>
      <c r="D604" s="8">
        <v>0.35</v>
      </c>
      <c r="L604">
        <v>578</v>
      </c>
      <c r="M604">
        <v>3.346620748174538</v>
      </c>
      <c r="N604">
        <v>0.11337925182546194</v>
      </c>
    </row>
    <row r="605" spans="1:14" x14ac:dyDescent="0.25">
      <c r="A605" s="8">
        <v>1.97</v>
      </c>
      <c r="B605" s="6">
        <v>4</v>
      </c>
      <c r="C605" s="8">
        <v>24.375865940000001</v>
      </c>
      <c r="D605" s="8">
        <v>0.16</v>
      </c>
      <c r="L605">
        <v>579</v>
      </c>
      <c r="M605">
        <v>2.0947914730386925</v>
      </c>
      <c r="N605">
        <v>-0.8347914730386925</v>
      </c>
    </row>
    <row r="606" spans="1:14" x14ac:dyDescent="0.25">
      <c r="A606" s="8">
        <v>3.24</v>
      </c>
      <c r="B606" s="6">
        <v>8</v>
      </c>
      <c r="C606" s="8">
        <v>23.430441470000002</v>
      </c>
      <c r="D606" s="8">
        <v>0.26666666700000002</v>
      </c>
      <c r="L606">
        <v>580</v>
      </c>
      <c r="M606">
        <v>3.4273753960218065</v>
      </c>
      <c r="N606">
        <v>-3.7375396021806395E-2</v>
      </c>
    </row>
    <row r="607" spans="1:14" x14ac:dyDescent="0.25">
      <c r="A607" s="8">
        <v>2.63</v>
      </c>
      <c r="B607" s="6">
        <v>6</v>
      </c>
      <c r="C607" s="8">
        <v>26.409184190000001</v>
      </c>
      <c r="D607" s="8">
        <v>0.2</v>
      </c>
      <c r="L607">
        <v>581</v>
      </c>
      <c r="M607">
        <v>4.1342377739947143</v>
      </c>
      <c r="N607">
        <v>1.5762226005286095E-2</v>
      </c>
    </row>
    <row r="608" spans="1:14" x14ac:dyDescent="0.25">
      <c r="A608" s="8">
        <v>2.8</v>
      </c>
      <c r="B608" s="6">
        <v>7</v>
      </c>
      <c r="C608" s="8">
        <v>25.180366939999999</v>
      </c>
      <c r="D608" s="8">
        <v>0.28000000000000003</v>
      </c>
      <c r="L608">
        <v>582</v>
      </c>
      <c r="M608">
        <v>2.9690028238311212</v>
      </c>
      <c r="N608">
        <v>-0.40900282383112119</v>
      </c>
    </row>
    <row r="609" spans="1:14" x14ac:dyDescent="0.25">
      <c r="A609" s="8">
        <v>2.99</v>
      </c>
      <c r="B609" s="6">
        <v>8</v>
      </c>
      <c r="C609" s="8">
        <v>23.82596113</v>
      </c>
      <c r="D609" s="8">
        <v>0.32</v>
      </c>
      <c r="L609">
        <v>583</v>
      </c>
      <c r="M609">
        <v>3.5066965854482293</v>
      </c>
      <c r="N609">
        <v>-0.42669658544822919</v>
      </c>
    </row>
    <row r="610" spans="1:14" x14ac:dyDescent="0.25">
      <c r="A610" s="8">
        <v>2.14</v>
      </c>
      <c r="B610" s="6">
        <v>4</v>
      </c>
      <c r="C610" s="8">
        <v>22.035372859999999</v>
      </c>
      <c r="D610" s="8">
        <v>0.1</v>
      </c>
      <c r="L610">
        <v>584</v>
      </c>
      <c r="M610">
        <v>2.7246066497430155</v>
      </c>
      <c r="N610">
        <v>0.8853933502569844</v>
      </c>
    </row>
    <row r="611" spans="1:14" x14ac:dyDescent="0.25">
      <c r="A611" s="8">
        <v>4.03</v>
      </c>
      <c r="B611" s="6">
        <v>12</v>
      </c>
      <c r="C611" s="8">
        <v>20.177489990000002</v>
      </c>
      <c r="D611" s="8">
        <v>0.48</v>
      </c>
      <c r="L611">
        <v>585</v>
      </c>
      <c r="M611">
        <v>2.6466945597111184</v>
      </c>
      <c r="N611">
        <v>-0.63669455971111866</v>
      </c>
    </row>
    <row r="612" spans="1:14" x14ac:dyDescent="0.25">
      <c r="A612" s="8">
        <v>2.59</v>
      </c>
      <c r="B612" s="6">
        <v>8</v>
      </c>
      <c r="C612" s="8">
        <v>23.330807320000002</v>
      </c>
      <c r="D612" s="8">
        <v>0.26666666700000002</v>
      </c>
      <c r="L612">
        <v>586</v>
      </c>
      <c r="M612">
        <v>3.7282737052456718</v>
      </c>
      <c r="N612">
        <v>0.3317262947543278</v>
      </c>
    </row>
    <row r="613" spans="1:14" x14ac:dyDescent="0.25">
      <c r="A613" s="8">
        <v>2.59</v>
      </c>
      <c r="B613" s="6">
        <v>7</v>
      </c>
      <c r="C613" s="8">
        <v>22.54578798</v>
      </c>
      <c r="D613" s="8">
        <v>0.17499999999999999</v>
      </c>
      <c r="L613">
        <v>587</v>
      </c>
      <c r="M613">
        <v>3.4035454322671557</v>
      </c>
      <c r="N613">
        <v>0.21645456773284444</v>
      </c>
    </row>
    <row r="614" spans="1:14" x14ac:dyDescent="0.25">
      <c r="A614" s="8">
        <v>2.82</v>
      </c>
      <c r="B614" s="6">
        <v>9</v>
      </c>
      <c r="C614" s="8">
        <v>20.52087543</v>
      </c>
      <c r="D614" s="8">
        <v>0.3</v>
      </c>
      <c r="L614">
        <v>588</v>
      </c>
      <c r="M614">
        <v>2.78857078780824</v>
      </c>
      <c r="N614">
        <v>0.20142921219176024</v>
      </c>
    </row>
    <row r="615" spans="1:14" x14ac:dyDescent="0.25">
      <c r="A615" s="8">
        <v>0.93</v>
      </c>
      <c r="B615" s="6">
        <v>1</v>
      </c>
      <c r="C615" s="8">
        <v>21.508115750000002</v>
      </c>
      <c r="D615" s="8">
        <v>0.05</v>
      </c>
      <c r="L615">
        <v>589</v>
      </c>
      <c r="M615">
        <v>2.7975761899884732</v>
      </c>
      <c r="N615">
        <v>2.4238100115265837E-3</v>
      </c>
    </row>
    <row r="616" spans="1:14" x14ac:dyDescent="0.25">
      <c r="A616" s="8">
        <v>2.86</v>
      </c>
      <c r="B616" s="6">
        <v>7</v>
      </c>
      <c r="C616" s="8">
        <v>25.584120670000001</v>
      </c>
      <c r="D616" s="8">
        <v>0.28000000000000003</v>
      </c>
      <c r="L616">
        <v>590</v>
      </c>
      <c r="M616">
        <v>1.9725053110251252</v>
      </c>
      <c r="N616">
        <v>0.11749468897487469</v>
      </c>
    </row>
    <row r="617" spans="1:14" x14ac:dyDescent="0.25">
      <c r="A617" s="8">
        <v>3.56</v>
      </c>
      <c r="B617" s="6">
        <v>9</v>
      </c>
      <c r="C617" s="8">
        <v>20.535137519999999</v>
      </c>
      <c r="D617" s="8">
        <v>0.22500000000000001</v>
      </c>
      <c r="L617">
        <v>591</v>
      </c>
      <c r="M617">
        <v>3.3346955529138529</v>
      </c>
      <c r="N617">
        <v>0.295304447086147</v>
      </c>
    </row>
    <row r="618" spans="1:14" x14ac:dyDescent="0.25">
      <c r="A618" s="8">
        <v>3.84</v>
      </c>
      <c r="B618" s="6">
        <v>11</v>
      </c>
      <c r="C618" s="8">
        <v>22.654741730000001</v>
      </c>
      <c r="D618" s="8">
        <v>0.366666667</v>
      </c>
      <c r="L618">
        <v>592</v>
      </c>
      <c r="M618">
        <v>3.2656592967416587</v>
      </c>
      <c r="N618">
        <v>6.4340703258341403E-2</v>
      </c>
    </row>
    <row r="619" spans="1:14" x14ac:dyDescent="0.25">
      <c r="A619" s="8">
        <v>2.71</v>
      </c>
      <c r="B619" s="6">
        <v>7</v>
      </c>
      <c r="C619" s="8">
        <v>20.908941030000001</v>
      </c>
      <c r="D619" s="8">
        <v>0.35</v>
      </c>
      <c r="L619">
        <v>593</v>
      </c>
      <c r="M619">
        <v>3.2739415121720512</v>
      </c>
      <c r="N619">
        <v>-0.81394151217205124</v>
      </c>
    </row>
    <row r="620" spans="1:14" x14ac:dyDescent="0.25">
      <c r="A620" s="8">
        <v>3.51</v>
      </c>
      <c r="B620" s="6">
        <v>10</v>
      </c>
      <c r="C620" s="8">
        <v>20.565039630000001</v>
      </c>
      <c r="D620" s="8">
        <v>0.4</v>
      </c>
      <c r="L620">
        <v>594</v>
      </c>
      <c r="M620">
        <v>4.2713801369595359</v>
      </c>
      <c r="N620">
        <v>-5.1380136959536138E-2</v>
      </c>
    </row>
    <row r="621" spans="1:14" x14ac:dyDescent="0.25">
      <c r="A621" s="8">
        <v>3.33</v>
      </c>
      <c r="B621" s="6">
        <v>6</v>
      </c>
      <c r="C621" s="8">
        <v>26.80053685</v>
      </c>
      <c r="D621" s="8">
        <v>0.3</v>
      </c>
      <c r="L621">
        <v>595</v>
      </c>
      <c r="M621">
        <v>1.8266837014126782</v>
      </c>
      <c r="N621">
        <v>-0.63668370141267827</v>
      </c>
    </row>
    <row r="622" spans="1:14" x14ac:dyDescent="0.25">
      <c r="A622" s="8">
        <v>3.52</v>
      </c>
      <c r="B622" s="6">
        <v>7</v>
      </c>
      <c r="C622" s="8">
        <v>25.37229095</v>
      </c>
      <c r="D622" s="8">
        <v>0.233333333</v>
      </c>
      <c r="L622">
        <v>596</v>
      </c>
      <c r="M622">
        <v>3.0498054279516569</v>
      </c>
      <c r="N622">
        <v>0.30019457204834321</v>
      </c>
    </row>
    <row r="623" spans="1:14" x14ac:dyDescent="0.25">
      <c r="A623" s="8">
        <v>2.0099999999999998</v>
      </c>
      <c r="B623" s="6">
        <v>5</v>
      </c>
      <c r="C623" s="8">
        <v>25.24986509</v>
      </c>
      <c r="D623" s="8">
        <v>0.25</v>
      </c>
      <c r="L623">
        <v>597</v>
      </c>
      <c r="M623">
        <v>3.8665119021873062</v>
      </c>
      <c r="N623">
        <v>-0.28651190218730616</v>
      </c>
    </row>
    <row r="624" spans="1:14" x14ac:dyDescent="0.25">
      <c r="A624" s="8">
        <v>2.29</v>
      </c>
      <c r="B624" s="6">
        <v>4</v>
      </c>
      <c r="C624" s="8">
        <v>20.112885930000001</v>
      </c>
      <c r="D624" s="8">
        <v>0.2</v>
      </c>
      <c r="L624">
        <v>598</v>
      </c>
      <c r="M624">
        <v>3.2647519363343918</v>
      </c>
      <c r="N624">
        <v>-0.56475193633439158</v>
      </c>
    </row>
    <row r="625" spans="1:14" x14ac:dyDescent="0.25">
      <c r="A625" s="8">
        <v>2.14</v>
      </c>
      <c r="B625" s="6">
        <v>4</v>
      </c>
      <c r="C625" s="8">
        <v>23.837519919999998</v>
      </c>
      <c r="D625" s="8">
        <v>0.1</v>
      </c>
      <c r="L625">
        <v>599</v>
      </c>
      <c r="M625">
        <v>2.9446986717635015</v>
      </c>
      <c r="N625">
        <v>-0.36469867176350146</v>
      </c>
    </row>
    <row r="626" spans="1:14" x14ac:dyDescent="0.25">
      <c r="A626" s="8">
        <v>3.54</v>
      </c>
      <c r="B626" s="6">
        <v>9</v>
      </c>
      <c r="C626" s="8">
        <v>25.07721214</v>
      </c>
      <c r="D626" s="8">
        <v>0.36</v>
      </c>
      <c r="L626">
        <v>600</v>
      </c>
      <c r="M626">
        <v>2.9266578608028344</v>
      </c>
      <c r="N626">
        <v>-3.6657860802834286E-2</v>
      </c>
    </row>
    <row r="627" spans="1:14" x14ac:dyDescent="0.25">
      <c r="A627" s="8">
        <v>2.82</v>
      </c>
      <c r="B627" s="6">
        <v>7</v>
      </c>
      <c r="C627" s="8">
        <v>21.120064339999999</v>
      </c>
      <c r="D627" s="8">
        <v>0.28000000000000003</v>
      </c>
      <c r="L627">
        <v>601</v>
      </c>
      <c r="M627">
        <v>3.217946029019576</v>
      </c>
      <c r="N627">
        <v>0.17205397098042408</v>
      </c>
    </row>
    <row r="628" spans="1:14" x14ac:dyDescent="0.25">
      <c r="A628" s="8">
        <v>3.85</v>
      </c>
      <c r="B628" s="6">
        <v>11</v>
      </c>
      <c r="C628" s="8">
        <v>21.434802810000001</v>
      </c>
      <c r="D628" s="8">
        <v>0.27500000000000002</v>
      </c>
      <c r="L628">
        <v>602</v>
      </c>
      <c r="M628">
        <v>2.7111604362957546</v>
      </c>
      <c r="N628">
        <v>1.0888395637042452</v>
      </c>
    </row>
    <row r="629" spans="1:14" x14ac:dyDescent="0.25">
      <c r="A629" s="8">
        <v>4.0999999999999996</v>
      </c>
      <c r="B629" s="6">
        <v>10</v>
      </c>
      <c r="C629" s="8">
        <v>26.198109030000001</v>
      </c>
      <c r="D629" s="8">
        <v>0.4</v>
      </c>
      <c r="L629">
        <v>603</v>
      </c>
      <c r="M629">
        <v>2.6530661828674686</v>
      </c>
      <c r="N629">
        <v>5.6933817132531317E-2</v>
      </c>
    </row>
    <row r="630" spans="1:14" x14ac:dyDescent="0.25">
      <c r="A630" s="8">
        <v>3.24</v>
      </c>
      <c r="B630" s="6">
        <v>8</v>
      </c>
      <c r="C630" s="8">
        <v>25.020549169999999</v>
      </c>
      <c r="D630" s="8">
        <v>0.32</v>
      </c>
      <c r="L630">
        <v>604</v>
      </c>
      <c r="M630">
        <v>2.1699867737842746</v>
      </c>
      <c r="N630">
        <v>-0.19998677378427465</v>
      </c>
    </row>
    <row r="631" spans="1:14" x14ac:dyDescent="0.25">
      <c r="A631" s="8">
        <v>3.23</v>
      </c>
      <c r="B631" s="6">
        <v>8</v>
      </c>
      <c r="C631" s="8">
        <v>25.77097268</v>
      </c>
      <c r="D631" s="8">
        <v>0.26666666700000002</v>
      </c>
      <c r="L631">
        <v>605</v>
      </c>
      <c r="M631">
        <v>3.0871878341405079</v>
      </c>
      <c r="N631">
        <v>0.15281216585949231</v>
      </c>
    </row>
    <row r="632" spans="1:14" x14ac:dyDescent="0.25">
      <c r="A632" s="8">
        <v>3.91</v>
      </c>
      <c r="B632" s="6">
        <v>10</v>
      </c>
      <c r="C632" s="8">
        <v>23.35924455</v>
      </c>
      <c r="D632" s="8">
        <v>0.5</v>
      </c>
      <c r="L632">
        <v>606</v>
      </c>
      <c r="M632">
        <v>2.7719575920867774</v>
      </c>
      <c r="N632">
        <v>-0.1419575920867775</v>
      </c>
    </row>
    <row r="633" spans="1:14" x14ac:dyDescent="0.25">
      <c r="A633" s="8">
        <v>2.12</v>
      </c>
      <c r="B633" s="6">
        <v>7</v>
      </c>
      <c r="C633" s="8">
        <v>21.871607640000001</v>
      </c>
      <c r="D633" s="8">
        <v>0.17499999999999999</v>
      </c>
      <c r="L633">
        <v>607</v>
      </c>
      <c r="M633">
        <v>2.9444790432825241</v>
      </c>
      <c r="N633">
        <v>-0.14447904328252426</v>
      </c>
    </row>
    <row r="634" spans="1:14" x14ac:dyDescent="0.25">
      <c r="A634" s="8">
        <v>3.37</v>
      </c>
      <c r="B634" s="6">
        <v>7</v>
      </c>
      <c r="C634" s="8">
        <v>26.42205762</v>
      </c>
      <c r="D634" s="8">
        <v>0.233333333</v>
      </c>
      <c r="L634">
        <v>608</v>
      </c>
      <c r="M634">
        <v>3.1098155587242569</v>
      </c>
      <c r="N634">
        <v>-0.11981555872425664</v>
      </c>
    </row>
    <row r="635" spans="1:14" x14ac:dyDescent="0.25">
      <c r="A635" s="8">
        <v>3.63</v>
      </c>
      <c r="B635" s="6">
        <v>11</v>
      </c>
      <c r="C635" s="8">
        <v>22.94901174</v>
      </c>
      <c r="D635" s="8">
        <v>0.366666667</v>
      </c>
      <c r="L635">
        <v>609</v>
      </c>
      <c r="M635">
        <v>2.0360868993648564</v>
      </c>
      <c r="N635">
        <v>0.1039131006351437</v>
      </c>
    </row>
    <row r="636" spans="1:14" x14ac:dyDescent="0.25">
      <c r="A636" s="8">
        <v>3.77</v>
      </c>
      <c r="B636" s="6">
        <v>10</v>
      </c>
      <c r="C636" s="8">
        <v>19.393365490000001</v>
      </c>
      <c r="D636" s="8">
        <v>0.33333333300000001</v>
      </c>
      <c r="L636">
        <v>610</v>
      </c>
      <c r="M636">
        <v>3.8723750126789769</v>
      </c>
      <c r="N636">
        <v>0.15762498732102337</v>
      </c>
    </row>
    <row r="637" spans="1:14" x14ac:dyDescent="0.25">
      <c r="A637" s="8">
        <v>3.11</v>
      </c>
      <c r="B637" s="6">
        <v>9</v>
      </c>
      <c r="C637" s="8">
        <v>21.74511433</v>
      </c>
      <c r="D637" s="8">
        <v>0.22500000000000001</v>
      </c>
      <c r="L637">
        <v>611</v>
      </c>
      <c r="M637">
        <v>3.0814877531247222</v>
      </c>
      <c r="N637">
        <v>-0.49148775312472237</v>
      </c>
    </row>
    <row r="638" spans="1:14" x14ac:dyDescent="0.25">
      <c r="A638" s="8">
        <v>1.95</v>
      </c>
      <c r="B638" s="6">
        <v>6</v>
      </c>
      <c r="C638" s="8">
        <v>22.104077319999998</v>
      </c>
      <c r="D638" s="8">
        <v>0.2</v>
      </c>
      <c r="L638">
        <v>612</v>
      </c>
      <c r="M638">
        <v>2.7937544823314444</v>
      </c>
      <c r="N638">
        <v>-0.20375448233144455</v>
      </c>
    </row>
    <row r="639" spans="1:14" x14ac:dyDescent="0.25">
      <c r="A639" s="8">
        <v>2.4900000000000002</v>
      </c>
      <c r="B639" s="6">
        <v>7</v>
      </c>
      <c r="C639" s="8">
        <v>21.851834849999999</v>
      </c>
      <c r="D639" s="8">
        <v>0.17499999999999999</v>
      </c>
      <c r="L639">
        <v>613</v>
      </c>
      <c r="M639">
        <v>3.163553456534749</v>
      </c>
      <c r="N639">
        <v>-0.34355345653474911</v>
      </c>
    </row>
    <row r="640" spans="1:14" x14ac:dyDescent="0.25">
      <c r="A640" s="8">
        <v>3.46</v>
      </c>
      <c r="B640" s="6">
        <v>6</v>
      </c>
      <c r="C640" s="8">
        <v>29.17977922</v>
      </c>
      <c r="D640" s="8">
        <v>0.24</v>
      </c>
      <c r="L640">
        <v>614</v>
      </c>
      <c r="M640">
        <v>1.2774557842412011</v>
      </c>
      <c r="N640">
        <v>-0.34745578424120105</v>
      </c>
    </row>
    <row r="641" spans="1:14" x14ac:dyDescent="0.25">
      <c r="A641" s="8">
        <v>3.02</v>
      </c>
      <c r="B641" s="6">
        <v>7</v>
      </c>
      <c r="C641" s="8">
        <v>18.46100427</v>
      </c>
      <c r="D641" s="8">
        <v>0.35</v>
      </c>
      <c r="L641">
        <v>615</v>
      </c>
      <c r="M641">
        <v>2.9675778399443677</v>
      </c>
      <c r="N641">
        <v>-0.10757783994436787</v>
      </c>
    </row>
    <row r="642" spans="1:14" x14ac:dyDescent="0.25">
      <c r="A642" s="8">
        <v>2.56</v>
      </c>
      <c r="B642" s="6">
        <v>6</v>
      </c>
      <c r="C642" s="8">
        <v>21.962666559999999</v>
      </c>
      <c r="D642" s="8">
        <v>0.3</v>
      </c>
      <c r="L642">
        <v>616</v>
      </c>
      <c r="M642">
        <v>3.1643693923203653</v>
      </c>
      <c r="N642">
        <v>0.39563060767963476</v>
      </c>
    </row>
    <row r="643" spans="1:14" x14ac:dyDescent="0.25">
      <c r="A643" s="8">
        <v>2.96</v>
      </c>
      <c r="B643" s="6">
        <v>6</v>
      </c>
      <c r="C643" s="8">
        <v>21.540260830000001</v>
      </c>
      <c r="D643" s="8">
        <v>0.15</v>
      </c>
      <c r="L643">
        <v>617</v>
      </c>
      <c r="M643">
        <v>3.7712766401756355</v>
      </c>
      <c r="N643">
        <v>6.8723359824364394E-2</v>
      </c>
    </row>
    <row r="644" spans="1:14" x14ac:dyDescent="0.25">
      <c r="A644" s="8">
        <v>2.82</v>
      </c>
      <c r="B644" s="6">
        <v>7</v>
      </c>
      <c r="C644" s="8">
        <v>21.430340189999999</v>
      </c>
      <c r="D644" s="8">
        <v>0.28000000000000003</v>
      </c>
      <c r="L644">
        <v>618</v>
      </c>
      <c r="M644">
        <v>2.7001102827729451</v>
      </c>
      <c r="N644">
        <v>9.889717227054895E-3</v>
      </c>
    </row>
    <row r="645" spans="1:14" x14ac:dyDescent="0.25">
      <c r="A645" s="8">
        <v>2.57</v>
      </c>
      <c r="B645" s="6">
        <v>7</v>
      </c>
      <c r="C645" s="8">
        <v>24.698285210000002</v>
      </c>
      <c r="D645" s="8">
        <v>0.35</v>
      </c>
      <c r="L645">
        <v>619</v>
      </c>
      <c r="M645">
        <v>3.4089023207870852</v>
      </c>
      <c r="N645">
        <v>0.10109767921291457</v>
      </c>
    </row>
    <row r="646" spans="1:14" x14ac:dyDescent="0.25">
      <c r="A646" s="8">
        <v>4.8</v>
      </c>
      <c r="B646" s="6">
        <v>12</v>
      </c>
      <c r="C646" s="8">
        <v>29.196598869999999</v>
      </c>
      <c r="D646" s="8">
        <v>0.3</v>
      </c>
      <c r="L646">
        <v>620</v>
      </c>
      <c r="M646">
        <v>2.7943469221281658</v>
      </c>
      <c r="N646">
        <v>0.53565307787183425</v>
      </c>
    </row>
    <row r="647" spans="1:14" x14ac:dyDescent="0.25">
      <c r="A647" s="8">
        <v>4.1399999999999997</v>
      </c>
      <c r="B647" s="6">
        <v>12</v>
      </c>
      <c r="C647" s="8">
        <v>20.417920850000002</v>
      </c>
      <c r="D647" s="8">
        <v>0.6</v>
      </c>
      <c r="L647">
        <v>621</v>
      </c>
      <c r="M647">
        <v>2.9554590376506642</v>
      </c>
      <c r="N647">
        <v>0.56454096234933582</v>
      </c>
    </row>
    <row r="648" spans="1:14" x14ac:dyDescent="0.25">
      <c r="A648" s="8">
        <v>3.09</v>
      </c>
      <c r="B648" s="6">
        <v>6</v>
      </c>
      <c r="C648" s="8">
        <v>18.129375339999999</v>
      </c>
      <c r="D648" s="8">
        <v>0.2</v>
      </c>
      <c r="L648">
        <v>622</v>
      </c>
      <c r="M648">
        <v>2.462810589594187</v>
      </c>
      <c r="N648">
        <v>-0.45281058959418719</v>
      </c>
    </row>
    <row r="649" spans="1:14" x14ac:dyDescent="0.25">
      <c r="A649" s="8">
        <v>3.22</v>
      </c>
      <c r="B649" s="6">
        <v>8</v>
      </c>
      <c r="C649" s="8">
        <v>26.722514749999998</v>
      </c>
      <c r="D649" s="8">
        <v>0.4</v>
      </c>
      <c r="L649">
        <v>623</v>
      </c>
      <c r="M649">
        <v>1.9261012041711019</v>
      </c>
      <c r="N649">
        <v>0.36389879582889817</v>
      </c>
    </row>
    <row r="650" spans="1:14" x14ac:dyDescent="0.25">
      <c r="A650" s="8">
        <v>2.23</v>
      </c>
      <c r="B650" s="6">
        <v>4</v>
      </c>
      <c r="C650" s="8">
        <v>20.79363124</v>
      </c>
      <c r="D650" s="8">
        <v>0.16</v>
      </c>
      <c r="L650">
        <v>624</v>
      </c>
      <c r="M650">
        <v>2.1391879369544755</v>
      </c>
      <c r="N650">
        <v>8.1206304552461361E-4</v>
      </c>
    </row>
    <row r="651" spans="1:14" x14ac:dyDescent="0.25">
      <c r="A651" s="8">
        <v>3.65</v>
      </c>
      <c r="B651" s="6">
        <v>8</v>
      </c>
      <c r="C651" s="8">
        <v>20.086824050000001</v>
      </c>
      <c r="D651" s="8">
        <v>0.4</v>
      </c>
      <c r="L651">
        <v>625</v>
      </c>
      <c r="M651">
        <v>3.4242219962091256</v>
      </c>
      <c r="N651">
        <v>0.11577800379087444</v>
      </c>
    </row>
    <row r="652" spans="1:14" x14ac:dyDescent="0.25">
      <c r="A652" s="8">
        <v>2.86</v>
      </c>
      <c r="B652" s="6">
        <v>7</v>
      </c>
      <c r="C652" s="8">
        <v>21.219245879999999</v>
      </c>
      <c r="D652" s="8">
        <v>0.17499999999999999</v>
      </c>
      <c r="L652">
        <v>626</v>
      </c>
      <c r="M652">
        <v>2.7121886712704715</v>
      </c>
      <c r="N652">
        <v>0.10781132872952837</v>
      </c>
    </row>
    <row r="653" spans="1:14" x14ac:dyDescent="0.25">
      <c r="A653" s="8">
        <v>2.31</v>
      </c>
      <c r="B653" s="6">
        <v>8</v>
      </c>
      <c r="C653" s="8">
        <v>22.330394030000001</v>
      </c>
      <c r="D653" s="8">
        <v>0.32</v>
      </c>
      <c r="L653">
        <v>627</v>
      </c>
      <c r="M653">
        <v>3.7014837962731186</v>
      </c>
      <c r="N653">
        <v>0.14851620372688146</v>
      </c>
    </row>
    <row r="654" spans="1:14" x14ac:dyDescent="0.25">
      <c r="A654" s="8">
        <v>1.6</v>
      </c>
      <c r="B654" s="6">
        <v>4</v>
      </c>
      <c r="C654" s="8">
        <v>21.500303580000001</v>
      </c>
      <c r="D654" s="8">
        <v>0.133333333</v>
      </c>
      <c r="L654">
        <v>628</v>
      </c>
      <c r="M654">
        <v>3.7311708597121673</v>
      </c>
      <c r="N654">
        <v>0.36882914028783231</v>
      </c>
    </row>
    <row r="655" spans="1:14" x14ac:dyDescent="0.25">
      <c r="A655" s="8">
        <v>2.88</v>
      </c>
      <c r="B655" s="6">
        <v>5</v>
      </c>
      <c r="C655" s="8">
        <v>23.976190760000001</v>
      </c>
      <c r="D655" s="8">
        <v>0.2</v>
      </c>
      <c r="L655">
        <v>629</v>
      </c>
      <c r="M655">
        <v>3.1781580759082591</v>
      </c>
      <c r="N655">
        <v>6.1841924091741163E-2</v>
      </c>
    </row>
    <row r="656" spans="1:14" x14ac:dyDescent="0.25">
      <c r="A656" s="8">
        <v>3.12</v>
      </c>
      <c r="B656" s="6">
        <v>10</v>
      </c>
      <c r="C656" s="8">
        <v>21.525240190000002</v>
      </c>
      <c r="D656" s="8">
        <v>0.25</v>
      </c>
      <c r="L656">
        <v>630</v>
      </c>
      <c r="M656">
        <v>3.2210898899815477</v>
      </c>
      <c r="N656">
        <v>8.9101100184523219E-3</v>
      </c>
    </row>
    <row r="657" spans="1:14" x14ac:dyDescent="0.25">
      <c r="A657" s="8">
        <v>4.04</v>
      </c>
      <c r="B657" s="6">
        <v>11</v>
      </c>
      <c r="C657" s="8">
        <v>23.075083679999999</v>
      </c>
      <c r="D657" s="8">
        <v>0.27500000000000002</v>
      </c>
      <c r="L657">
        <v>631</v>
      </c>
      <c r="M657">
        <v>3.5687591010045767</v>
      </c>
      <c r="N657">
        <v>0.34124089899542343</v>
      </c>
    </row>
    <row r="658" spans="1:14" x14ac:dyDescent="0.25">
      <c r="A658" s="8">
        <v>2.0699999999999998</v>
      </c>
      <c r="B658" s="6">
        <v>6</v>
      </c>
      <c r="C658" s="8">
        <v>22.63253345</v>
      </c>
      <c r="D658" s="8">
        <v>0.24</v>
      </c>
      <c r="L658">
        <v>632</v>
      </c>
      <c r="M658">
        <v>2.7551845486565965</v>
      </c>
      <c r="N658">
        <v>-0.63518454865659635</v>
      </c>
    </row>
    <row r="659" spans="1:14" x14ac:dyDescent="0.25">
      <c r="A659" s="8">
        <v>3.31</v>
      </c>
      <c r="B659" s="6">
        <v>10</v>
      </c>
      <c r="C659" s="8">
        <v>24.291780840000001</v>
      </c>
      <c r="D659" s="8">
        <v>0.4</v>
      </c>
      <c r="L659">
        <v>633</v>
      </c>
      <c r="M659">
        <v>3.0155163078403673</v>
      </c>
      <c r="N659">
        <v>0.35448369215963282</v>
      </c>
    </row>
    <row r="660" spans="1:14" x14ac:dyDescent="0.25">
      <c r="A660" s="8">
        <v>2.76</v>
      </c>
      <c r="B660" s="6">
        <v>8</v>
      </c>
      <c r="C660" s="8">
        <v>23.507413440000001</v>
      </c>
      <c r="D660" s="8">
        <v>0.26666666700000002</v>
      </c>
      <c r="L660">
        <v>634</v>
      </c>
      <c r="M660">
        <v>3.7881118608054694</v>
      </c>
      <c r="N660">
        <v>-0.15811186080546946</v>
      </c>
    </row>
    <row r="661" spans="1:14" x14ac:dyDescent="0.25">
      <c r="A661" s="8">
        <v>3.05</v>
      </c>
      <c r="B661" s="6">
        <v>7</v>
      </c>
      <c r="C661" s="8">
        <v>21.32103682</v>
      </c>
      <c r="D661" s="8">
        <v>0.233333333</v>
      </c>
      <c r="L661">
        <v>635</v>
      </c>
      <c r="M661">
        <v>3.3418707104195473</v>
      </c>
      <c r="N661">
        <v>0.42812928958045271</v>
      </c>
    </row>
    <row r="662" spans="1:14" x14ac:dyDescent="0.25">
      <c r="A662" s="8">
        <v>1.99</v>
      </c>
      <c r="B662" s="6">
        <v>6</v>
      </c>
      <c r="C662" s="8">
        <v>23.002219889999999</v>
      </c>
      <c r="D662" s="8">
        <v>0.15</v>
      </c>
      <c r="L662">
        <v>636</v>
      </c>
      <c r="M662">
        <v>3.2335923027805009</v>
      </c>
      <c r="N662">
        <v>-0.12359230278050104</v>
      </c>
    </row>
    <row r="663" spans="1:14" x14ac:dyDescent="0.25">
      <c r="A663" s="8">
        <v>2.75</v>
      </c>
      <c r="B663" s="6">
        <v>7</v>
      </c>
      <c r="C663" s="8">
        <v>23.273194790000002</v>
      </c>
      <c r="D663" s="8">
        <v>0.28000000000000003</v>
      </c>
      <c r="L663">
        <v>637</v>
      </c>
      <c r="M663">
        <v>2.5256619400376064</v>
      </c>
      <c r="N663">
        <v>-0.5756619400376064</v>
      </c>
    </row>
    <row r="664" spans="1:14" x14ac:dyDescent="0.25">
      <c r="A664" s="8">
        <v>3.43</v>
      </c>
      <c r="B664" s="6">
        <v>8</v>
      </c>
      <c r="C664" s="8">
        <v>27.416838179999999</v>
      </c>
      <c r="D664" s="8">
        <v>0.4</v>
      </c>
      <c r="L664">
        <v>638</v>
      </c>
      <c r="M664">
        <v>2.754053345099301</v>
      </c>
      <c r="N664">
        <v>-0.26405334509930078</v>
      </c>
    </row>
    <row r="665" spans="1:14" x14ac:dyDescent="0.25">
      <c r="A665" s="8">
        <v>3.01</v>
      </c>
      <c r="B665" s="6">
        <v>10</v>
      </c>
      <c r="C665" s="8">
        <v>24.371715640000001</v>
      </c>
      <c r="D665" s="8">
        <v>0.4</v>
      </c>
      <c r="L665">
        <v>639</v>
      </c>
      <c r="M665">
        <v>2.9304636478210089</v>
      </c>
      <c r="N665">
        <v>0.52953635217899109</v>
      </c>
    </row>
    <row r="666" spans="1:14" x14ac:dyDescent="0.25">
      <c r="A666" s="8">
        <v>2.38</v>
      </c>
      <c r="B666" s="6">
        <v>3</v>
      </c>
      <c r="C666" s="8">
        <v>26.306619269999999</v>
      </c>
      <c r="D666" s="8">
        <v>0.15</v>
      </c>
      <c r="L666">
        <v>640</v>
      </c>
      <c r="M666">
        <v>2.5600635432411725</v>
      </c>
      <c r="N666">
        <v>0.45993645675882755</v>
      </c>
    </row>
    <row r="667" spans="1:14" x14ac:dyDescent="0.25">
      <c r="A667" s="8">
        <v>1.67</v>
      </c>
      <c r="B667" s="6">
        <v>4</v>
      </c>
      <c r="C667" s="8">
        <v>23.18855859</v>
      </c>
      <c r="D667" s="8">
        <v>0.16</v>
      </c>
      <c r="L667">
        <v>641</v>
      </c>
      <c r="M667">
        <v>2.5175718144280257</v>
      </c>
      <c r="N667">
        <v>4.2428185571974364E-2</v>
      </c>
    </row>
    <row r="668" spans="1:14" x14ac:dyDescent="0.25">
      <c r="A668" s="8">
        <v>3.11</v>
      </c>
      <c r="B668" s="6">
        <v>9</v>
      </c>
      <c r="C668" s="8">
        <v>24.877447230000001</v>
      </c>
      <c r="D668" s="8">
        <v>0.3</v>
      </c>
      <c r="L668">
        <v>642</v>
      </c>
      <c r="M668">
        <v>2.4934059347318369</v>
      </c>
      <c r="N668">
        <v>0.46659406526816305</v>
      </c>
    </row>
    <row r="669" spans="1:14" x14ac:dyDescent="0.25">
      <c r="A669" s="8">
        <v>2.77</v>
      </c>
      <c r="B669" s="6">
        <v>8</v>
      </c>
      <c r="C669" s="8">
        <v>21.115879629999998</v>
      </c>
      <c r="D669" s="8">
        <v>0.32</v>
      </c>
      <c r="L669">
        <v>643</v>
      </c>
      <c r="M669">
        <v>2.7299395878210886</v>
      </c>
      <c r="N669">
        <v>9.0060412178911253E-2</v>
      </c>
    </row>
    <row r="670" spans="1:14" x14ac:dyDescent="0.25">
      <c r="A670" s="8">
        <v>4.08</v>
      </c>
      <c r="B670" s="6">
        <v>10</v>
      </c>
      <c r="C670" s="8">
        <v>23.275791550000001</v>
      </c>
      <c r="D670" s="8">
        <v>0.33333333300000001</v>
      </c>
      <c r="L670">
        <v>644</v>
      </c>
      <c r="M670">
        <v>2.916899092861609</v>
      </c>
      <c r="N670">
        <v>-0.34689909286160914</v>
      </c>
    </row>
    <row r="671" spans="1:14" x14ac:dyDescent="0.25">
      <c r="A671" s="8">
        <v>3.61</v>
      </c>
      <c r="B671" s="6">
        <v>11</v>
      </c>
      <c r="C671" s="8">
        <v>21.894208129999999</v>
      </c>
      <c r="D671" s="8">
        <v>0.366666667</v>
      </c>
      <c r="L671">
        <v>645</v>
      </c>
      <c r="M671">
        <v>4.3883592540880798</v>
      </c>
      <c r="N671">
        <v>0.41164074591192001</v>
      </c>
    </row>
    <row r="672" spans="1:14" x14ac:dyDescent="0.25">
      <c r="A672" s="8">
        <v>2.83</v>
      </c>
      <c r="B672" s="6">
        <v>5</v>
      </c>
      <c r="C672" s="8">
        <v>23.302462139999999</v>
      </c>
      <c r="D672" s="8">
        <v>0.2</v>
      </c>
      <c r="L672">
        <v>646</v>
      </c>
      <c r="M672">
        <v>3.8861300894342361</v>
      </c>
      <c r="N672">
        <v>0.25386991056576358</v>
      </c>
    </row>
    <row r="673" spans="1:14" x14ac:dyDescent="0.25">
      <c r="A673" s="8">
        <v>2.6</v>
      </c>
      <c r="B673" s="6">
        <v>5</v>
      </c>
      <c r="C673" s="8">
        <v>24.177270920000002</v>
      </c>
      <c r="D673" s="8">
        <v>0.2</v>
      </c>
      <c r="L673">
        <v>647</v>
      </c>
      <c r="M673">
        <v>2.2982687891992319</v>
      </c>
      <c r="N673">
        <v>0.79173121080076792</v>
      </c>
    </row>
    <row r="674" spans="1:14" x14ac:dyDescent="0.25">
      <c r="A674" s="8">
        <v>4.17</v>
      </c>
      <c r="B674" s="6">
        <v>10</v>
      </c>
      <c r="C674" s="8">
        <v>25.75436187</v>
      </c>
      <c r="D674" s="8">
        <v>0.5</v>
      </c>
      <c r="L674">
        <v>648</v>
      </c>
      <c r="M674">
        <v>3.2755277196707482</v>
      </c>
      <c r="N674">
        <v>-5.5527719670747988E-2</v>
      </c>
    </row>
    <row r="675" spans="1:14" x14ac:dyDescent="0.25">
      <c r="A675" s="8">
        <v>3.93</v>
      </c>
      <c r="B675" s="6">
        <v>11</v>
      </c>
      <c r="C675" s="8">
        <v>23.098656330000001</v>
      </c>
      <c r="D675" s="8">
        <v>0.44</v>
      </c>
      <c r="L675">
        <v>649</v>
      </c>
      <c r="M675">
        <v>1.9650467205238387</v>
      </c>
      <c r="N675">
        <v>0.26495327947616132</v>
      </c>
    </row>
    <row r="676" spans="1:14" x14ac:dyDescent="0.25">
      <c r="A676" s="8">
        <v>3.01</v>
      </c>
      <c r="B676" s="6">
        <v>8</v>
      </c>
      <c r="C676" s="8">
        <v>22.317380310000001</v>
      </c>
      <c r="D676" s="8">
        <v>0.32</v>
      </c>
      <c r="L676">
        <v>650</v>
      </c>
      <c r="M676">
        <v>2.8958991025179479</v>
      </c>
      <c r="N676">
        <v>0.754100897482052</v>
      </c>
    </row>
    <row r="677" spans="1:14" x14ac:dyDescent="0.25">
      <c r="A677" s="8">
        <v>3.57</v>
      </c>
      <c r="B677" s="6">
        <v>11</v>
      </c>
      <c r="C677" s="8">
        <v>23.11008511</v>
      </c>
      <c r="D677" s="8">
        <v>0.44</v>
      </c>
      <c r="L677">
        <v>651</v>
      </c>
      <c r="M677">
        <v>2.7178628584168498</v>
      </c>
      <c r="N677">
        <v>0.14213714158315005</v>
      </c>
    </row>
    <row r="678" spans="1:14" x14ac:dyDescent="0.25">
      <c r="A678" s="8">
        <v>2.89</v>
      </c>
      <c r="B678" s="6">
        <v>7</v>
      </c>
      <c r="C678" s="8">
        <v>22.728947460000001</v>
      </c>
      <c r="D678" s="8">
        <v>0.233333333</v>
      </c>
      <c r="L678">
        <v>652</v>
      </c>
      <c r="M678">
        <v>3.0242539953993983</v>
      </c>
      <c r="N678">
        <v>-0.71425399539939827</v>
      </c>
    </row>
    <row r="679" spans="1:14" x14ac:dyDescent="0.25">
      <c r="A679" s="8">
        <v>2.14</v>
      </c>
      <c r="B679" s="6">
        <v>6</v>
      </c>
      <c r="C679" s="8">
        <v>22.6745926</v>
      </c>
      <c r="D679" s="8">
        <v>0.3</v>
      </c>
      <c r="L679">
        <v>653</v>
      </c>
      <c r="M679">
        <v>2.0054755252019012</v>
      </c>
      <c r="N679">
        <v>-0.40547552520190111</v>
      </c>
    </row>
    <row r="680" spans="1:14" x14ac:dyDescent="0.25">
      <c r="A680" s="8">
        <v>2.23</v>
      </c>
      <c r="B680" s="6">
        <v>4</v>
      </c>
      <c r="C680" s="8">
        <v>24.412461950000001</v>
      </c>
      <c r="D680" s="8">
        <v>0.1</v>
      </c>
      <c r="L680">
        <v>654</v>
      </c>
      <c r="M680">
        <v>2.389943536794255</v>
      </c>
      <c r="N680">
        <v>0.49005646320574492</v>
      </c>
    </row>
    <row r="681" spans="1:14" x14ac:dyDescent="0.25">
      <c r="A681" s="8">
        <v>2.89</v>
      </c>
      <c r="B681" s="6">
        <v>6</v>
      </c>
      <c r="C681" s="8">
        <v>27.67565549</v>
      </c>
      <c r="D681" s="8">
        <v>0.3</v>
      </c>
      <c r="L681">
        <v>655</v>
      </c>
      <c r="M681">
        <v>3.4638355036706914</v>
      </c>
      <c r="N681">
        <v>-0.34383550367069127</v>
      </c>
    </row>
    <row r="682" spans="1:14" x14ac:dyDescent="0.25">
      <c r="A682" s="8">
        <v>2.7</v>
      </c>
      <c r="B682" s="6">
        <v>7</v>
      </c>
      <c r="C682" s="8">
        <v>24.64470094</v>
      </c>
      <c r="D682" s="8">
        <v>0.233333333</v>
      </c>
      <c r="L682">
        <v>656</v>
      </c>
      <c r="M682">
        <v>3.7953244507840789</v>
      </c>
      <c r="N682">
        <v>0.24467554921592116</v>
      </c>
    </row>
    <row r="683" spans="1:14" x14ac:dyDescent="0.25">
      <c r="A683" s="8">
        <v>2.71</v>
      </c>
      <c r="B683" s="6">
        <v>9</v>
      </c>
      <c r="C683" s="8">
        <v>21.367690020000001</v>
      </c>
      <c r="D683" s="8">
        <v>0.22500000000000001</v>
      </c>
      <c r="L683">
        <v>657</v>
      </c>
      <c r="M683">
        <v>2.5558949751394113</v>
      </c>
      <c r="N683">
        <v>-0.48589497513941149</v>
      </c>
    </row>
    <row r="684" spans="1:14" x14ac:dyDescent="0.25">
      <c r="A684" s="8">
        <v>2.86</v>
      </c>
      <c r="B684" s="6">
        <v>7</v>
      </c>
      <c r="C684" s="8">
        <v>25.17980992</v>
      </c>
      <c r="D684" s="8">
        <v>0.17499999999999999</v>
      </c>
      <c r="L684">
        <v>658</v>
      </c>
      <c r="M684">
        <v>3.6221096078655286</v>
      </c>
      <c r="N684">
        <v>-0.31210960786552855</v>
      </c>
    </row>
    <row r="685" spans="1:14" x14ac:dyDescent="0.25">
      <c r="A685" s="8">
        <v>2.4</v>
      </c>
      <c r="B685" s="6">
        <v>5</v>
      </c>
      <c r="C685" s="8">
        <v>22.966863180000001</v>
      </c>
      <c r="D685" s="8">
        <v>0.25</v>
      </c>
      <c r="L685">
        <v>659</v>
      </c>
      <c r="M685">
        <v>3.0915914092695633</v>
      </c>
      <c r="N685">
        <v>-0.33159140926956354</v>
      </c>
    </row>
    <row r="686" spans="1:14" x14ac:dyDescent="0.25">
      <c r="A686" s="8">
        <v>3.1</v>
      </c>
      <c r="B686" s="6">
        <v>6</v>
      </c>
      <c r="C686" s="8">
        <v>25.58109645</v>
      </c>
      <c r="D686" s="8">
        <v>0.2</v>
      </c>
      <c r="L686">
        <v>660</v>
      </c>
      <c r="M686">
        <v>2.7236863296330238</v>
      </c>
      <c r="N686">
        <v>0.32631367036697601</v>
      </c>
    </row>
    <row r="687" spans="1:14" x14ac:dyDescent="0.25">
      <c r="A687" s="8">
        <v>1.1200000000000001</v>
      </c>
      <c r="B687" s="6">
        <v>2</v>
      </c>
      <c r="C687" s="8">
        <v>21.453940580000001</v>
      </c>
      <c r="D687" s="8">
        <v>0.1</v>
      </c>
      <c r="L687">
        <v>661</v>
      </c>
      <c r="M687">
        <v>2.5770447782785695</v>
      </c>
      <c r="N687">
        <v>-0.58704477827856949</v>
      </c>
    </row>
    <row r="688" spans="1:14" x14ac:dyDescent="0.25">
      <c r="A688" s="8">
        <v>1.88</v>
      </c>
      <c r="B688" s="6">
        <v>4</v>
      </c>
      <c r="C688" s="8">
        <v>23.632136280000001</v>
      </c>
      <c r="D688" s="8">
        <v>0.133333333</v>
      </c>
      <c r="L688">
        <v>662</v>
      </c>
      <c r="M688">
        <v>2.8353695083886157</v>
      </c>
      <c r="N688">
        <v>-8.5369508388615678E-2</v>
      </c>
    </row>
    <row r="689" spans="1:14" x14ac:dyDescent="0.25">
      <c r="A689" s="8">
        <v>1.63</v>
      </c>
      <c r="B689" s="6">
        <v>4</v>
      </c>
      <c r="C689" s="8">
        <v>22.682924620000001</v>
      </c>
      <c r="D689" s="8">
        <v>0.16</v>
      </c>
      <c r="L689">
        <v>663</v>
      </c>
      <c r="M689">
        <v>3.3152500418078681</v>
      </c>
      <c r="N689">
        <v>0.11474995819213207</v>
      </c>
    </row>
    <row r="690" spans="1:14" x14ac:dyDescent="0.25">
      <c r="A690" s="8">
        <v>3.09</v>
      </c>
      <c r="B690" s="6">
        <v>10</v>
      </c>
      <c r="C690" s="8">
        <v>24.422384910000002</v>
      </c>
      <c r="D690" s="8">
        <v>0.33333333300000001</v>
      </c>
      <c r="L690">
        <v>664</v>
      </c>
      <c r="M690">
        <v>3.6266826868347435</v>
      </c>
      <c r="N690">
        <v>-0.6166826868347437</v>
      </c>
    </row>
    <row r="691" spans="1:14" x14ac:dyDescent="0.25">
      <c r="A691" s="8">
        <v>2.59</v>
      </c>
      <c r="B691" s="6">
        <v>5</v>
      </c>
      <c r="C691" s="8">
        <v>27.476706320000002</v>
      </c>
      <c r="D691" s="8">
        <v>0.16666666699999999</v>
      </c>
      <c r="L691">
        <v>665</v>
      </c>
      <c r="M691">
        <v>2.0376231652950985</v>
      </c>
      <c r="N691">
        <v>0.34237683470490143</v>
      </c>
    </row>
    <row r="692" spans="1:14" x14ac:dyDescent="0.25">
      <c r="A692" s="8">
        <v>4.2</v>
      </c>
      <c r="B692" s="6">
        <v>11</v>
      </c>
      <c r="C692" s="8">
        <v>24.962767979999999</v>
      </c>
      <c r="D692" s="8">
        <v>0.44</v>
      </c>
      <c r="L692">
        <v>666</v>
      </c>
      <c r="M692">
        <v>2.1020607857004934</v>
      </c>
      <c r="N692">
        <v>-0.43206078570049344</v>
      </c>
    </row>
    <row r="693" spans="1:14" x14ac:dyDescent="0.25">
      <c r="A693" s="8">
        <v>1.99</v>
      </c>
      <c r="B693" s="6">
        <v>6</v>
      </c>
      <c r="C693" s="8">
        <v>21.895477499999998</v>
      </c>
      <c r="D693" s="8">
        <v>0.3</v>
      </c>
      <c r="L693">
        <v>667</v>
      </c>
      <c r="M693">
        <v>3.4127934230631602</v>
      </c>
      <c r="N693">
        <v>-0.30279342306316037</v>
      </c>
    </row>
    <row r="694" spans="1:14" x14ac:dyDescent="0.25">
      <c r="A694" s="8">
        <v>2.95</v>
      </c>
      <c r="B694" s="6">
        <v>3</v>
      </c>
      <c r="C694" s="8">
        <v>27.583822529999999</v>
      </c>
      <c r="D694" s="8">
        <v>0.1</v>
      </c>
      <c r="L694">
        <v>668</v>
      </c>
      <c r="M694">
        <v>2.9547714889009922</v>
      </c>
      <c r="N694">
        <v>-0.18477148890099215</v>
      </c>
    </row>
    <row r="695" spans="1:14" x14ac:dyDescent="0.25">
      <c r="A695" s="8">
        <v>2.5299999999999998</v>
      </c>
      <c r="B695" s="6">
        <v>5</v>
      </c>
      <c r="C695" s="8">
        <v>24.967704690000001</v>
      </c>
      <c r="D695" s="8">
        <v>0.25</v>
      </c>
      <c r="L695">
        <v>669</v>
      </c>
      <c r="M695">
        <v>3.563984745414547</v>
      </c>
      <c r="N695">
        <v>0.51601525458545305</v>
      </c>
    </row>
    <row r="696" spans="1:14" x14ac:dyDescent="0.25">
      <c r="A696" s="8">
        <v>2.88</v>
      </c>
      <c r="B696" s="6">
        <v>6</v>
      </c>
      <c r="C696" s="8">
        <v>25.843165710000001</v>
      </c>
      <c r="D696" s="8">
        <v>0.24</v>
      </c>
      <c r="L696">
        <v>670</v>
      </c>
      <c r="M696">
        <v>3.7277664267073911</v>
      </c>
      <c r="N696">
        <v>-0.11776642670739124</v>
      </c>
    </row>
    <row r="697" spans="1:14" x14ac:dyDescent="0.25">
      <c r="A697" s="8">
        <v>3.95</v>
      </c>
      <c r="B697" s="6">
        <v>11</v>
      </c>
      <c r="C697" s="8">
        <v>22.087005399999999</v>
      </c>
      <c r="D697" s="8">
        <v>0.27500000000000002</v>
      </c>
      <c r="L697">
        <v>671</v>
      </c>
      <c r="M697">
        <v>2.3513994460718131</v>
      </c>
      <c r="N697">
        <v>0.47860055392818701</v>
      </c>
    </row>
    <row r="698" spans="1:14" x14ac:dyDescent="0.25">
      <c r="A698" s="8">
        <v>2.1</v>
      </c>
      <c r="B698" s="6">
        <v>5</v>
      </c>
      <c r="C698" s="8">
        <v>24.583308410000001</v>
      </c>
      <c r="D698" s="8">
        <v>0.16666666699999999</v>
      </c>
      <c r="L698">
        <v>672</v>
      </c>
      <c r="M698">
        <v>2.4014473555418143</v>
      </c>
      <c r="N698">
        <v>0.19855264445818577</v>
      </c>
    </row>
    <row r="699" spans="1:14" x14ac:dyDescent="0.25">
      <c r="A699" s="8">
        <v>2.48</v>
      </c>
      <c r="B699" s="6">
        <v>6</v>
      </c>
      <c r="C699" s="8">
        <v>21.790186469999998</v>
      </c>
      <c r="D699" s="8">
        <v>0.2</v>
      </c>
      <c r="L699">
        <v>673</v>
      </c>
      <c r="M699">
        <v>3.7057840343864656</v>
      </c>
      <c r="N699">
        <v>0.46421596561353429</v>
      </c>
    </row>
    <row r="700" spans="1:14" x14ac:dyDescent="0.25">
      <c r="A700" s="8">
        <v>3.21</v>
      </c>
      <c r="B700" s="6">
        <v>9</v>
      </c>
      <c r="C700" s="8">
        <v>25.77952827</v>
      </c>
      <c r="D700" s="8">
        <v>0.36</v>
      </c>
      <c r="L700">
        <v>674</v>
      </c>
      <c r="M700">
        <v>3.7966730447627173</v>
      </c>
      <c r="N700">
        <v>0.13332695523728288</v>
      </c>
    </row>
    <row r="701" spans="1:14" x14ac:dyDescent="0.25">
      <c r="A701" s="8">
        <v>3.12</v>
      </c>
      <c r="B701" s="6">
        <v>9</v>
      </c>
      <c r="C701" s="8">
        <v>21.79922861</v>
      </c>
      <c r="D701" s="8">
        <v>0.3</v>
      </c>
      <c r="L701">
        <v>675</v>
      </c>
      <c r="M701">
        <v>3.0235094790029948</v>
      </c>
      <c r="N701">
        <v>-1.350947900299504E-2</v>
      </c>
    </row>
    <row r="702" spans="1:14" x14ac:dyDescent="0.25">
      <c r="A702" s="8">
        <v>3.44</v>
      </c>
      <c r="B702" s="6">
        <v>8</v>
      </c>
      <c r="C702" s="8">
        <v>27.78383986</v>
      </c>
      <c r="D702" s="8">
        <v>0.32</v>
      </c>
      <c r="L702">
        <v>676</v>
      </c>
      <c r="M702">
        <v>3.7973268865620557</v>
      </c>
      <c r="N702">
        <v>-0.22732688656205591</v>
      </c>
    </row>
    <row r="703" spans="1:14" x14ac:dyDescent="0.25">
      <c r="A703" s="8">
        <v>1.67</v>
      </c>
      <c r="B703" s="6">
        <v>2</v>
      </c>
      <c r="C703" s="8">
        <v>24.82043157</v>
      </c>
      <c r="D703" s="8">
        <v>0.1</v>
      </c>
      <c r="L703">
        <v>677</v>
      </c>
      <c r="M703">
        <v>2.8042330569447591</v>
      </c>
      <c r="N703">
        <v>8.5766943055241018E-2</v>
      </c>
    </row>
    <row r="704" spans="1:14" x14ac:dyDescent="0.25">
      <c r="A704" s="8">
        <v>3.92</v>
      </c>
      <c r="B704" s="6">
        <v>11</v>
      </c>
      <c r="C704" s="8">
        <v>20.919602579999999</v>
      </c>
      <c r="D704" s="8">
        <v>0.27500000000000002</v>
      </c>
      <c r="L704">
        <v>678</v>
      </c>
      <c r="M704">
        <v>2.5583011838786343</v>
      </c>
      <c r="N704">
        <v>-0.41830118387863413</v>
      </c>
    </row>
    <row r="705" spans="1:14" x14ac:dyDescent="0.25">
      <c r="A705" s="8">
        <v>3.21</v>
      </c>
      <c r="B705" s="6">
        <v>10</v>
      </c>
      <c r="C705" s="8">
        <v>21.258891290000001</v>
      </c>
      <c r="D705" s="8">
        <v>0.5</v>
      </c>
      <c r="L705">
        <v>679</v>
      </c>
      <c r="M705">
        <v>2.1720804356648094</v>
      </c>
      <c r="N705">
        <v>5.7919564335190632E-2</v>
      </c>
    </row>
    <row r="706" spans="1:14" x14ac:dyDescent="0.25">
      <c r="A706" s="8">
        <v>3.13</v>
      </c>
      <c r="B706" s="6">
        <v>9</v>
      </c>
      <c r="C706" s="8">
        <v>24.72236908</v>
      </c>
      <c r="D706" s="8">
        <v>0.3</v>
      </c>
      <c r="L706">
        <v>680</v>
      </c>
      <c r="M706">
        <v>2.8444125587238918</v>
      </c>
      <c r="N706">
        <v>4.5587441276108365E-2</v>
      </c>
    </row>
    <row r="707" spans="1:14" x14ac:dyDescent="0.25">
      <c r="A707" s="8">
        <v>3.21</v>
      </c>
      <c r="B707" s="6">
        <v>8</v>
      </c>
      <c r="C707" s="8">
        <v>24.914609649999999</v>
      </c>
      <c r="D707" s="8">
        <v>0.4</v>
      </c>
      <c r="L707">
        <v>681</v>
      </c>
      <c r="M707">
        <v>2.9138335307007259</v>
      </c>
      <c r="N707">
        <v>-0.21383353070072575</v>
      </c>
    </row>
    <row r="708" spans="1:14" x14ac:dyDescent="0.25">
      <c r="A708" s="8">
        <v>3.48</v>
      </c>
      <c r="B708" s="6">
        <v>11</v>
      </c>
      <c r="C708" s="8">
        <v>22.113473070000001</v>
      </c>
      <c r="D708" s="8">
        <v>0.55000000000000004</v>
      </c>
      <c r="L708">
        <v>682</v>
      </c>
      <c r="M708">
        <v>3.211999815221497</v>
      </c>
      <c r="N708">
        <v>-0.50199981522149706</v>
      </c>
    </row>
    <row r="709" spans="1:14" x14ac:dyDescent="0.25">
      <c r="A709" s="8">
        <v>3.36</v>
      </c>
      <c r="B709" s="6">
        <v>8</v>
      </c>
      <c r="C709" s="8">
        <v>22.13591237</v>
      </c>
      <c r="D709" s="8">
        <v>0.26666666700000002</v>
      </c>
      <c r="L709">
        <v>683</v>
      </c>
      <c r="M709">
        <v>2.9444471761051818</v>
      </c>
      <c r="N709">
        <v>-8.4447176105181931E-2</v>
      </c>
    </row>
    <row r="710" spans="1:14" x14ac:dyDescent="0.25">
      <c r="A710" s="8">
        <v>1.86</v>
      </c>
      <c r="B710" s="6">
        <v>4</v>
      </c>
      <c r="C710" s="8">
        <v>22.712680939999998</v>
      </c>
      <c r="D710" s="8">
        <v>0.133333333</v>
      </c>
      <c r="L710">
        <v>684</v>
      </c>
      <c r="M710">
        <v>2.332199791527529</v>
      </c>
      <c r="N710">
        <v>6.7800208472470924E-2</v>
      </c>
    </row>
    <row r="711" spans="1:14" x14ac:dyDescent="0.25">
      <c r="A711" s="8">
        <v>3.95</v>
      </c>
      <c r="B711" s="6">
        <v>11</v>
      </c>
      <c r="C711" s="8">
        <v>18.845760290000001</v>
      </c>
      <c r="D711" s="8">
        <v>0.55000000000000004</v>
      </c>
      <c r="L711">
        <v>685</v>
      </c>
      <c r="M711">
        <v>2.7245825986113603</v>
      </c>
      <c r="N711">
        <v>0.37541740138863977</v>
      </c>
    </row>
    <row r="712" spans="1:14" x14ac:dyDescent="0.25">
      <c r="A712" s="8">
        <v>3.52</v>
      </c>
      <c r="B712" s="6">
        <v>11</v>
      </c>
      <c r="C712" s="8">
        <v>21.35824216</v>
      </c>
      <c r="D712" s="8">
        <v>0.366666667</v>
      </c>
      <c r="L712">
        <v>686</v>
      </c>
      <c r="M712">
        <v>1.5171786419883249</v>
      </c>
      <c r="N712">
        <v>-0.39717864198832475</v>
      </c>
    </row>
    <row r="713" spans="1:14" x14ac:dyDescent="0.25">
      <c r="A713" s="8">
        <v>2.98</v>
      </c>
      <c r="B713" s="6">
        <v>7</v>
      </c>
      <c r="C713" s="8">
        <v>22.656652690000001</v>
      </c>
      <c r="D713" s="8">
        <v>0.35</v>
      </c>
      <c r="L713">
        <v>687</v>
      </c>
      <c r="M713">
        <v>2.1274379156282843</v>
      </c>
      <c r="N713">
        <v>-0.24743791562828443</v>
      </c>
    </row>
    <row r="714" spans="1:14" x14ac:dyDescent="0.25">
      <c r="A714" s="8">
        <v>4.21</v>
      </c>
      <c r="B714" s="6">
        <v>11</v>
      </c>
      <c r="C714" s="8">
        <v>23.878905379999999</v>
      </c>
      <c r="D714" s="8">
        <v>0.44</v>
      </c>
      <c r="L714">
        <v>688</v>
      </c>
      <c r="M714">
        <v>2.0731334089593529</v>
      </c>
      <c r="N714">
        <v>-0.44313340895935305</v>
      </c>
    </row>
    <row r="715" spans="1:14" x14ac:dyDescent="0.25">
      <c r="A715" s="8">
        <v>3.35</v>
      </c>
      <c r="B715" s="6">
        <v>11</v>
      </c>
      <c r="C715" s="8">
        <v>23.233660350000001</v>
      </c>
      <c r="D715" s="8">
        <v>0.366666667</v>
      </c>
      <c r="L715">
        <v>689</v>
      </c>
      <c r="M715">
        <v>3.6295814815151886</v>
      </c>
      <c r="N715">
        <v>-0.5395814815151887</v>
      </c>
    </row>
    <row r="716" spans="1:14" x14ac:dyDescent="0.25">
      <c r="A716" s="8">
        <v>2.2400000000000002</v>
      </c>
      <c r="B716" s="6">
        <v>5</v>
      </c>
      <c r="C716" s="8">
        <v>22.268645830000001</v>
      </c>
      <c r="D716" s="8">
        <v>0.16666666699999999</v>
      </c>
      <c r="L716">
        <v>690</v>
      </c>
      <c r="M716">
        <v>2.590208428791807</v>
      </c>
      <c r="N716">
        <v>-2.0842879180715812E-4</v>
      </c>
    </row>
    <row r="717" spans="1:14" x14ac:dyDescent="0.25">
      <c r="A717" s="8">
        <v>4.1500000000000004</v>
      </c>
      <c r="B717" s="6">
        <v>10</v>
      </c>
      <c r="C717" s="8">
        <v>24.9320816</v>
      </c>
      <c r="D717" s="8">
        <v>0.4</v>
      </c>
      <c r="L717">
        <v>691</v>
      </c>
      <c r="M717">
        <v>3.9033190835703917</v>
      </c>
      <c r="N717">
        <v>0.29668091642960848</v>
      </c>
    </row>
    <row r="718" spans="1:14" x14ac:dyDescent="0.25">
      <c r="A718" s="8">
        <v>2.88</v>
      </c>
      <c r="B718" s="6">
        <v>6</v>
      </c>
      <c r="C718" s="8">
        <v>25.605180789999999</v>
      </c>
      <c r="D718" s="8">
        <v>0.15</v>
      </c>
      <c r="L718">
        <v>692</v>
      </c>
      <c r="M718">
        <v>2.5137279206890364</v>
      </c>
      <c r="N718">
        <v>-0.5237279206890364</v>
      </c>
    </row>
    <row r="719" spans="1:14" x14ac:dyDescent="0.25">
      <c r="A719" s="8">
        <v>2.2999999999999998</v>
      </c>
      <c r="B719" s="6">
        <v>9</v>
      </c>
      <c r="C719" s="8">
        <v>21.742659509999999</v>
      </c>
      <c r="D719" s="8">
        <v>0.3</v>
      </c>
      <c r="L719">
        <v>693</v>
      </c>
      <c r="M719">
        <v>2.1106921085803618</v>
      </c>
      <c r="N719">
        <v>0.83930789141963835</v>
      </c>
    </row>
    <row r="720" spans="1:14" x14ac:dyDescent="0.25">
      <c r="A720" s="8">
        <v>2.93</v>
      </c>
      <c r="B720" s="6">
        <v>7</v>
      </c>
      <c r="C720" s="8">
        <v>19.200659439999999</v>
      </c>
      <c r="D720" s="8">
        <v>0.17499999999999999</v>
      </c>
      <c r="L720">
        <v>694</v>
      </c>
      <c r="M720">
        <v>2.446668161125169</v>
      </c>
      <c r="N720">
        <v>8.3331838874830755E-2</v>
      </c>
    </row>
    <row r="721" spans="1:14" x14ac:dyDescent="0.25">
      <c r="A721" s="8">
        <v>1.99</v>
      </c>
      <c r="B721" s="6">
        <v>5</v>
      </c>
      <c r="C721" s="8">
        <v>21.467909599999999</v>
      </c>
      <c r="D721" s="8">
        <v>0.25</v>
      </c>
      <c r="L721">
        <v>695</v>
      </c>
      <c r="M721">
        <v>2.7395756106834956</v>
      </c>
      <c r="N721">
        <v>0.14042438931650425</v>
      </c>
    </row>
    <row r="722" spans="1:14" x14ac:dyDescent="0.25">
      <c r="A722" s="8">
        <v>3.55</v>
      </c>
      <c r="B722" s="6">
        <v>9</v>
      </c>
      <c r="C722" s="8">
        <v>20.636036010000002</v>
      </c>
      <c r="D722" s="8">
        <v>0.36</v>
      </c>
      <c r="L722">
        <v>696</v>
      </c>
      <c r="M722">
        <v>3.7387963803791218</v>
      </c>
      <c r="N722">
        <v>0.21120361962087841</v>
      </c>
    </row>
    <row r="723" spans="1:14" x14ac:dyDescent="0.25">
      <c r="A723" s="8">
        <v>2.5099999999999998</v>
      </c>
      <c r="B723" s="6">
        <v>7</v>
      </c>
      <c r="C723" s="8">
        <v>21.300558160000001</v>
      </c>
      <c r="D723" s="8">
        <v>0.233333333</v>
      </c>
      <c r="L723">
        <v>697</v>
      </c>
      <c r="M723">
        <v>2.4246768063721391</v>
      </c>
      <c r="N723">
        <v>-0.32467680637213903</v>
      </c>
    </row>
    <row r="724" spans="1:14" x14ac:dyDescent="0.25">
      <c r="A724" s="8">
        <v>2.63</v>
      </c>
      <c r="B724" s="6">
        <v>5</v>
      </c>
      <c r="C724" s="8">
        <v>19.340636369999999</v>
      </c>
      <c r="D724" s="8">
        <v>0.16666666699999999</v>
      </c>
      <c r="L724">
        <v>698</v>
      </c>
      <c r="M724">
        <v>2.5077042089272008</v>
      </c>
      <c r="N724">
        <v>-2.7704208927200824E-2</v>
      </c>
    </row>
    <row r="725" spans="1:14" x14ac:dyDescent="0.25">
      <c r="A725" s="8">
        <v>2.72</v>
      </c>
      <c r="B725" s="6">
        <v>8</v>
      </c>
      <c r="C725" s="8">
        <v>23.47552233</v>
      </c>
      <c r="D725" s="8">
        <v>0.4</v>
      </c>
      <c r="L725">
        <v>699</v>
      </c>
      <c r="M725">
        <v>3.4644015816192786</v>
      </c>
      <c r="N725">
        <v>-0.25440158161927862</v>
      </c>
    </row>
    <row r="726" spans="1:14" x14ac:dyDescent="0.25">
      <c r="A726" s="8">
        <v>4.0999999999999996</v>
      </c>
      <c r="B726" s="6">
        <v>10</v>
      </c>
      <c r="C726" s="8">
        <v>24.994531139999999</v>
      </c>
      <c r="D726" s="8">
        <v>0.33333333300000001</v>
      </c>
      <c r="L726">
        <v>700</v>
      </c>
      <c r="M726">
        <v>3.2366881868735646</v>
      </c>
      <c r="N726">
        <v>-0.11668818687356453</v>
      </c>
    </row>
    <row r="727" spans="1:14" x14ac:dyDescent="0.25">
      <c r="A727" s="8">
        <v>2.44</v>
      </c>
      <c r="B727" s="6">
        <v>5</v>
      </c>
      <c r="C727" s="8">
        <v>25.13075254</v>
      </c>
      <c r="D727" s="8">
        <v>0.125</v>
      </c>
      <c r="L727">
        <v>701</v>
      </c>
      <c r="M727">
        <v>3.3362462495230885</v>
      </c>
      <c r="N727">
        <v>0.10375375047691149</v>
      </c>
    </row>
    <row r="728" spans="1:14" x14ac:dyDescent="0.25">
      <c r="A728" s="8">
        <v>3.19</v>
      </c>
      <c r="B728" s="6">
        <v>7</v>
      </c>
      <c r="C728" s="8">
        <v>20.553559539999998</v>
      </c>
      <c r="D728" s="8">
        <v>0.35</v>
      </c>
      <c r="L728">
        <v>702</v>
      </c>
      <c r="M728">
        <v>1.7097759731434767</v>
      </c>
      <c r="N728">
        <v>-3.9775973143476806E-2</v>
      </c>
    </row>
    <row r="729" spans="1:14" x14ac:dyDescent="0.25">
      <c r="A729" s="8">
        <v>3.31</v>
      </c>
      <c r="B729" s="6">
        <v>7</v>
      </c>
      <c r="C729" s="8">
        <v>17.593303909999999</v>
      </c>
      <c r="D729" s="8">
        <v>0.17499999999999999</v>
      </c>
      <c r="L729">
        <v>703</v>
      </c>
      <c r="M729">
        <v>3.6720091327129705</v>
      </c>
      <c r="N729">
        <v>0.24799086728702946</v>
      </c>
    </row>
    <row r="730" spans="1:14" x14ac:dyDescent="0.25">
      <c r="A730" s="8">
        <v>3.1</v>
      </c>
      <c r="B730" s="6">
        <v>8</v>
      </c>
      <c r="C730" s="8">
        <v>24.00234253</v>
      </c>
      <c r="D730" s="8">
        <v>0.32</v>
      </c>
      <c r="L730">
        <v>704</v>
      </c>
      <c r="M730">
        <v>3.4485976529090263</v>
      </c>
      <c r="N730">
        <v>-0.23859765290902635</v>
      </c>
    </row>
    <row r="731" spans="1:14" x14ac:dyDescent="0.25">
      <c r="A731" s="8">
        <v>3.01</v>
      </c>
      <c r="B731" s="6">
        <v>7</v>
      </c>
      <c r="C731" s="8">
        <v>23.967557670000001</v>
      </c>
      <c r="D731" s="8">
        <v>0.35</v>
      </c>
      <c r="L731">
        <v>705</v>
      </c>
      <c r="M731">
        <v>3.403921384522377</v>
      </c>
      <c r="N731">
        <v>-0.27392138452237713</v>
      </c>
    </row>
    <row r="732" spans="1:14" x14ac:dyDescent="0.25">
      <c r="A732" s="8">
        <v>1.5</v>
      </c>
      <c r="B732" s="6">
        <v>4</v>
      </c>
      <c r="C732" s="8">
        <v>21.966771600000001</v>
      </c>
      <c r="D732" s="8">
        <v>0.2</v>
      </c>
      <c r="L732">
        <v>706</v>
      </c>
      <c r="M732">
        <v>3.172097263960012</v>
      </c>
      <c r="N732">
        <v>3.790273603998795E-2</v>
      </c>
    </row>
    <row r="733" spans="1:14" x14ac:dyDescent="0.25">
      <c r="A733" s="8">
        <v>2.5499999999999998</v>
      </c>
      <c r="B733" s="6">
        <v>6</v>
      </c>
      <c r="C733" s="8">
        <v>24.47881898</v>
      </c>
      <c r="D733" s="8">
        <v>0.15</v>
      </c>
      <c r="L733">
        <v>707</v>
      </c>
      <c r="M733">
        <v>3.7403105987801331</v>
      </c>
      <c r="N733">
        <v>-0.26031059878013307</v>
      </c>
    </row>
    <row r="734" spans="1:14" x14ac:dyDescent="0.25">
      <c r="A734" s="8">
        <v>2.69</v>
      </c>
      <c r="B734" s="6">
        <v>7</v>
      </c>
      <c r="C734" s="8">
        <v>22.720402159999999</v>
      </c>
      <c r="D734" s="8">
        <v>0.17499999999999999</v>
      </c>
      <c r="L734">
        <v>708</v>
      </c>
      <c r="M734">
        <v>3.013127677584829</v>
      </c>
      <c r="N734">
        <v>0.34687232241517085</v>
      </c>
    </row>
    <row r="735" spans="1:14" x14ac:dyDescent="0.25">
      <c r="A735" s="8">
        <v>4.84</v>
      </c>
      <c r="B735" s="6">
        <v>15</v>
      </c>
      <c r="C735" s="8">
        <v>24.00652045</v>
      </c>
      <c r="D735" s="8">
        <v>0.375</v>
      </c>
      <c r="L735">
        <v>709</v>
      </c>
      <c r="M735">
        <v>2.0748357713996572</v>
      </c>
      <c r="N735">
        <v>-0.21483577139965715</v>
      </c>
    </row>
    <row r="736" spans="1:14" x14ac:dyDescent="0.25">
      <c r="A736" s="8">
        <v>2.84</v>
      </c>
      <c r="B736" s="6">
        <v>6</v>
      </c>
      <c r="C736" s="8">
        <v>23.317512099999998</v>
      </c>
      <c r="D736" s="8">
        <v>0.24</v>
      </c>
      <c r="L736">
        <v>710</v>
      </c>
      <c r="M736">
        <v>3.5533643802163395</v>
      </c>
      <c r="N736">
        <v>0.39663561978366069</v>
      </c>
    </row>
    <row r="737" spans="1:14" x14ac:dyDescent="0.25">
      <c r="A737" s="8">
        <v>2.19</v>
      </c>
      <c r="B737" s="6">
        <v>5</v>
      </c>
      <c r="C737" s="8">
        <v>22.424187849999999</v>
      </c>
      <c r="D737" s="8">
        <v>0.16666666699999999</v>
      </c>
      <c r="L737">
        <v>711</v>
      </c>
      <c r="M737">
        <v>3.6971037528078892</v>
      </c>
      <c r="N737">
        <v>-0.17710375280788915</v>
      </c>
    </row>
    <row r="738" spans="1:14" x14ac:dyDescent="0.25">
      <c r="A738" s="8">
        <v>2.89</v>
      </c>
      <c r="B738" s="6">
        <v>8</v>
      </c>
      <c r="C738" s="8">
        <v>18.93150228</v>
      </c>
      <c r="D738" s="8">
        <v>0.26666666700000002</v>
      </c>
      <c r="L738">
        <v>712</v>
      </c>
      <c r="M738">
        <v>2.8000970649578991</v>
      </c>
      <c r="N738">
        <v>0.17990293504210086</v>
      </c>
    </row>
    <row r="739" spans="1:14" x14ac:dyDescent="0.25">
      <c r="A739" s="8">
        <v>3.35</v>
      </c>
      <c r="B739" s="6">
        <v>8</v>
      </c>
      <c r="C739" s="8">
        <v>24.825240650000001</v>
      </c>
      <c r="D739" s="8">
        <v>0.32</v>
      </c>
      <c r="L739">
        <v>713</v>
      </c>
      <c r="M739">
        <v>3.8413111813603567</v>
      </c>
      <c r="N739">
        <v>0.36868881863964331</v>
      </c>
    </row>
    <row r="740" spans="1:14" x14ac:dyDescent="0.25">
      <c r="A740" s="8">
        <v>3.19</v>
      </c>
      <c r="B740" s="6">
        <v>7</v>
      </c>
      <c r="C740" s="8">
        <v>24.363486819999999</v>
      </c>
      <c r="D740" s="8">
        <v>0.233333333</v>
      </c>
      <c r="L740">
        <v>714</v>
      </c>
      <c r="M740">
        <v>3.8043966400506455</v>
      </c>
      <c r="N740">
        <v>-0.4543966400506454</v>
      </c>
    </row>
    <row r="741" spans="1:14" x14ac:dyDescent="0.25">
      <c r="A741" s="8">
        <v>2.98</v>
      </c>
      <c r="B741" s="6">
        <v>10</v>
      </c>
      <c r="C741" s="8">
        <v>23.122057170000001</v>
      </c>
      <c r="D741" s="8">
        <v>0.25</v>
      </c>
      <c r="L741">
        <v>715</v>
      </c>
      <c r="M741">
        <v>2.292254697785804</v>
      </c>
      <c r="N741">
        <v>-5.2254697785803828E-2</v>
      </c>
    </row>
    <row r="742" spans="1:14" x14ac:dyDescent="0.25">
      <c r="A742" s="8">
        <v>3</v>
      </c>
      <c r="B742" s="6">
        <v>6</v>
      </c>
      <c r="C742" s="8">
        <v>23.74706737</v>
      </c>
      <c r="D742" s="8">
        <v>0.15</v>
      </c>
      <c r="L742">
        <v>716</v>
      </c>
      <c r="M742">
        <v>3.6587412869280689</v>
      </c>
      <c r="N742">
        <v>0.49125871307193147</v>
      </c>
    </row>
    <row r="743" spans="1:14" x14ac:dyDescent="0.25">
      <c r="A743" s="8">
        <v>1.85</v>
      </c>
      <c r="B743" s="6">
        <v>5</v>
      </c>
      <c r="C743" s="8">
        <v>22.213235399999999</v>
      </c>
      <c r="D743" s="8">
        <v>0.125</v>
      </c>
      <c r="L743">
        <v>717</v>
      </c>
      <c r="M743">
        <v>2.7259604664329022</v>
      </c>
      <c r="N743">
        <v>0.15403953356709765</v>
      </c>
    </row>
    <row r="744" spans="1:14" x14ac:dyDescent="0.25">
      <c r="A744" s="8">
        <v>1.88</v>
      </c>
      <c r="B744" s="6">
        <v>6</v>
      </c>
      <c r="C744" s="8">
        <v>22.371170429999999</v>
      </c>
      <c r="D744" s="8">
        <v>0.2</v>
      </c>
      <c r="L744">
        <v>718</v>
      </c>
      <c r="M744">
        <v>3.2334518622500283</v>
      </c>
      <c r="N744">
        <v>-0.93345186225002852</v>
      </c>
    </row>
    <row r="745" spans="1:14" x14ac:dyDescent="0.25">
      <c r="A745" s="8">
        <v>2.48</v>
      </c>
      <c r="B745" s="6">
        <v>4</v>
      </c>
      <c r="C745" s="8">
        <v>21.043384100000001</v>
      </c>
      <c r="D745" s="8">
        <v>0.2</v>
      </c>
      <c r="L745">
        <v>719</v>
      </c>
      <c r="M745">
        <v>2.6023792993623882</v>
      </c>
      <c r="N745">
        <v>0.32762070063761195</v>
      </c>
    </row>
    <row r="746" spans="1:14" x14ac:dyDescent="0.25">
      <c r="A746" s="8">
        <v>3.12</v>
      </c>
      <c r="B746" s="6">
        <v>8</v>
      </c>
      <c r="C746" s="8">
        <v>24.303422149999999</v>
      </c>
      <c r="D746" s="8">
        <v>0.32</v>
      </c>
      <c r="L746">
        <v>720</v>
      </c>
      <c r="M746">
        <v>2.2464444872979872</v>
      </c>
      <c r="N746">
        <v>-0.25644448729798719</v>
      </c>
    </row>
    <row r="747" spans="1:14" x14ac:dyDescent="0.25">
      <c r="A747" s="8">
        <v>4.0199999999999996</v>
      </c>
      <c r="B747" s="6">
        <v>11</v>
      </c>
      <c r="C747" s="8">
        <v>19.252059849999998</v>
      </c>
      <c r="D747" s="8">
        <v>0.27500000000000002</v>
      </c>
      <c r="L747">
        <v>721</v>
      </c>
      <c r="M747">
        <v>3.1701418063708733</v>
      </c>
      <c r="N747">
        <v>0.37985819362912654</v>
      </c>
    </row>
    <row r="748" spans="1:14" x14ac:dyDescent="0.25">
      <c r="A748" s="8">
        <v>2.2799999999999998</v>
      </c>
      <c r="B748" s="6">
        <v>4</v>
      </c>
      <c r="C748" s="8">
        <v>23.771499940000002</v>
      </c>
      <c r="D748" s="8">
        <v>0.1</v>
      </c>
      <c r="L748">
        <v>722</v>
      </c>
      <c r="M748">
        <v>2.7225147431730132</v>
      </c>
      <c r="N748">
        <v>-0.21251474317301344</v>
      </c>
    </row>
    <row r="749" spans="1:14" x14ac:dyDescent="0.25">
      <c r="A749" s="8">
        <v>1.97</v>
      </c>
      <c r="B749" s="6">
        <v>4</v>
      </c>
      <c r="C749" s="8">
        <v>23.287529289999998</v>
      </c>
      <c r="D749" s="8">
        <v>0.133333333</v>
      </c>
      <c r="L749">
        <v>723</v>
      </c>
      <c r="M749">
        <v>2.1247429446671546</v>
      </c>
      <c r="N749">
        <v>0.50525705533284526</v>
      </c>
    </row>
    <row r="750" spans="1:14" x14ac:dyDescent="0.25">
      <c r="A750" s="8">
        <v>3.15</v>
      </c>
      <c r="B750" s="6">
        <v>8</v>
      </c>
      <c r="C750" s="8">
        <v>24.430348779999999</v>
      </c>
      <c r="D750" s="8">
        <v>0.2</v>
      </c>
      <c r="L750">
        <v>724</v>
      </c>
      <c r="M750">
        <v>3.0897669152513645</v>
      </c>
      <c r="N750">
        <v>-0.36976691525136429</v>
      </c>
    </row>
    <row r="751" spans="1:14" x14ac:dyDescent="0.25">
      <c r="A751" s="8">
        <v>3.24</v>
      </c>
      <c r="B751" s="6">
        <v>8</v>
      </c>
      <c r="C751" s="8">
        <v>24.549161000000002</v>
      </c>
      <c r="D751" s="8">
        <v>0.4</v>
      </c>
      <c r="L751">
        <v>725</v>
      </c>
      <c r="M751">
        <v>3.6623140321905971</v>
      </c>
      <c r="N751">
        <v>0.4376859678094025</v>
      </c>
    </row>
    <row r="752" spans="1:14" x14ac:dyDescent="0.25">
      <c r="A752" s="8">
        <v>3.67</v>
      </c>
      <c r="B752" s="6">
        <v>11</v>
      </c>
      <c r="C752" s="8">
        <v>20.680758780000001</v>
      </c>
      <c r="D752" s="8">
        <v>0.366666667</v>
      </c>
      <c r="L752">
        <v>726</v>
      </c>
      <c r="M752">
        <v>2.4559961471063776</v>
      </c>
      <c r="N752">
        <v>-1.5996147106377645E-2</v>
      </c>
    </row>
    <row r="753" spans="1:14" x14ac:dyDescent="0.25">
      <c r="A753" s="8">
        <v>3.47</v>
      </c>
      <c r="B753" s="6">
        <v>8</v>
      </c>
      <c r="C753" s="8">
        <v>25.868619339999999</v>
      </c>
      <c r="D753" s="8">
        <v>0.2</v>
      </c>
      <c r="L753">
        <v>727</v>
      </c>
      <c r="M753">
        <v>2.6797788674448615</v>
      </c>
      <c r="N753">
        <v>0.51022113255513846</v>
      </c>
    </row>
    <row r="754" spans="1:14" x14ac:dyDescent="0.25">
      <c r="A754" s="8">
        <v>3.6</v>
      </c>
      <c r="B754" s="6">
        <v>12</v>
      </c>
      <c r="C754" s="8">
        <v>20.23645952</v>
      </c>
      <c r="D754" s="8">
        <v>0.3</v>
      </c>
      <c r="L754">
        <v>728</v>
      </c>
      <c r="M754">
        <v>2.5104223072851646</v>
      </c>
      <c r="N754">
        <v>0.79957769271483548</v>
      </c>
    </row>
    <row r="755" spans="1:14" x14ac:dyDescent="0.25">
      <c r="A755" s="8">
        <v>3.27</v>
      </c>
      <c r="B755" s="6">
        <v>7</v>
      </c>
      <c r="C755" s="8">
        <v>25.811426099999998</v>
      </c>
      <c r="D755" s="8">
        <v>0.17499999999999999</v>
      </c>
      <c r="L755">
        <v>729</v>
      </c>
      <c r="M755">
        <v>3.1199063586124245</v>
      </c>
      <c r="N755">
        <v>-1.9906358612424402E-2</v>
      </c>
    </row>
    <row r="756" spans="1:14" x14ac:dyDescent="0.25">
      <c r="A756" s="8">
        <v>3.67</v>
      </c>
      <c r="B756" s="6">
        <v>12</v>
      </c>
      <c r="C756" s="8">
        <v>20.99737069</v>
      </c>
      <c r="D756" s="8">
        <v>0.48</v>
      </c>
      <c r="L756">
        <v>730</v>
      </c>
      <c r="M756">
        <v>2.8750940874647073</v>
      </c>
      <c r="N756">
        <v>0.13490591253529249</v>
      </c>
    </row>
    <row r="757" spans="1:14" x14ac:dyDescent="0.25">
      <c r="A757" s="8">
        <v>2.2400000000000002</v>
      </c>
      <c r="B757" s="6">
        <v>5</v>
      </c>
      <c r="C757" s="8">
        <v>24.788465550000002</v>
      </c>
      <c r="D757" s="8">
        <v>0.16666666699999999</v>
      </c>
      <c r="L757">
        <v>731</v>
      </c>
      <c r="M757">
        <v>2.032162213503784</v>
      </c>
      <c r="N757">
        <v>-0.53216221350378401</v>
      </c>
    </row>
    <row r="758" spans="1:14" x14ac:dyDescent="0.25">
      <c r="A758" s="8">
        <v>3.39</v>
      </c>
      <c r="B758" s="6">
        <v>9</v>
      </c>
      <c r="C758" s="8">
        <v>24.639479430000002</v>
      </c>
      <c r="D758" s="8">
        <v>0.36</v>
      </c>
      <c r="L758">
        <v>732</v>
      </c>
      <c r="M758">
        <v>2.6615211796011602</v>
      </c>
      <c r="N758">
        <v>-0.11152117960116037</v>
      </c>
    </row>
    <row r="759" spans="1:14" x14ac:dyDescent="0.25">
      <c r="A759" s="8">
        <v>3.98</v>
      </c>
      <c r="B759" s="6">
        <v>11</v>
      </c>
      <c r="C759" s="8">
        <v>20.80624984</v>
      </c>
      <c r="D759" s="8">
        <v>0.55000000000000004</v>
      </c>
      <c r="L759">
        <v>733</v>
      </c>
      <c r="M759">
        <v>2.8037441793630844</v>
      </c>
      <c r="N759">
        <v>-0.11374417936308445</v>
      </c>
    </row>
    <row r="760" spans="1:14" x14ac:dyDescent="0.25">
      <c r="A760" s="8">
        <v>3.05</v>
      </c>
      <c r="B760" s="6">
        <v>10</v>
      </c>
      <c r="C760" s="8">
        <v>23.021272539999998</v>
      </c>
      <c r="D760" s="8">
        <v>0.25</v>
      </c>
      <c r="L760">
        <v>734</v>
      </c>
      <c r="M760">
        <v>4.8199009554371495</v>
      </c>
      <c r="N760">
        <v>2.0099044562850388E-2</v>
      </c>
    </row>
    <row r="761" spans="1:14" x14ac:dyDescent="0.25">
      <c r="A761" s="8">
        <v>2.68</v>
      </c>
      <c r="B761" s="6">
        <v>7</v>
      </c>
      <c r="C761" s="8">
        <v>19.757983429999999</v>
      </c>
      <c r="D761" s="8">
        <v>0.233333333</v>
      </c>
      <c r="L761">
        <v>735</v>
      </c>
      <c r="M761">
        <v>2.5950826813534293</v>
      </c>
      <c r="N761">
        <v>0.24491731864657051</v>
      </c>
    </row>
    <row r="762" spans="1:14" x14ac:dyDescent="0.25">
      <c r="A762" s="8">
        <v>3.63</v>
      </c>
      <c r="B762" s="6">
        <v>11</v>
      </c>
      <c r="C762" s="8">
        <v>23.518267309999999</v>
      </c>
      <c r="D762" s="8">
        <v>0.44</v>
      </c>
      <c r="L762">
        <v>736</v>
      </c>
      <c r="M762">
        <v>2.3011532743818703</v>
      </c>
      <c r="N762">
        <v>-0.11115327438187039</v>
      </c>
    </row>
    <row r="763" spans="1:14" x14ac:dyDescent="0.25">
      <c r="A763" s="8">
        <v>2.44</v>
      </c>
      <c r="B763" s="6">
        <v>7</v>
      </c>
      <c r="C763" s="8">
        <v>22.06174068</v>
      </c>
      <c r="D763" s="8">
        <v>0.28000000000000003</v>
      </c>
      <c r="L763">
        <v>737</v>
      </c>
      <c r="M763">
        <v>2.8298030130917748</v>
      </c>
      <c r="N763">
        <v>6.0196986908225281E-2</v>
      </c>
    </row>
    <row r="764" spans="1:14" x14ac:dyDescent="0.25">
      <c r="A764" s="8">
        <v>3</v>
      </c>
      <c r="B764" s="6">
        <v>8</v>
      </c>
      <c r="C764" s="8">
        <v>24.498565110000001</v>
      </c>
      <c r="D764" s="8">
        <v>0.32</v>
      </c>
      <c r="L764">
        <v>738</v>
      </c>
      <c r="M764">
        <v>3.1669844533393592</v>
      </c>
      <c r="N764">
        <v>0.1830155466606409</v>
      </c>
    </row>
    <row r="765" spans="1:14" x14ac:dyDescent="0.25">
      <c r="A765" s="8">
        <v>2.11</v>
      </c>
      <c r="B765" s="6">
        <v>5</v>
      </c>
      <c r="C765" s="8">
        <v>23.884633740000002</v>
      </c>
      <c r="D765" s="8">
        <v>0.2</v>
      </c>
      <c r="L765">
        <v>739</v>
      </c>
      <c r="M765">
        <v>2.8977452390177754</v>
      </c>
      <c r="N765">
        <v>0.29225476098222458</v>
      </c>
    </row>
    <row r="766" spans="1:14" x14ac:dyDescent="0.25">
      <c r="A766" s="8">
        <v>2.46</v>
      </c>
      <c r="B766" s="6">
        <v>4</v>
      </c>
      <c r="C766" s="8">
        <v>19.744204310000001</v>
      </c>
      <c r="D766" s="8">
        <v>0.133333333</v>
      </c>
      <c r="L766">
        <v>740</v>
      </c>
      <c r="M766">
        <v>3.555189584107791</v>
      </c>
      <c r="N766">
        <v>-0.57518958410779097</v>
      </c>
    </row>
    <row r="767" spans="1:14" x14ac:dyDescent="0.25">
      <c r="A767" s="8">
        <v>2.5299999999999998</v>
      </c>
      <c r="B767" s="6">
        <v>5</v>
      </c>
      <c r="C767" s="8">
        <v>20.503458980000001</v>
      </c>
      <c r="D767" s="8">
        <v>0.16666666699999999</v>
      </c>
      <c r="L767">
        <v>741</v>
      </c>
      <c r="M767">
        <v>2.6196575870434726</v>
      </c>
      <c r="N767">
        <v>0.38034241295652738</v>
      </c>
    </row>
    <row r="768" spans="1:14" x14ac:dyDescent="0.25">
      <c r="A768" s="8">
        <v>2.87</v>
      </c>
      <c r="B768" s="6">
        <v>9</v>
      </c>
      <c r="C768" s="8">
        <v>21.42486426</v>
      </c>
      <c r="D768" s="8">
        <v>0.22500000000000001</v>
      </c>
      <c r="L768">
        <v>742</v>
      </c>
      <c r="M768">
        <v>2.2890846608043121</v>
      </c>
      <c r="N768">
        <v>-0.43908466080431197</v>
      </c>
    </row>
    <row r="769" spans="1:14" x14ac:dyDescent="0.25">
      <c r="A769" s="8">
        <v>4.0199999999999996</v>
      </c>
      <c r="B769" s="6">
        <v>11</v>
      </c>
      <c r="C769" s="8">
        <v>24.40545135</v>
      </c>
      <c r="D769" s="8">
        <v>0.55000000000000004</v>
      </c>
      <c r="L769">
        <v>743</v>
      </c>
      <c r="M769">
        <v>2.5409423671377334</v>
      </c>
      <c r="N769">
        <v>-0.66094236713773347</v>
      </c>
    </row>
    <row r="770" spans="1:14" x14ac:dyDescent="0.25">
      <c r="A770" s="8">
        <v>2.98</v>
      </c>
      <c r="B770" s="6">
        <v>9</v>
      </c>
      <c r="C770" s="8">
        <v>21.33465769</v>
      </c>
      <c r="D770" s="8">
        <v>0.45</v>
      </c>
      <c r="L770">
        <v>744</v>
      </c>
      <c r="M770">
        <v>1.9793351099558172</v>
      </c>
      <c r="N770">
        <v>0.5006648900441828</v>
      </c>
    </row>
    <row r="771" spans="1:14" x14ac:dyDescent="0.25">
      <c r="A771" s="8">
        <v>3.67</v>
      </c>
      <c r="B771" s="6">
        <v>7</v>
      </c>
      <c r="C771" s="8">
        <v>26.383669680000001</v>
      </c>
      <c r="D771" s="8">
        <v>0.35</v>
      </c>
      <c r="L771">
        <v>745</v>
      </c>
      <c r="M771">
        <v>3.1371311578022798</v>
      </c>
      <c r="N771">
        <v>-1.7131157802279695E-2</v>
      </c>
    </row>
    <row r="772" spans="1:14" x14ac:dyDescent="0.25">
      <c r="A772" s="8">
        <v>2.66</v>
      </c>
      <c r="B772" s="6">
        <v>6</v>
      </c>
      <c r="C772" s="8">
        <v>20.5110271</v>
      </c>
      <c r="D772" s="8">
        <v>0.24</v>
      </c>
      <c r="L772">
        <v>746</v>
      </c>
      <c r="M772">
        <v>3.5766088241010716</v>
      </c>
      <c r="N772">
        <v>0.44339117589892796</v>
      </c>
    </row>
    <row r="773" spans="1:14" x14ac:dyDescent="0.25">
      <c r="A773" s="8">
        <v>3</v>
      </c>
      <c r="B773" s="6">
        <v>7</v>
      </c>
      <c r="C773" s="8">
        <v>24.893615130000001</v>
      </c>
      <c r="D773" s="8">
        <v>0.17499999999999999</v>
      </c>
      <c r="L773">
        <v>747</v>
      </c>
      <c r="M773">
        <v>2.1354109264148109</v>
      </c>
      <c r="N773">
        <v>0.14458907358518891</v>
      </c>
    </row>
    <row r="774" spans="1:14" x14ac:dyDescent="0.25">
      <c r="A774" s="8">
        <v>2.0699999999999998</v>
      </c>
      <c r="B774" s="6">
        <v>6</v>
      </c>
      <c r="C774" s="8">
        <v>23.784461350000001</v>
      </c>
      <c r="D774" s="8">
        <v>0.15</v>
      </c>
      <c r="L774">
        <v>748</v>
      </c>
      <c r="M774">
        <v>2.1077229106665718</v>
      </c>
      <c r="N774">
        <v>-0.13772291066657183</v>
      </c>
    </row>
    <row r="775" spans="1:14" x14ac:dyDescent="0.25">
      <c r="A775" s="8">
        <v>4.01</v>
      </c>
      <c r="B775" s="6">
        <v>9</v>
      </c>
      <c r="C775" s="8">
        <v>24.593609669999999</v>
      </c>
      <c r="D775" s="8">
        <v>0.22500000000000001</v>
      </c>
      <c r="L775">
        <v>749</v>
      </c>
      <c r="M775">
        <v>3.1443926446926747</v>
      </c>
      <c r="N775">
        <v>5.6073553073252569E-3</v>
      </c>
    </row>
    <row r="776" spans="1:14" x14ac:dyDescent="0.25">
      <c r="A776" s="8">
        <v>3.07</v>
      </c>
      <c r="B776" s="6">
        <v>7</v>
      </c>
      <c r="C776" s="8">
        <v>22.007444929999998</v>
      </c>
      <c r="D776" s="8">
        <v>0.28000000000000003</v>
      </c>
      <c r="L776">
        <v>750</v>
      </c>
      <c r="M776">
        <v>3.1511899052671399</v>
      </c>
      <c r="N776">
        <v>8.8810094732860279E-2</v>
      </c>
    </row>
    <row r="777" spans="1:14" x14ac:dyDescent="0.25">
      <c r="A777" s="8">
        <v>2.52</v>
      </c>
      <c r="B777" s="6">
        <v>6</v>
      </c>
      <c r="C777" s="8">
        <v>23.494961100000001</v>
      </c>
      <c r="D777" s="8">
        <v>0.2</v>
      </c>
      <c r="L777">
        <v>751</v>
      </c>
      <c r="M777">
        <v>3.6583448518402166</v>
      </c>
      <c r="N777">
        <v>1.1655148159783302E-2</v>
      </c>
    </row>
    <row r="778" spans="1:14" x14ac:dyDescent="0.25">
      <c r="A778" s="8">
        <v>2.69</v>
      </c>
      <c r="B778" s="6">
        <v>6</v>
      </c>
      <c r="C778" s="8">
        <v>25.211429150000001</v>
      </c>
      <c r="D778" s="8">
        <v>0.24</v>
      </c>
      <c r="L778">
        <v>752</v>
      </c>
      <c r="M778">
        <v>3.226676266469136</v>
      </c>
      <c r="N778">
        <v>0.24332373353086423</v>
      </c>
    </row>
    <row r="779" spans="1:14" x14ac:dyDescent="0.25">
      <c r="A779" s="8">
        <v>3.1</v>
      </c>
      <c r="B779" s="6">
        <v>9</v>
      </c>
      <c r="C779" s="8">
        <v>25.01991099</v>
      </c>
      <c r="D779" s="8">
        <v>0.3</v>
      </c>
      <c r="L779">
        <v>753</v>
      </c>
      <c r="M779">
        <v>3.8757486661749199</v>
      </c>
      <c r="N779">
        <v>-0.27574866617491978</v>
      </c>
    </row>
    <row r="780" spans="1:14" x14ac:dyDescent="0.25">
      <c r="A780" s="8">
        <v>3.78</v>
      </c>
      <c r="B780" s="6">
        <v>8</v>
      </c>
      <c r="C780" s="8">
        <v>28.333810440000001</v>
      </c>
      <c r="D780" s="8">
        <v>0.2</v>
      </c>
      <c r="L780">
        <v>754</v>
      </c>
      <c r="M780">
        <v>2.9805820093614597</v>
      </c>
      <c r="N780">
        <v>0.28941799063854035</v>
      </c>
    </row>
    <row r="781" spans="1:14" x14ac:dyDescent="0.25">
      <c r="A781" s="8">
        <v>2.56</v>
      </c>
      <c r="B781" s="6">
        <v>6</v>
      </c>
      <c r="C781" s="8">
        <v>23.460111220000002</v>
      </c>
      <c r="D781" s="8">
        <v>0.15</v>
      </c>
      <c r="L781">
        <v>755</v>
      </c>
      <c r="M781">
        <v>3.9192804804656642</v>
      </c>
      <c r="N781">
        <v>-0.24928048046566431</v>
      </c>
    </row>
    <row r="782" spans="1:14" x14ac:dyDescent="0.25">
      <c r="A782" s="8">
        <v>2.73</v>
      </c>
      <c r="B782" s="6">
        <v>5</v>
      </c>
      <c r="C782" s="8">
        <v>22.62593274</v>
      </c>
      <c r="D782" s="8">
        <v>0.16666666699999999</v>
      </c>
      <c r="L782">
        <v>756</v>
      </c>
      <c r="M782">
        <v>2.4364138696076547</v>
      </c>
      <c r="N782">
        <v>-0.1964138696076545</v>
      </c>
    </row>
    <row r="783" spans="1:14" x14ac:dyDescent="0.25">
      <c r="A783" s="8">
        <v>2.37</v>
      </c>
      <c r="B783" s="6">
        <v>5</v>
      </c>
      <c r="C783" s="8">
        <v>23.599391109999999</v>
      </c>
      <c r="D783" s="8">
        <v>0.125</v>
      </c>
      <c r="L783">
        <v>757</v>
      </c>
      <c r="M783">
        <v>3.3991792582497071</v>
      </c>
      <c r="N783">
        <v>-9.1792582497070008E-3</v>
      </c>
    </row>
    <row r="784" spans="1:14" x14ac:dyDescent="0.25">
      <c r="A784" s="8">
        <v>2.17</v>
      </c>
      <c r="B784" s="6">
        <v>6</v>
      </c>
      <c r="C784" s="8">
        <v>22.44622129</v>
      </c>
      <c r="D784" s="8">
        <v>0.24</v>
      </c>
      <c r="L784">
        <v>758</v>
      </c>
      <c r="M784">
        <v>3.6655242096081784</v>
      </c>
      <c r="N784">
        <v>0.31447579039182161</v>
      </c>
    </row>
    <row r="785" spans="1:14" x14ac:dyDescent="0.25">
      <c r="A785" s="8">
        <v>2.67</v>
      </c>
      <c r="B785" s="6">
        <v>5</v>
      </c>
      <c r="C785" s="8">
        <v>24.17615335</v>
      </c>
      <c r="D785" s="8">
        <v>0.25</v>
      </c>
      <c r="L785">
        <v>759</v>
      </c>
      <c r="M785">
        <v>3.5494236840007893</v>
      </c>
      <c r="N785">
        <v>-0.49942368400078951</v>
      </c>
    </row>
    <row r="786" spans="1:14" x14ac:dyDescent="0.25">
      <c r="A786" s="8">
        <v>2.57</v>
      </c>
      <c r="B786" s="6">
        <v>8</v>
      </c>
      <c r="C786" s="8">
        <v>22.1699108</v>
      </c>
      <c r="D786" s="8">
        <v>0.26666666700000002</v>
      </c>
      <c r="L786">
        <v>760</v>
      </c>
      <c r="M786">
        <v>2.6342638680071833</v>
      </c>
      <c r="N786">
        <v>4.5736131992816897E-2</v>
      </c>
    </row>
    <row r="787" spans="1:14" x14ac:dyDescent="0.25">
      <c r="A787" s="8">
        <v>4.5599999999999996</v>
      </c>
      <c r="B787" s="6">
        <v>15</v>
      </c>
      <c r="C787" s="8">
        <v>27.48784255</v>
      </c>
      <c r="D787" s="8">
        <v>0.375</v>
      </c>
      <c r="L787">
        <v>761</v>
      </c>
      <c r="M787">
        <v>3.8206790364945999</v>
      </c>
      <c r="N787">
        <v>-0.19067903649460005</v>
      </c>
    </row>
    <row r="788" spans="1:14" x14ac:dyDescent="0.25">
      <c r="A788" s="8">
        <v>3.09</v>
      </c>
      <c r="B788" s="6">
        <v>8</v>
      </c>
      <c r="C788" s="8">
        <v>20.686117209999999</v>
      </c>
      <c r="D788" s="8">
        <v>0.4</v>
      </c>
      <c r="L788">
        <v>762</v>
      </c>
      <c r="M788">
        <v>2.766062081428017</v>
      </c>
      <c r="N788">
        <v>-0.32606208142801707</v>
      </c>
    </row>
    <row r="789" spans="1:14" x14ac:dyDescent="0.25">
      <c r="A789" s="8">
        <v>3.14</v>
      </c>
      <c r="B789" s="6">
        <v>8</v>
      </c>
      <c r="C789" s="8">
        <v>22.51384389</v>
      </c>
      <c r="D789" s="8">
        <v>0.4</v>
      </c>
      <c r="L789">
        <v>763</v>
      </c>
      <c r="M789">
        <v>3.1482953086648124</v>
      </c>
      <c r="N789">
        <v>-0.14829530866481244</v>
      </c>
    </row>
    <row r="790" spans="1:14" x14ac:dyDescent="0.25">
      <c r="A790" s="8">
        <v>3.93</v>
      </c>
      <c r="B790" s="6">
        <v>12</v>
      </c>
      <c r="C790" s="8">
        <v>23.024339359999999</v>
      </c>
      <c r="D790" s="8">
        <v>0.3</v>
      </c>
      <c r="L790">
        <v>764</v>
      </c>
      <c r="M790">
        <v>2.3847055493013736</v>
      </c>
      <c r="N790">
        <v>-0.2747055493013737</v>
      </c>
    </row>
    <row r="791" spans="1:14" x14ac:dyDescent="0.25">
      <c r="A791" s="8">
        <v>3.99</v>
      </c>
      <c r="B791" s="6">
        <v>9</v>
      </c>
      <c r="C791" s="8">
        <v>26.9062144</v>
      </c>
      <c r="D791" s="8">
        <v>0.36</v>
      </c>
      <c r="L791">
        <v>765</v>
      </c>
      <c r="M791">
        <v>1.9050088868980477</v>
      </c>
      <c r="N791">
        <v>0.55499111310195226</v>
      </c>
    </row>
    <row r="792" spans="1:14" x14ac:dyDescent="0.25">
      <c r="A792" s="8">
        <v>2.17</v>
      </c>
      <c r="B792" s="6">
        <v>6</v>
      </c>
      <c r="C792" s="8">
        <v>22.735992289999999</v>
      </c>
      <c r="D792" s="8">
        <v>0.3</v>
      </c>
      <c r="L792">
        <v>766</v>
      </c>
      <c r="M792">
        <v>2.1912681580000051</v>
      </c>
      <c r="N792">
        <v>0.33873184199999473</v>
      </c>
    </row>
    <row r="793" spans="1:14" x14ac:dyDescent="0.25">
      <c r="A793" s="8">
        <v>3.62</v>
      </c>
      <c r="B793" s="6">
        <v>9</v>
      </c>
      <c r="C793" s="8">
        <v>21.131691589999999</v>
      </c>
      <c r="D793" s="8">
        <v>0.36</v>
      </c>
      <c r="L793">
        <v>767</v>
      </c>
      <c r="M793">
        <v>3.2152707599730297</v>
      </c>
      <c r="N793">
        <v>-0.34527075997302958</v>
      </c>
    </row>
    <row r="794" spans="1:14" x14ac:dyDescent="0.25">
      <c r="A794" s="8">
        <v>3.79</v>
      </c>
      <c r="B794" s="6">
        <v>9</v>
      </c>
      <c r="C794" s="8">
        <v>26.538674650000001</v>
      </c>
      <c r="D794" s="8">
        <v>0.3</v>
      </c>
      <c r="L794">
        <v>768</v>
      </c>
      <c r="M794">
        <v>3.8714349359920304</v>
      </c>
      <c r="N794">
        <v>0.14856506400796921</v>
      </c>
    </row>
    <row r="795" spans="1:14" x14ac:dyDescent="0.25">
      <c r="A795" s="8">
        <v>3.54</v>
      </c>
      <c r="B795" s="6">
        <v>9</v>
      </c>
      <c r="C795" s="8">
        <v>20.48396018</v>
      </c>
      <c r="D795" s="8">
        <v>0.45</v>
      </c>
      <c r="L795">
        <v>769</v>
      </c>
      <c r="M795">
        <v>3.2101100318777318</v>
      </c>
      <c r="N795">
        <v>-0.23011003187773182</v>
      </c>
    </row>
    <row r="796" spans="1:14" x14ac:dyDescent="0.25">
      <c r="A796" s="8">
        <v>3.59</v>
      </c>
      <c r="B796" s="6">
        <v>9</v>
      </c>
      <c r="C796" s="8">
        <v>21.192288919999999</v>
      </c>
      <c r="D796" s="8">
        <v>0.45</v>
      </c>
      <c r="L796">
        <v>770</v>
      </c>
      <c r="M796">
        <v>3.0133201294414036</v>
      </c>
      <c r="N796">
        <v>0.65667987055859633</v>
      </c>
    </row>
    <row r="797" spans="1:14" x14ac:dyDescent="0.25">
      <c r="A797" s="8">
        <v>2.79</v>
      </c>
      <c r="B797" s="6">
        <v>8</v>
      </c>
      <c r="C797" s="8">
        <v>22.044320299999999</v>
      </c>
      <c r="D797" s="8">
        <v>0.32</v>
      </c>
      <c r="L797">
        <v>771</v>
      </c>
      <c r="M797">
        <v>2.434523356367098</v>
      </c>
      <c r="N797">
        <v>0.2254766436329021</v>
      </c>
    </row>
    <row r="798" spans="1:14" x14ac:dyDescent="0.25">
      <c r="A798" s="8">
        <v>3.16</v>
      </c>
      <c r="B798" s="6">
        <v>10</v>
      </c>
      <c r="C798" s="8">
        <v>21.569502960000001</v>
      </c>
      <c r="D798" s="8">
        <v>0.33333333300000001</v>
      </c>
      <c r="L798">
        <v>772</v>
      </c>
      <c r="M798">
        <v>2.9280739397269349</v>
      </c>
      <c r="N798">
        <v>7.192606027306514E-2</v>
      </c>
    </row>
    <row r="799" spans="1:14" x14ac:dyDescent="0.25">
      <c r="A799" s="8">
        <v>3.52</v>
      </c>
      <c r="B799" s="6">
        <v>9</v>
      </c>
      <c r="C799" s="8">
        <v>22.061203679999998</v>
      </c>
      <c r="D799" s="8">
        <v>0.22500000000000001</v>
      </c>
      <c r="L799">
        <v>773</v>
      </c>
      <c r="M799">
        <v>2.6217969008781639</v>
      </c>
      <c r="N799">
        <v>-0.55179690087816402</v>
      </c>
    </row>
    <row r="800" spans="1:14" x14ac:dyDescent="0.25">
      <c r="A800" s="8">
        <v>3.3</v>
      </c>
      <c r="B800" s="6">
        <v>11</v>
      </c>
      <c r="C800" s="8">
        <v>22.424883779999998</v>
      </c>
      <c r="D800" s="8">
        <v>0.44</v>
      </c>
      <c r="L800">
        <v>774</v>
      </c>
      <c r="M800">
        <v>3.3965550440804226</v>
      </c>
      <c r="N800">
        <v>0.61344495591957715</v>
      </c>
    </row>
    <row r="801" spans="1:14" x14ac:dyDescent="0.25">
      <c r="A801" s="8">
        <v>2.99</v>
      </c>
      <c r="B801" s="6">
        <v>9</v>
      </c>
      <c r="C801" s="8">
        <v>25.372922070000001</v>
      </c>
      <c r="D801" s="8">
        <v>0.45</v>
      </c>
      <c r="L801">
        <v>775</v>
      </c>
      <c r="M801">
        <v>2.7629558154156824</v>
      </c>
      <c r="N801">
        <v>0.30704418458431748</v>
      </c>
    </row>
    <row r="802" spans="1:14" x14ac:dyDescent="0.25">
      <c r="A802" s="8">
        <v>2.79</v>
      </c>
      <c r="B802" s="6">
        <v>7</v>
      </c>
      <c r="C802" s="8">
        <v>23.403160230000001</v>
      </c>
      <c r="D802" s="8">
        <v>0.233333333</v>
      </c>
      <c r="L802">
        <v>776</v>
      </c>
      <c r="M802">
        <v>2.6052345587586174</v>
      </c>
      <c r="N802">
        <v>-8.5234558758617407E-2</v>
      </c>
    </row>
    <row r="803" spans="1:14" x14ac:dyDescent="0.25">
      <c r="A803" s="8">
        <v>5.01</v>
      </c>
      <c r="B803" s="6">
        <v>16</v>
      </c>
      <c r="C803" s="8">
        <v>23.279303349999999</v>
      </c>
      <c r="D803" s="8">
        <v>0.4</v>
      </c>
      <c r="L803">
        <v>777</v>
      </c>
      <c r="M803">
        <v>2.7034338904737716</v>
      </c>
      <c r="N803">
        <v>-1.3433890473771637E-2</v>
      </c>
    </row>
    <row r="804" spans="1:14" x14ac:dyDescent="0.25">
      <c r="A804" s="8">
        <v>4</v>
      </c>
      <c r="B804" s="6">
        <v>10</v>
      </c>
      <c r="C804" s="8">
        <v>26.4793305</v>
      </c>
      <c r="D804" s="8">
        <v>0.4</v>
      </c>
      <c r="L804">
        <v>778</v>
      </c>
      <c r="M804">
        <v>3.4209437909221059</v>
      </c>
      <c r="N804">
        <v>-0.32094379092210579</v>
      </c>
    </row>
    <row r="805" spans="1:14" x14ac:dyDescent="0.25">
      <c r="A805" s="8">
        <v>2.92</v>
      </c>
      <c r="B805" s="6">
        <v>8</v>
      </c>
      <c r="C805" s="8">
        <v>22.885205070000001</v>
      </c>
      <c r="D805" s="8">
        <v>0.26666666700000002</v>
      </c>
      <c r="L805">
        <v>779</v>
      </c>
      <c r="M805">
        <v>3.367710128748219</v>
      </c>
      <c r="N805">
        <v>0.41228987125178085</v>
      </c>
    </row>
    <row r="806" spans="1:14" x14ac:dyDescent="0.25">
      <c r="A806" s="8">
        <v>4.2699999999999996</v>
      </c>
      <c r="B806" s="6">
        <v>13</v>
      </c>
      <c r="C806" s="8">
        <v>24.376410610000001</v>
      </c>
      <c r="D806" s="8">
        <v>0.65</v>
      </c>
      <c r="L806">
        <v>780</v>
      </c>
      <c r="M806">
        <v>2.6032407931733195</v>
      </c>
      <c r="N806">
        <v>-4.3240793173319414E-2</v>
      </c>
    </row>
    <row r="807" spans="1:14" x14ac:dyDescent="0.25">
      <c r="A807" s="8">
        <v>1.72</v>
      </c>
      <c r="B807" s="6">
        <v>3</v>
      </c>
      <c r="C807" s="8">
        <v>24.39790614</v>
      </c>
      <c r="D807" s="8">
        <v>0.1</v>
      </c>
      <c r="L807">
        <v>781</v>
      </c>
      <c r="M807">
        <v>2.3126951224080816</v>
      </c>
      <c r="N807">
        <v>0.41730487759191837</v>
      </c>
    </row>
    <row r="808" spans="1:14" x14ac:dyDescent="0.25">
      <c r="A808" s="8">
        <v>2.62</v>
      </c>
      <c r="B808" s="6">
        <v>4</v>
      </c>
      <c r="C808" s="8">
        <v>25.38067268</v>
      </c>
      <c r="D808" s="8">
        <v>0.1</v>
      </c>
      <c r="L808">
        <v>782</v>
      </c>
      <c r="M808">
        <v>2.3683867861046606</v>
      </c>
      <c r="N808">
        <v>1.613213895339527E-3</v>
      </c>
    </row>
    <row r="809" spans="1:14" x14ac:dyDescent="0.25">
      <c r="A809" s="8">
        <v>2.21</v>
      </c>
      <c r="B809" s="6">
        <v>2</v>
      </c>
      <c r="C809" s="8">
        <v>24.43833733</v>
      </c>
      <c r="D809" s="8">
        <v>6.6666666999999999E-2</v>
      </c>
      <c r="L809">
        <v>783</v>
      </c>
      <c r="M809">
        <v>2.5452360353459165</v>
      </c>
      <c r="N809">
        <v>-0.37523603534591654</v>
      </c>
    </row>
    <row r="810" spans="1:14" x14ac:dyDescent="0.25">
      <c r="A810" s="8">
        <v>3.83</v>
      </c>
      <c r="B810" s="6">
        <v>12</v>
      </c>
      <c r="C810" s="8">
        <v>22.350210369999999</v>
      </c>
      <c r="D810" s="8">
        <v>0.4</v>
      </c>
      <c r="L810">
        <v>784</v>
      </c>
      <c r="M810">
        <v>2.4013834192354291</v>
      </c>
      <c r="N810">
        <v>0.26861658076457084</v>
      </c>
    </row>
    <row r="811" spans="1:14" x14ac:dyDescent="0.25">
      <c r="A811" s="8">
        <v>3.15</v>
      </c>
      <c r="B811" s="6">
        <v>8</v>
      </c>
      <c r="C811" s="8">
        <v>24.809924079999998</v>
      </c>
      <c r="D811" s="8">
        <v>0.4</v>
      </c>
      <c r="L811">
        <v>785</v>
      </c>
      <c r="M811">
        <v>3.0150727316191088</v>
      </c>
      <c r="N811">
        <v>-0.44507273161910899</v>
      </c>
    </row>
    <row r="812" spans="1:14" x14ac:dyDescent="0.25">
      <c r="A812" s="8">
        <v>2.66</v>
      </c>
      <c r="B812" s="6">
        <v>8</v>
      </c>
      <c r="C812" s="8">
        <v>22.982067350000001</v>
      </c>
      <c r="D812" s="8">
        <v>0.2</v>
      </c>
      <c r="L812">
        <v>786</v>
      </c>
      <c r="M812">
        <v>5.0190677874123768</v>
      </c>
      <c r="N812">
        <v>-0.45906778741237719</v>
      </c>
    </row>
    <row r="813" spans="1:14" x14ac:dyDescent="0.25">
      <c r="A813" s="8">
        <v>4.01</v>
      </c>
      <c r="B813" s="6">
        <v>11</v>
      </c>
      <c r="C813" s="8">
        <v>20.34900206</v>
      </c>
      <c r="D813" s="8">
        <v>0.366666667</v>
      </c>
      <c r="L813">
        <v>787</v>
      </c>
      <c r="M813">
        <v>2.9301847321359666</v>
      </c>
      <c r="N813">
        <v>0.15981526786403322</v>
      </c>
    </row>
    <row r="814" spans="1:14" x14ac:dyDescent="0.25">
      <c r="A814" s="8">
        <v>1.67</v>
      </c>
      <c r="B814" s="6">
        <v>6</v>
      </c>
      <c r="C814" s="8">
        <v>23.912498979999999</v>
      </c>
      <c r="D814" s="8">
        <v>0.3</v>
      </c>
      <c r="L814">
        <v>788</v>
      </c>
      <c r="M814">
        <v>3.0347491826854296</v>
      </c>
      <c r="N814">
        <v>0.10525081731457053</v>
      </c>
    </row>
    <row r="815" spans="1:14" x14ac:dyDescent="0.25">
      <c r="A815" s="8">
        <v>2.12</v>
      </c>
      <c r="B815" s="6">
        <v>6</v>
      </c>
      <c r="C815" s="8">
        <v>20.984395339999999</v>
      </c>
      <c r="D815" s="8">
        <v>0.15</v>
      </c>
      <c r="L815">
        <v>789</v>
      </c>
      <c r="M815">
        <v>4.0352435878486155</v>
      </c>
      <c r="N815">
        <v>-0.10524358784861532</v>
      </c>
    </row>
    <row r="816" spans="1:14" x14ac:dyDescent="0.25">
      <c r="A816" s="8">
        <v>2.42</v>
      </c>
      <c r="B816" s="6">
        <v>7</v>
      </c>
      <c r="C816" s="8">
        <v>22.698126769999998</v>
      </c>
      <c r="D816" s="8">
        <v>0.233333333</v>
      </c>
      <c r="L816">
        <v>790</v>
      </c>
      <c r="M816">
        <v>3.5288594228349845</v>
      </c>
      <c r="N816">
        <v>0.46114057716501566</v>
      </c>
    </row>
    <row r="817" spans="1:14" x14ac:dyDescent="0.25">
      <c r="A817" s="8">
        <v>3.91</v>
      </c>
      <c r="B817" s="6">
        <v>11</v>
      </c>
      <c r="C817" s="8">
        <v>24.238192959999999</v>
      </c>
      <c r="D817" s="8">
        <v>0.44</v>
      </c>
      <c r="L817">
        <v>791</v>
      </c>
      <c r="M817">
        <v>2.5618138671036546</v>
      </c>
      <c r="N817">
        <v>-0.39181386710365462</v>
      </c>
    </row>
    <row r="818" spans="1:14" x14ac:dyDescent="0.25">
      <c r="A818" s="8">
        <v>3.78</v>
      </c>
      <c r="B818" s="6">
        <v>11</v>
      </c>
      <c r="C818" s="8">
        <v>21.512567829999998</v>
      </c>
      <c r="D818" s="8">
        <v>0.27500000000000002</v>
      </c>
      <c r="L818">
        <v>792</v>
      </c>
      <c r="M818">
        <v>3.198498318288987</v>
      </c>
      <c r="N818">
        <v>0.4215016817110131</v>
      </c>
    </row>
    <row r="819" spans="1:14" x14ac:dyDescent="0.25">
      <c r="A819" s="8">
        <v>3.6</v>
      </c>
      <c r="B819" s="6">
        <v>8</v>
      </c>
      <c r="C819" s="8">
        <v>25.622324590000002</v>
      </c>
      <c r="D819" s="8">
        <v>0.32</v>
      </c>
      <c r="L819">
        <v>793</v>
      </c>
      <c r="M819">
        <v>3.5078324320740704</v>
      </c>
      <c r="N819">
        <v>0.28216756792592967</v>
      </c>
    </row>
    <row r="820" spans="1:14" x14ac:dyDescent="0.25">
      <c r="A820" s="8">
        <v>3.81</v>
      </c>
      <c r="B820" s="6">
        <v>10</v>
      </c>
      <c r="C820" s="8">
        <v>22.32626759</v>
      </c>
      <c r="D820" s="8">
        <v>0.25</v>
      </c>
      <c r="L820">
        <v>794</v>
      </c>
      <c r="M820">
        <v>3.1614415308976263</v>
      </c>
      <c r="N820">
        <v>0.37855846910237378</v>
      </c>
    </row>
    <row r="821" spans="1:14" x14ac:dyDescent="0.25">
      <c r="A821" s="8">
        <v>4.08</v>
      </c>
      <c r="B821" s="6">
        <v>11</v>
      </c>
      <c r="C821" s="8">
        <v>23.74888245</v>
      </c>
      <c r="D821" s="8">
        <v>0.55000000000000004</v>
      </c>
      <c r="L821">
        <v>795</v>
      </c>
      <c r="M821">
        <v>3.2019650984074532</v>
      </c>
      <c r="N821">
        <v>0.38803490159254661</v>
      </c>
    </row>
    <row r="822" spans="1:14" x14ac:dyDescent="0.25">
      <c r="A822" s="8">
        <v>2.7</v>
      </c>
      <c r="B822" s="6">
        <v>7</v>
      </c>
      <c r="C822" s="8">
        <v>23.427122399999998</v>
      </c>
      <c r="D822" s="8">
        <v>0.233333333</v>
      </c>
      <c r="L822">
        <v>796</v>
      </c>
      <c r="M822">
        <v>3.007887684877474</v>
      </c>
      <c r="N822">
        <v>-0.21788768487747401</v>
      </c>
    </row>
    <row r="823" spans="1:14" x14ac:dyDescent="0.25">
      <c r="A823" s="8">
        <v>3.86</v>
      </c>
      <c r="B823" s="6">
        <v>12</v>
      </c>
      <c r="C823" s="8">
        <v>22.780271750000001</v>
      </c>
      <c r="D823" s="8">
        <v>0.6</v>
      </c>
      <c r="L823">
        <v>797</v>
      </c>
      <c r="M823">
        <v>3.4663677817599119</v>
      </c>
      <c r="N823">
        <v>-0.30636778175991175</v>
      </c>
    </row>
    <row r="824" spans="1:14" x14ac:dyDescent="0.25">
      <c r="A824" s="8">
        <v>2.82</v>
      </c>
      <c r="B824" s="6">
        <v>5</v>
      </c>
      <c r="C824" s="8">
        <v>19.24998523</v>
      </c>
      <c r="D824" s="8">
        <v>0.16666666699999999</v>
      </c>
      <c r="L824">
        <v>798</v>
      </c>
      <c r="M824">
        <v>3.2516758103251231</v>
      </c>
      <c r="N824">
        <v>0.26832418967487692</v>
      </c>
    </row>
    <row r="825" spans="1:14" x14ac:dyDescent="0.25">
      <c r="A825" s="8">
        <v>3.62</v>
      </c>
      <c r="B825" s="6">
        <v>11</v>
      </c>
      <c r="C825" s="8">
        <v>22.960163210000001</v>
      </c>
      <c r="D825" s="8">
        <v>0.55000000000000004</v>
      </c>
      <c r="L825">
        <v>799</v>
      </c>
      <c r="M825">
        <v>3.7581264407999955</v>
      </c>
      <c r="N825">
        <v>-0.45812644079999565</v>
      </c>
    </row>
    <row r="826" spans="1:14" x14ac:dyDescent="0.25">
      <c r="A826" s="8">
        <v>2.4300000000000002</v>
      </c>
      <c r="B826" s="6">
        <v>6</v>
      </c>
      <c r="C826" s="8">
        <v>20.152012299999999</v>
      </c>
      <c r="D826" s="8">
        <v>0.24</v>
      </c>
      <c r="L826">
        <v>800</v>
      </c>
      <c r="M826">
        <v>3.441139594825386</v>
      </c>
      <c r="N826">
        <v>-0.45113959482538579</v>
      </c>
    </row>
    <row r="827" spans="1:14" x14ac:dyDescent="0.25">
      <c r="A827" s="8">
        <v>2.54</v>
      </c>
      <c r="B827" s="6">
        <v>7</v>
      </c>
      <c r="C827" s="8">
        <v>23.318354230000001</v>
      </c>
      <c r="D827" s="8">
        <v>0.233333333</v>
      </c>
      <c r="L827">
        <v>801</v>
      </c>
      <c r="M827">
        <v>2.8428048459435828</v>
      </c>
      <c r="N827">
        <v>-5.2804845943582812E-2</v>
      </c>
    </row>
    <row r="828" spans="1:14" x14ac:dyDescent="0.25">
      <c r="A828" s="8">
        <v>4.78</v>
      </c>
      <c r="B828" s="6">
        <v>14</v>
      </c>
      <c r="C828" s="8">
        <v>20.873290999999998</v>
      </c>
      <c r="D828" s="8">
        <v>0.35</v>
      </c>
      <c r="L828">
        <v>802</v>
      </c>
      <c r="M828">
        <v>5.0211190080745727</v>
      </c>
      <c r="N828">
        <v>-1.1119008074572889E-2</v>
      </c>
    </row>
    <row r="829" spans="1:14" x14ac:dyDescent="0.25">
      <c r="A829" s="8">
        <v>2.06</v>
      </c>
      <c r="B829" s="6">
        <v>4</v>
      </c>
      <c r="C829" s="8">
        <v>21.35768058</v>
      </c>
      <c r="D829" s="8">
        <v>0.16</v>
      </c>
      <c r="L829">
        <v>803</v>
      </c>
      <c r="M829">
        <v>3.747259571889451</v>
      </c>
      <c r="N829">
        <v>0.25274042811054898</v>
      </c>
    </row>
    <row r="830" spans="1:14" x14ac:dyDescent="0.25">
      <c r="A830" s="8">
        <v>1.66</v>
      </c>
      <c r="B830" s="6">
        <v>4</v>
      </c>
      <c r="C830" s="8">
        <v>20.63805503</v>
      </c>
      <c r="D830" s="8">
        <v>0.2</v>
      </c>
      <c r="L830">
        <v>804</v>
      </c>
      <c r="M830">
        <v>3.0559947978898321</v>
      </c>
      <c r="N830">
        <v>-0.13599479788983215</v>
      </c>
    </row>
    <row r="831" spans="1:14" x14ac:dyDescent="0.25">
      <c r="A831" s="8">
        <v>3.69</v>
      </c>
      <c r="B831" s="6">
        <v>9</v>
      </c>
      <c r="C831" s="8">
        <v>22.80931782</v>
      </c>
      <c r="D831" s="8">
        <v>0.3</v>
      </c>
      <c r="L831">
        <v>805</v>
      </c>
      <c r="M831">
        <v>4.3554179626926217</v>
      </c>
      <c r="N831">
        <v>-8.541796269262214E-2</v>
      </c>
    </row>
    <row r="832" spans="1:14" x14ac:dyDescent="0.25">
      <c r="A832" s="8">
        <v>4.41</v>
      </c>
      <c r="B832" s="6">
        <v>15</v>
      </c>
      <c r="C832" s="8">
        <v>22.32436981</v>
      </c>
      <c r="D832" s="8">
        <v>0.375</v>
      </c>
      <c r="L832">
        <v>806</v>
      </c>
      <c r="M832">
        <v>1.9284254707607085</v>
      </c>
      <c r="N832">
        <v>-0.2084254707607085</v>
      </c>
    </row>
    <row r="833" spans="1:14" x14ac:dyDescent="0.25">
      <c r="A833" s="8">
        <v>1.89</v>
      </c>
      <c r="B833" s="6">
        <v>5</v>
      </c>
      <c r="C833" s="8">
        <v>22.47128833</v>
      </c>
      <c r="D833" s="8">
        <v>0.2</v>
      </c>
      <c r="L833">
        <v>807</v>
      </c>
      <c r="M833">
        <v>2.2274718812821286</v>
      </c>
      <c r="N833">
        <v>0.39252811871787152</v>
      </c>
    </row>
    <row r="834" spans="1:14" x14ac:dyDescent="0.25">
      <c r="A834" s="8">
        <v>2.59</v>
      </c>
      <c r="B834" s="6">
        <v>6</v>
      </c>
      <c r="C834" s="8">
        <v>24.115007640000002</v>
      </c>
      <c r="D834" s="8">
        <v>0.15</v>
      </c>
      <c r="L834">
        <v>808</v>
      </c>
      <c r="M834">
        <v>1.6879163183598005</v>
      </c>
      <c r="N834">
        <v>0.52208368164019947</v>
      </c>
    </row>
    <row r="835" spans="1:14" x14ac:dyDescent="0.25">
      <c r="A835" s="8">
        <v>2.88</v>
      </c>
      <c r="B835" s="6">
        <v>9</v>
      </c>
      <c r="C835" s="8">
        <v>23.319681150000001</v>
      </c>
      <c r="D835" s="8">
        <v>0.22500000000000001</v>
      </c>
      <c r="L835">
        <v>809</v>
      </c>
      <c r="M835">
        <v>3.9966765919130882</v>
      </c>
      <c r="N835">
        <v>-0.16667659191308815</v>
      </c>
    </row>
    <row r="836" spans="1:14" x14ac:dyDescent="0.25">
      <c r="A836" s="8">
        <v>2.77</v>
      </c>
      <c r="B836" s="6">
        <v>8</v>
      </c>
      <c r="C836" s="8">
        <v>24.970799419999999</v>
      </c>
      <c r="D836" s="8">
        <v>0.2</v>
      </c>
      <c r="L836">
        <v>810</v>
      </c>
      <c r="M836">
        <v>3.1661081906334099</v>
      </c>
      <c r="N836">
        <v>-1.6108190633409958E-2</v>
      </c>
    </row>
    <row r="837" spans="1:14" x14ac:dyDescent="0.25">
      <c r="A837" s="8">
        <v>3.07</v>
      </c>
      <c r="B837" s="6">
        <v>8</v>
      </c>
      <c r="C837" s="8">
        <v>22.627984609999999</v>
      </c>
      <c r="D837" s="8">
        <v>0.2</v>
      </c>
      <c r="L837">
        <v>811</v>
      </c>
      <c r="M837">
        <v>3.0615362999087052</v>
      </c>
      <c r="N837">
        <v>-0.4015362999087051</v>
      </c>
    </row>
    <row r="838" spans="1:14" x14ac:dyDescent="0.25">
      <c r="A838" s="8">
        <v>2.39</v>
      </c>
      <c r="B838" s="6">
        <v>7</v>
      </c>
      <c r="C838" s="8">
        <v>20.428990949999999</v>
      </c>
      <c r="D838" s="8">
        <v>0.233333333</v>
      </c>
      <c r="L838">
        <v>812</v>
      </c>
      <c r="M838">
        <v>3.6393650122818793</v>
      </c>
      <c r="N838">
        <v>0.37063498771812053</v>
      </c>
    </row>
    <row r="839" spans="1:14" x14ac:dyDescent="0.25">
      <c r="A839" s="8">
        <v>2.12</v>
      </c>
      <c r="B839" s="6">
        <v>4</v>
      </c>
      <c r="C839" s="8">
        <v>24.219760090000001</v>
      </c>
      <c r="D839" s="8">
        <v>0.2</v>
      </c>
      <c r="L839">
        <v>813</v>
      </c>
      <c r="M839">
        <v>2.6291219482044985</v>
      </c>
      <c r="N839">
        <v>-0.95912194820449859</v>
      </c>
    </row>
    <row r="840" spans="1:14" x14ac:dyDescent="0.25">
      <c r="A840" s="8">
        <v>4.38</v>
      </c>
      <c r="B840" s="6">
        <v>11</v>
      </c>
      <c r="C840" s="8">
        <v>23.684212080000002</v>
      </c>
      <c r="D840" s="8">
        <v>0.366666667</v>
      </c>
      <c r="L840">
        <v>814</v>
      </c>
      <c r="M840">
        <v>2.4616048070373733</v>
      </c>
      <c r="N840">
        <v>-0.34160480703737317</v>
      </c>
    </row>
    <row r="841" spans="1:14" x14ac:dyDescent="0.25">
      <c r="A841" s="8">
        <v>2.75</v>
      </c>
      <c r="B841" s="6">
        <v>8</v>
      </c>
      <c r="C841" s="8">
        <v>22.719433930000001</v>
      </c>
      <c r="D841" s="8">
        <v>0.4</v>
      </c>
      <c r="L841">
        <v>815</v>
      </c>
      <c r="M841">
        <v>2.8024698017761001</v>
      </c>
      <c r="N841">
        <v>-0.38246980177610013</v>
      </c>
    </row>
    <row r="842" spans="1:14" x14ac:dyDescent="0.25">
      <c r="A842" s="8">
        <v>1.97</v>
      </c>
      <c r="B842" s="6">
        <v>6</v>
      </c>
      <c r="C842" s="8">
        <v>22.283192849999999</v>
      </c>
      <c r="D842" s="8">
        <v>0.15</v>
      </c>
      <c r="L842">
        <v>816</v>
      </c>
      <c r="M842">
        <v>3.8618660645401253</v>
      </c>
      <c r="N842">
        <v>4.8133935459874877E-2</v>
      </c>
    </row>
    <row r="843" spans="1:14" x14ac:dyDescent="0.25">
      <c r="A843" s="8">
        <v>2.79</v>
      </c>
      <c r="B843" s="6">
        <v>8</v>
      </c>
      <c r="C843" s="8">
        <v>20.57325986</v>
      </c>
      <c r="D843" s="8">
        <v>0.4</v>
      </c>
      <c r="L843">
        <v>817</v>
      </c>
      <c r="M843">
        <v>3.7059327418825725</v>
      </c>
      <c r="N843">
        <v>7.4067258117427315E-2</v>
      </c>
    </row>
    <row r="844" spans="1:14" x14ac:dyDescent="0.25">
      <c r="A844" s="8">
        <v>2.5099999999999998</v>
      </c>
      <c r="B844" s="6">
        <v>4</v>
      </c>
      <c r="C844" s="8">
        <v>25.378452920000001</v>
      </c>
      <c r="D844" s="8">
        <v>0.1</v>
      </c>
      <c r="L844">
        <v>818</v>
      </c>
      <c r="M844">
        <v>3.2125857159022608</v>
      </c>
      <c r="N844">
        <v>0.38741428409773926</v>
      </c>
    </row>
    <row r="845" spans="1:14" x14ac:dyDescent="0.25">
      <c r="A845" s="8">
        <v>4.0999999999999996</v>
      </c>
      <c r="B845" s="6">
        <v>13</v>
      </c>
      <c r="C845" s="8">
        <v>21.489002230000001</v>
      </c>
      <c r="D845" s="8">
        <v>0.43333333299999999</v>
      </c>
      <c r="L845">
        <v>819</v>
      </c>
      <c r="M845">
        <v>3.5096623720272144</v>
      </c>
      <c r="N845">
        <v>0.30033762797278563</v>
      </c>
    </row>
    <row r="846" spans="1:14" x14ac:dyDescent="0.25">
      <c r="A846" s="8">
        <v>2.94</v>
      </c>
      <c r="B846" s="6">
        <v>8</v>
      </c>
      <c r="C846" s="8">
        <v>21.718735540000001</v>
      </c>
      <c r="D846" s="8">
        <v>0.26666666700000002</v>
      </c>
      <c r="L846">
        <v>820</v>
      </c>
      <c r="M846">
        <v>3.8338725547959731</v>
      </c>
      <c r="N846">
        <v>0.24612744520402696</v>
      </c>
    </row>
    <row r="847" spans="1:14" x14ac:dyDescent="0.25">
      <c r="A847" s="8">
        <v>2.0699999999999998</v>
      </c>
      <c r="B847" s="6">
        <v>5</v>
      </c>
      <c r="C847" s="8">
        <v>22.97136111</v>
      </c>
      <c r="D847" s="8">
        <v>0.16666666699999999</v>
      </c>
      <c r="L847">
        <v>821</v>
      </c>
      <c r="M847">
        <v>2.8441757244055763</v>
      </c>
      <c r="N847">
        <v>-0.14417572440557613</v>
      </c>
    </row>
    <row r="848" spans="1:14" x14ac:dyDescent="0.25">
      <c r="A848" s="8">
        <v>2.74</v>
      </c>
      <c r="B848" s="6">
        <v>8</v>
      </c>
      <c r="C848" s="8">
        <v>21.395456329999998</v>
      </c>
      <c r="D848" s="8">
        <v>0.32</v>
      </c>
      <c r="L848">
        <v>822</v>
      </c>
      <c r="M848">
        <v>4.0212804522136034</v>
      </c>
      <c r="N848">
        <v>-0.16128045221360354</v>
      </c>
    </row>
    <row r="849" spans="1:14" x14ac:dyDescent="0.25">
      <c r="A849" s="8">
        <v>3.27</v>
      </c>
      <c r="B849" s="6">
        <v>9</v>
      </c>
      <c r="C849" s="8">
        <v>25.145859229999999</v>
      </c>
      <c r="D849" s="8">
        <v>0.3</v>
      </c>
      <c r="L849">
        <v>823</v>
      </c>
      <c r="M849">
        <v>2.1195567826717614</v>
      </c>
      <c r="N849">
        <v>0.70044321732823844</v>
      </c>
    </row>
    <row r="850" spans="1:14" x14ac:dyDescent="0.25">
      <c r="A850" s="8">
        <v>2.58</v>
      </c>
      <c r="B850" s="6">
        <v>7</v>
      </c>
      <c r="C850" s="8">
        <v>25.871141990000002</v>
      </c>
      <c r="D850" s="8">
        <v>0.17499999999999999</v>
      </c>
      <c r="L850">
        <v>824</v>
      </c>
      <c r="M850">
        <v>3.7887498376682736</v>
      </c>
      <c r="N850">
        <v>-0.16874983766827345</v>
      </c>
    </row>
    <row r="851" spans="1:14" x14ac:dyDescent="0.25">
      <c r="A851" s="8">
        <v>2.3199999999999998</v>
      </c>
      <c r="B851" s="6">
        <v>5</v>
      </c>
      <c r="C851" s="8">
        <v>24.89062354</v>
      </c>
      <c r="D851" s="8">
        <v>0.2</v>
      </c>
      <c r="L851">
        <v>825</v>
      </c>
      <c r="M851">
        <v>2.4139840789620512</v>
      </c>
      <c r="N851">
        <v>1.601592103794891E-2</v>
      </c>
    </row>
    <row r="852" spans="1:14" x14ac:dyDescent="0.25">
      <c r="A852" s="8">
        <v>3.68</v>
      </c>
      <c r="B852" s="6">
        <v>11</v>
      </c>
      <c r="C852" s="8">
        <v>24.519574469999998</v>
      </c>
      <c r="D852" s="8">
        <v>0.366666667</v>
      </c>
      <c r="L852">
        <v>826</v>
      </c>
      <c r="M852">
        <v>2.8379530850701804</v>
      </c>
      <c r="N852">
        <v>-0.29795308507018037</v>
      </c>
    </row>
    <row r="853" spans="1:14" x14ac:dyDescent="0.25">
      <c r="A853" s="8">
        <v>3.06</v>
      </c>
      <c r="B853" s="6">
        <v>8</v>
      </c>
      <c r="C853" s="8">
        <v>18.898400290000001</v>
      </c>
      <c r="D853" s="8">
        <v>0.32</v>
      </c>
      <c r="L853">
        <v>827</v>
      </c>
      <c r="M853">
        <v>4.3978263180633697</v>
      </c>
      <c r="N853">
        <v>0.38217368193663059</v>
      </c>
    </row>
    <row r="854" spans="1:14" x14ac:dyDescent="0.25">
      <c r="A854" s="8">
        <v>2.4700000000000002</v>
      </c>
      <c r="B854" s="6">
        <v>7</v>
      </c>
      <c r="C854" s="8">
        <v>21.45773007</v>
      </c>
      <c r="D854" s="8">
        <v>0.17499999999999999</v>
      </c>
      <c r="L854">
        <v>828</v>
      </c>
      <c r="M854">
        <v>1.9973160472045035</v>
      </c>
      <c r="N854">
        <v>6.2683952795496545E-2</v>
      </c>
    </row>
    <row r="855" spans="1:14" x14ac:dyDescent="0.25">
      <c r="A855" s="8">
        <v>3.39</v>
      </c>
      <c r="B855" s="6">
        <v>10</v>
      </c>
      <c r="C855" s="8">
        <v>23.81937069</v>
      </c>
      <c r="D855" s="8">
        <v>0.5</v>
      </c>
      <c r="L855">
        <v>829</v>
      </c>
      <c r="M855">
        <v>1.956146187913997</v>
      </c>
      <c r="N855">
        <v>-0.29614618791399705</v>
      </c>
    </row>
    <row r="856" spans="1:14" x14ac:dyDescent="0.25">
      <c r="A856" s="8">
        <v>3.26</v>
      </c>
      <c r="B856" s="6">
        <v>8</v>
      </c>
      <c r="C856" s="8">
        <v>20.73718878</v>
      </c>
      <c r="D856" s="8">
        <v>0.4</v>
      </c>
      <c r="L856">
        <v>830</v>
      </c>
      <c r="M856">
        <v>3.2944755050789269</v>
      </c>
      <c r="N856">
        <v>0.395524494921073</v>
      </c>
    </row>
    <row r="857" spans="1:14" x14ac:dyDescent="0.25">
      <c r="A857" s="8">
        <v>2.91</v>
      </c>
      <c r="B857" s="6">
        <v>6</v>
      </c>
      <c r="C857" s="8">
        <v>26.151751619999999</v>
      </c>
      <c r="D857" s="8">
        <v>0.24</v>
      </c>
      <c r="L857">
        <v>831</v>
      </c>
      <c r="M857">
        <v>4.723664926638234</v>
      </c>
      <c r="N857">
        <v>-0.31366492663823387</v>
      </c>
    </row>
    <row r="858" spans="1:14" x14ac:dyDescent="0.25">
      <c r="A858" s="8">
        <v>2.73</v>
      </c>
      <c r="B858" s="6">
        <v>7</v>
      </c>
      <c r="C858" s="8">
        <v>22.505328070000001</v>
      </c>
      <c r="D858" s="8">
        <v>0.233333333</v>
      </c>
      <c r="L858">
        <v>832</v>
      </c>
      <c r="M858">
        <v>2.303847898181866</v>
      </c>
      <c r="N858">
        <v>-0.41384789818186607</v>
      </c>
    </row>
    <row r="859" spans="1:14" x14ac:dyDescent="0.25">
      <c r="A859" s="8">
        <v>4.01</v>
      </c>
      <c r="B859" s="6">
        <v>10</v>
      </c>
      <c r="C859" s="8">
        <v>19.907444160000001</v>
      </c>
      <c r="D859" s="8">
        <v>0.5</v>
      </c>
      <c r="L859">
        <v>833</v>
      </c>
      <c r="M859">
        <v>2.640707491598989</v>
      </c>
      <c r="N859">
        <v>-5.0707491598989129E-2</v>
      </c>
    </row>
    <row r="860" spans="1:14" x14ac:dyDescent="0.25">
      <c r="A860" s="8">
        <v>2.48</v>
      </c>
      <c r="B860" s="6">
        <v>8</v>
      </c>
      <c r="C860" s="8">
        <v>23.235414840000001</v>
      </c>
      <c r="D860" s="8">
        <v>0.26666666700000002</v>
      </c>
      <c r="L860">
        <v>834</v>
      </c>
      <c r="M860">
        <v>3.3236734490417761</v>
      </c>
      <c r="N860">
        <v>-0.44367344904177619</v>
      </c>
    </row>
    <row r="861" spans="1:14" x14ac:dyDescent="0.25">
      <c r="A861" s="8">
        <v>2.2599999999999998</v>
      </c>
      <c r="B861" s="6">
        <v>6</v>
      </c>
      <c r="C861" s="8">
        <v>22.30683084</v>
      </c>
      <c r="D861" s="8">
        <v>0.2</v>
      </c>
      <c r="L861">
        <v>835</v>
      </c>
      <c r="M861">
        <v>3.1753118870712482</v>
      </c>
      <c r="N861">
        <v>-0.40531188707124821</v>
      </c>
    </row>
    <row r="862" spans="1:14" x14ac:dyDescent="0.25">
      <c r="A862" s="8">
        <v>4.18</v>
      </c>
      <c r="B862" s="6">
        <v>14</v>
      </c>
      <c r="C862" s="8">
        <v>20.185413109999999</v>
      </c>
      <c r="D862" s="8">
        <v>0.56000000000000005</v>
      </c>
      <c r="L862">
        <v>836</v>
      </c>
      <c r="M862">
        <v>3.0412791862153448</v>
      </c>
      <c r="N862">
        <v>2.8720813784655075E-2</v>
      </c>
    </row>
    <row r="863" spans="1:14" x14ac:dyDescent="0.25">
      <c r="A863" s="8">
        <v>3.92</v>
      </c>
      <c r="B863" s="6">
        <v>12</v>
      </c>
      <c r="C863" s="8">
        <v>24.641845759999999</v>
      </c>
      <c r="D863" s="8">
        <v>0.48</v>
      </c>
      <c r="L863">
        <v>837</v>
      </c>
      <c r="M863">
        <v>2.6726522842901685</v>
      </c>
      <c r="N863">
        <v>-0.28265228429016842</v>
      </c>
    </row>
    <row r="864" spans="1:14" x14ac:dyDescent="0.25">
      <c r="A864" s="8">
        <v>4.59</v>
      </c>
      <c r="B864" s="6">
        <v>13</v>
      </c>
      <c r="C864" s="8">
        <v>25.146041990000001</v>
      </c>
      <c r="D864" s="8">
        <v>0.52</v>
      </c>
      <c r="L864">
        <v>838</v>
      </c>
      <c r="M864">
        <v>2.1610559404099936</v>
      </c>
      <c r="N864">
        <v>-4.1055940409993497E-2</v>
      </c>
    </row>
    <row r="865" spans="1:14" x14ac:dyDescent="0.25">
      <c r="A865" s="8">
        <v>2.81</v>
      </c>
      <c r="B865" s="6">
        <v>9</v>
      </c>
      <c r="C865" s="8">
        <v>21.901543719999999</v>
      </c>
      <c r="D865" s="8">
        <v>0.45</v>
      </c>
      <c r="L865">
        <v>839</v>
      </c>
      <c r="M865">
        <v>3.8301727555973968</v>
      </c>
      <c r="N865">
        <v>0.54982724440260311</v>
      </c>
    </row>
    <row r="866" spans="1:14" x14ac:dyDescent="0.25">
      <c r="A866" s="8">
        <v>2.38</v>
      </c>
      <c r="B866" s="6">
        <v>5</v>
      </c>
      <c r="C866" s="8">
        <v>25.8407597</v>
      </c>
      <c r="D866" s="8">
        <v>0.2</v>
      </c>
      <c r="L866">
        <v>840</v>
      </c>
      <c r="M866">
        <v>3.0465110121790175</v>
      </c>
      <c r="N866">
        <v>-0.29651101217901754</v>
      </c>
    </row>
    <row r="867" spans="1:14" x14ac:dyDescent="0.25">
      <c r="A867" s="8">
        <v>3.22</v>
      </c>
      <c r="B867" s="6">
        <v>9</v>
      </c>
      <c r="C867" s="8">
        <v>25.09696975</v>
      </c>
      <c r="D867" s="8">
        <v>0.22500000000000001</v>
      </c>
      <c r="L867">
        <v>841</v>
      </c>
      <c r="M867">
        <v>2.5359091598130084</v>
      </c>
      <c r="N867">
        <v>-0.56590915981300838</v>
      </c>
    </row>
    <row r="868" spans="1:14" x14ac:dyDescent="0.25">
      <c r="A868" s="8">
        <v>2.87</v>
      </c>
      <c r="B868" s="6">
        <v>8</v>
      </c>
      <c r="C868" s="8">
        <v>22.882334289999999</v>
      </c>
      <c r="D868" s="8">
        <v>0.2</v>
      </c>
      <c r="L868">
        <v>842</v>
      </c>
      <c r="M868">
        <v>2.9237281503492314</v>
      </c>
      <c r="N868">
        <v>-0.13372815034923136</v>
      </c>
    </row>
    <row r="869" spans="1:14" x14ac:dyDescent="0.25">
      <c r="A869" s="8">
        <v>2.31</v>
      </c>
      <c r="B869" s="6">
        <v>5</v>
      </c>
      <c r="C869" s="8">
        <v>24.28389426</v>
      </c>
      <c r="D869" s="8">
        <v>0.16666666699999999</v>
      </c>
      <c r="L869">
        <v>843</v>
      </c>
      <c r="M869">
        <v>2.2273448885609022</v>
      </c>
      <c r="N869">
        <v>0.28265511143909761</v>
      </c>
    </row>
    <row r="870" spans="1:14" x14ac:dyDescent="0.25">
      <c r="A870" s="8">
        <v>2.5</v>
      </c>
      <c r="B870" s="6">
        <v>6</v>
      </c>
      <c r="C870" s="8">
        <v>19.638209830000001</v>
      </c>
      <c r="D870" s="8">
        <v>0.15</v>
      </c>
      <c r="L870">
        <v>844</v>
      </c>
      <c r="M870">
        <v>4.1902290019632122</v>
      </c>
      <c r="N870">
        <v>-9.0229001963212596E-2</v>
      </c>
    </row>
    <row r="871" spans="1:14" x14ac:dyDescent="0.25">
      <c r="A871" s="8">
        <v>3.38</v>
      </c>
      <c r="B871" s="6">
        <v>11</v>
      </c>
      <c r="C871" s="8">
        <v>22.863409709999999</v>
      </c>
      <c r="D871" s="8">
        <v>0.55000000000000004</v>
      </c>
      <c r="L871">
        <v>845</v>
      </c>
      <c r="M871">
        <v>2.9892609438503759</v>
      </c>
      <c r="N871">
        <v>-4.9260943850375938E-2</v>
      </c>
    </row>
    <row r="872" spans="1:14" x14ac:dyDescent="0.25">
      <c r="A872" s="8">
        <v>2.57</v>
      </c>
      <c r="B872" s="6">
        <v>5</v>
      </c>
      <c r="C872" s="8">
        <v>20.472238340000001</v>
      </c>
      <c r="D872" s="8">
        <v>0.16666666699999999</v>
      </c>
      <c r="L872">
        <v>846</v>
      </c>
      <c r="M872">
        <v>2.3324571186127034</v>
      </c>
      <c r="N872">
        <v>-0.2624571186127036</v>
      </c>
    </row>
    <row r="873" spans="1:14" x14ac:dyDescent="0.25">
      <c r="A873" s="8">
        <v>2.5099999999999998</v>
      </c>
      <c r="B873" s="6">
        <v>8</v>
      </c>
      <c r="C873" s="8">
        <v>22.082246309999999</v>
      </c>
      <c r="D873" s="8">
        <v>0.2</v>
      </c>
      <c r="L873">
        <v>847</v>
      </c>
      <c r="M873">
        <v>2.9707661036001287</v>
      </c>
      <c r="N873">
        <v>-0.2307661036001285</v>
      </c>
    </row>
    <row r="874" spans="1:14" x14ac:dyDescent="0.25">
      <c r="A874" s="8">
        <v>3.69</v>
      </c>
      <c r="B874" s="6">
        <v>11</v>
      </c>
      <c r="C874" s="8">
        <v>21.835877329999999</v>
      </c>
      <c r="D874" s="8">
        <v>0.27500000000000002</v>
      </c>
      <c r="L874">
        <v>848</v>
      </c>
      <c r="M874">
        <v>3.4281493040096933</v>
      </c>
      <c r="N874">
        <v>-0.15814930400969329</v>
      </c>
    </row>
    <row r="875" spans="1:14" x14ac:dyDescent="0.25">
      <c r="A875" s="8">
        <v>2.57</v>
      </c>
      <c r="B875" s="6">
        <v>5</v>
      </c>
      <c r="C875" s="8">
        <v>25.571164469999999</v>
      </c>
      <c r="D875" s="8">
        <v>0.25</v>
      </c>
      <c r="L875">
        <v>849</v>
      </c>
      <c r="M875">
        <v>2.9839983621976085</v>
      </c>
      <c r="N875">
        <v>-0.40399836219760843</v>
      </c>
    </row>
    <row r="876" spans="1:14" x14ac:dyDescent="0.25">
      <c r="A876" s="8">
        <v>3.78</v>
      </c>
      <c r="B876" s="6">
        <v>10</v>
      </c>
      <c r="C876" s="8">
        <v>22.584831309999998</v>
      </c>
      <c r="D876" s="8">
        <v>0.5</v>
      </c>
      <c r="L876">
        <v>850</v>
      </c>
      <c r="M876">
        <v>2.4422583397959365</v>
      </c>
      <c r="N876">
        <v>-0.1222583397959367</v>
      </c>
    </row>
    <row r="877" spans="1:14" x14ac:dyDescent="0.25">
      <c r="A877" s="8">
        <v>3.21</v>
      </c>
      <c r="B877" s="6">
        <v>10</v>
      </c>
      <c r="C877" s="8">
        <v>23.777637819999999</v>
      </c>
      <c r="D877" s="8">
        <v>0.4</v>
      </c>
      <c r="L877">
        <v>851</v>
      </c>
      <c r="M877">
        <v>3.8779639326239508</v>
      </c>
      <c r="N877">
        <v>-0.19796393262395062</v>
      </c>
    </row>
    <row r="878" spans="1:14" x14ac:dyDescent="0.25">
      <c r="A878" s="8">
        <v>3.48</v>
      </c>
      <c r="B878" s="6">
        <v>11</v>
      </c>
      <c r="C878" s="8">
        <v>22.450712500000002</v>
      </c>
      <c r="D878" s="8">
        <v>0.55000000000000004</v>
      </c>
      <c r="L878">
        <v>852</v>
      </c>
      <c r="M878">
        <v>2.8279092444915137</v>
      </c>
      <c r="N878">
        <v>0.23209075550848635</v>
      </c>
    </row>
    <row r="879" spans="1:14" x14ac:dyDescent="0.25">
      <c r="A879" s="8">
        <v>1.75</v>
      </c>
      <c r="B879" s="6">
        <v>3</v>
      </c>
      <c r="C879" s="8">
        <v>21.621776400000002</v>
      </c>
      <c r="D879" s="8">
        <v>7.4999999999999997E-2</v>
      </c>
      <c r="L879">
        <v>853</v>
      </c>
      <c r="M879">
        <v>2.7315065659607392</v>
      </c>
      <c r="N879">
        <v>-0.26150656596073896</v>
      </c>
    </row>
    <row r="880" spans="1:14" x14ac:dyDescent="0.25">
      <c r="A880" s="8">
        <v>3.08</v>
      </c>
      <c r="B880" s="6">
        <v>10</v>
      </c>
      <c r="C880" s="8">
        <v>24.050614929999998</v>
      </c>
      <c r="D880" s="8">
        <v>0.33333333300000001</v>
      </c>
      <c r="L880">
        <v>854</v>
      </c>
      <c r="M880">
        <v>3.5950829696327595</v>
      </c>
      <c r="N880">
        <v>-0.2050829696327594</v>
      </c>
    </row>
    <row r="881" spans="1:14" x14ac:dyDescent="0.25">
      <c r="A881" s="8">
        <v>2.95</v>
      </c>
      <c r="B881" s="6">
        <v>7</v>
      </c>
      <c r="C881" s="8">
        <v>24.819566689999998</v>
      </c>
      <c r="D881" s="8">
        <v>0.17499999999999999</v>
      </c>
      <c r="L881">
        <v>855</v>
      </c>
      <c r="M881">
        <v>2.9331065424450165</v>
      </c>
      <c r="N881">
        <v>0.32689345755498334</v>
      </c>
    </row>
    <row r="882" spans="1:14" x14ac:dyDescent="0.25">
      <c r="A882" s="8">
        <v>3.22</v>
      </c>
      <c r="B882" s="6">
        <v>8</v>
      </c>
      <c r="C882" s="8">
        <v>20.112148909999998</v>
      </c>
      <c r="D882" s="8">
        <v>0.4</v>
      </c>
      <c r="L882">
        <v>856</v>
      </c>
      <c r="M882">
        <v>2.7572298455751456</v>
      </c>
      <c r="N882">
        <v>0.15277015442485453</v>
      </c>
    </row>
    <row r="883" spans="1:14" x14ac:dyDescent="0.25">
      <c r="A883" s="8">
        <v>3.82</v>
      </c>
      <c r="B883" s="6">
        <v>12</v>
      </c>
      <c r="C883" s="8">
        <v>21.671235419999999</v>
      </c>
      <c r="D883" s="8">
        <v>0.4</v>
      </c>
      <c r="L883">
        <v>857</v>
      </c>
      <c r="M883">
        <v>2.791439766293907</v>
      </c>
      <c r="N883">
        <v>-6.1439766293907017E-2</v>
      </c>
    </row>
    <row r="884" spans="1:14" x14ac:dyDescent="0.25">
      <c r="A884" s="8">
        <v>3.18</v>
      </c>
      <c r="B884" s="6">
        <v>10</v>
      </c>
      <c r="C884" s="8">
        <v>21.881672330000001</v>
      </c>
      <c r="D884" s="8">
        <v>0.5</v>
      </c>
      <c r="L884">
        <v>858</v>
      </c>
      <c r="M884">
        <v>3.371281209404958</v>
      </c>
      <c r="N884">
        <v>0.63871879059504177</v>
      </c>
    </row>
    <row r="885" spans="1:14" x14ac:dyDescent="0.25">
      <c r="A885" s="8">
        <v>3.61</v>
      </c>
      <c r="B885" s="6">
        <v>12</v>
      </c>
      <c r="C885" s="8">
        <v>21.54254121</v>
      </c>
      <c r="D885" s="8">
        <v>0.6</v>
      </c>
      <c r="L885">
        <v>859</v>
      </c>
      <c r="M885">
        <v>3.0760303385304617</v>
      </c>
      <c r="N885">
        <v>-0.59603033853046172</v>
      </c>
    </row>
    <row r="886" spans="1:14" x14ac:dyDescent="0.25">
      <c r="A886" s="8">
        <v>2.4900000000000002</v>
      </c>
      <c r="B886" s="6">
        <v>4</v>
      </c>
      <c r="C886" s="8">
        <v>22.854284620000001</v>
      </c>
      <c r="D886" s="8">
        <v>0.16</v>
      </c>
      <c r="L886">
        <v>860</v>
      </c>
      <c r="M886">
        <v>2.5372614919004537</v>
      </c>
      <c r="N886">
        <v>-0.2772614919004539</v>
      </c>
    </row>
    <row r="887" spans="1:14" x14ac:dyDescent="0.25">
      <c r="A887" s="8">
        <v>2</v>
      </c>
      <c r="B887" s="6">
        <v>4</v>
      </c>
      <c r="C887" s="8">
        <v>23.918360329999999</v>
      </c>
      <c r="D887" s="8">
        <v>0.133333333</v>
      </c>
      <c r="L887">
        <v>861</v>
      </c>
      <c r="M887">
        <v>4.3584727460003014</v>
      </c>
      <c r="N887">
        <v>-0.17847274600030172</v>
      </c>
    </row>
    <row r="888" spans="1:14" x14ac:dyDescent="0.25">
      <c r="A888" s="8">
        <v>4.54</v>
      </c>
      <c r="B888" s="6">
        <v>11</v>
      </c>
      <c r="C888" s="8">
        <v>24.736888619999998</v>
      </c>
      <c r="D888" s="8">
        <v>0.366666667</v>
      </c>
      <c r="L888">
        <v>862</v>
      </c>
      <c r="M888">
        <v>4.1277813123492173</v>
      </c>
      <c r="N888">
        <v>-0.20778131234921737</v>
      </c>
    </row>
    <row r="889" spans="1:14" x14ac:dyDescent="0.25">
      <c r="A889" s="8">
        <v>3.49</v>
      </c>
      <c r="B889" s="6">
        <v>10</v>
      </c>
      <c r="C889" s="8">
        <v>22.423874399999999</v>
      </c>
      <c r="D889" s="8">
        <v>0.33333333300000001</v>
      </c>
      <c r="L889">
        <v>863</v>
      </c>
      <c r="M889">
        <v>4.3994486611859678</v>
      </c>
      <c r="N889">
        <v>0.19055133881403208</v>
      </c>
    </row>
    <row r="890" spans="1:14" x14ac:dyDescent="0.25">
      <c r="A890" s="8">
        <v>3.13</v>
      </c>
      <c r="B890" s="6">
        <v>5</v>
      </c>
      <c r="C890" s="8">
        <v>27.241987129999998</v>
      </c>
      <c r="D890" s="8">
        <v>0.25</v>
      </c>
      <c r="L890">
        <v>864</v>
      </c>
      <c r="M890">
        <v>3.2425416459148568</v>
      </c>
      <c r="N890">
        <v>-0.43254164591485678</v>
      </c>
    </row>
    <row r="891" spans="1:14" x14ac:dyDescent="0.25">
      <c r="A891" s="8">
        <v>3.41</v>
      </c>
      <c r="B891" s="6">
        <v>9</v>
      </c>
      <c r="C891" s="8">
        <v>19.74975748</v>
      </c>
      <c r="D891" s="8">
        <v>0.45</v>
      </c>
      <c r="L891">
        <v>865</v>
      </c>
      <c r="M891">
        <v>2.4966157372146665</v>
      </c>
      <c r="N891">
        <v>-0.11661573721466656</v>
      </c>
    </row>
    <row r="892" spans="1:14" x14ac:dyDescent="0.25">
      <c r="A892" s="8">
        <v>3</v>
      </c>
      <c r="B892" s="6">
        <v>8</v>
      </c>
      <c r="C892" s="8">
        <v>25.96891819</v>
      </c>
      <c r="D892" s="8">
        <v>0.4</v>
      </c>
      <c r="L892">
        <v>866</v>
      </c>
      <c r="M892">
        <v>3.4253523313169003</v>
      </c>
      <c r="N892">
        <v>-0.20535233131690012</v>
      </c>
    </row>
    <row r="893" spans="1:14" x14ac:dyDescent="0.25">
      <c r="A893" s="8">
        <v>2.73</v>
      </c>
      <c r="B893" s="6">
        <v>7</v>
      </c>
      <c r="C893" s="8">
        <v>22.479160929999999</v>
      </c>
      <c r="D893" s="8">
        <v>0.233333333</v>
      </c>
      <c r="L893">
        <v>867</v>
      </c>
      <c r="M893">
        <v>3.0558305602406071</v>
      </c>
      <c r="N893">
        <v>-0.18583056024060696</v>
      </c>
    </row>
    <row r="894" spans="1:14" x14ac:dyDescent="0.25">
      <c r="A894" s="8">
        <v>2.68</v>
      </c>
      <c r="B894" s="6">
        <v>8</v>
      </c>
      <c r="C894" s="8">
        <v>22.152618570000001</v>
      </c>
      <c r="D894" s="8">
        <v>0.2</v>
      </c>
      <c r="L894">
        <v>868</v>
      </c>
      <c r="M894">
        <v>2.4075472889097771</v>
      </c>
      <c r="N894">
        <v>-9.7547288909777041E-2</v>
      </c>
    </row>
    <row r="895" spans="1:14" x14ac:dyDescent="0.25">
      <c r="A895" s="8">
        <v>2.75</v>
      </c>
      <c r="B895" s="6">
        <v>6</v>
      </c>
      <c r="C895" s="8">
        <v>24.729698450000001</v>
      </c>
      <c r="D895" s="8">
        <v>0.2</v>
      </c>
      <c r="L895">
        <v>869</v>
      </c>
      <c r="M895">
        <v>2.3845893814099495</v>
      </c>
      <c r="N895">
        <v>0.11541061859005053</v>
      </c>
    </row>
    <row r="896" spans="1:14" x14ac:dyDescent="0.25">
      <c r="A896" s="8">
        <v>3.86</v>
      </c>
      <c r="B896" s="6">
        <v>9</v>
      </c>
      <c r="C896" s="8">
        <v>26.620605220000002</v>
      </c>
      <c r="D896" s="8">
        <v>0.45</v>
      </c>
      <c r="L896">
        <v>870</v>
      </c>
      <c r="M896">
        <v>3.7832145589655308</v>
      </c>
      <c r="N896">
        <v>-0.40321455896553093</v>
      </c>
    </row>
    <row r="897" spans="1:14" x14ac:dyDescent="0.25">
      <c r="A897" s="8">
        <v>3.54</v>
      </c>
      <c r="B897" s="6">
        <v>10</v>
      </c>
      <c r="C897" s="8">
        <v>21.94216724</v>
      </c>
      <c r="D897" s="8">
        <v>0.5</v>
      </c>
      <c r="L897">
        <v>871</v>
      </c>
      <c r="M897">
        <v>2.1894820216465085</v>
      </c>
      <c r="N897">
        <v>0.38051797835349133</v>
      </c>
    </row>
    <row r="898" spans="1:14" x14ac:dyDescent="0.25">
      <c r="A898" s="8">
        <v>3.47</v>
      </c>
      <c r="B898" s="6">
        <v>9</v>
      </c>
      <c r="C898" s="8">
        <v>20.899124740000001</v>
      </c>
      <c r="D898" s="8">
        <v>0.36</v>
      </c>
      <c r="L898">
        <v>872</v>
      </c>
      <c r="M898">
        <v>3.0100574362087746</v>
      </c>
      <c r="N898">
        <v>-0.50005743620877485</v>
      </c>
    </row>
    <row r="899" spans="1:14" x14ac:dyDescent="0.25">
      <c r="A899" s="8">
        <v>2.5</v>
      </c>
      <c r="B899" s="6">
        <v>3</v>
      </c>
      <c r="C899" s="8">
        <v>23.08379184</v>
      </c>
      <c r="D899" s="8">
        <v>0.15</v>
      </c>
      <c r="L899">
        <v>873</v>
      </c>
      <c r="M899">
        <v>3.724429315027153</v>
      </c>
      <c r="N899">
        <v>-3.4429315027153073E-2</v>
      </c>
    </row>
    <row r="900" spans="1:14" x14ac:dyDescent="0.25">
      <c r="A900" s="8">
        <v>2.4900000000000002</v>
      </c>
      <c r="B900" s="6">
        <v>9</v>
      </c>
      <c r="C900" s="8">
        <v>22.038851170000001</v>
      </c>
      <c r="D900" s="8">
        <v>0.36</v>
      </c>
      <c r="L900">
        <v>874</v>
      </c>
      <c r="M900">
        <v>2.4811921635457055</v>
      </c>
      <c r="N900">
        <v>8.8807836454294353E-2</v>
      </c>
    </row>
    <row r="901" spans="1:14" x14ac:dyDescent="0.25">
      <c r="A901" s="8">
        <v>3.59</v>
      </c>
      <c r="B901" s="6">
        <v>10</v>
      </c>
      <c r="C901" s="8">
        <v>24.327682719999999</v>
      </c>
      <c r="D901" s="8">
        <v>0.25</v>
      </c>
      <c r="L901">
        <v>875</v>
      </c>
      <c r="M901">
        <v>3.52445483175857</v>
      </c>
      <c r="N901">
        <v>0.25554516824142981</v>
      </c>
    </row>
    <row r="902" spans="1:14" x14ac:dyDescent="0.25">
      <c r="A902" s="8">
        <v>1.87</v>
      </c>
      <c r="B902" s="6">
        <v>5</v>
      </c>
      <c r="C902" s="8">
        <v>23.14548666</v>
      </c>
      <c r="D902" s="8">
        <v>0.125</v>
      </c>
      <c r="L902">
        <v>876</v>
      </c>
      <c r="M902">
        <v>3.5926954274093226</v>
      </c>
      <c r="N902">
        <v>-0.38269542740932261</v>
      </c>
    </row>
    <row r="903" spans="1:14" x14ac:dyDescent="0.25">
      <c r="A903" s="8">
        <v>2.4300000000000002</v>
      </c>
      <c r="B903" s="6">
        <v>6</v>
      </c>
      <c r="C903" s="8">
        <v>24.75802831</v>
      </c>
      <c r="D903" s="8">
        <v>0.24</v>
      </c>
      <c r="L903">
        <v>877</v>
      </c>
      <c r="M903">
        <v>3.7596041047990765</v>
      </c>
      <c r="N903">
        <v>-0.27960410479907649</v>
      </c>
    </row>
    <row r="904" spans="1:14" x14ac:dyDescent="0.25">
      <c r="A904" s="8">
        <v>3.32</v>
      </c>
      <c r="B904" s="6">
        <v>9</v>
      </c>
      <c r="C904" s="8">
        <v>19.939441729999999</v>
      </c>
      <c r="D904" s="8">
        <v>0.3</v>
      </c>
      <c r="L904">
        <v>878</v>
      </c>
      <c r="M904">
        <v>1.7696027736399755</v>
      </c>
      <c r="N904">
        <v>-1.9602773639975535E-2</v>
      </c>
    </row>
    <row r="905" spans="1:14" x14ac:dyDescent="0.25">
      <c r="A905" s="8">
        <v>1.86</v>
      </c>
      <c r="B905" s="6">
        <v>6</v>
      </c>
      <c r="C905" s="8">
        <v>22.011596900000001</v>
      </c>
      <c r="D905" s="8">
        <v>0.3</v>
      </c>
      <c r="L905">
        <v>879</v>
      </c>
      <c r="M905">
        <v>3.6083124788164458</v>
      </c>
      <c r="N905">
        <v>-0.52831247881644572</v>
      </c>
    </row>
    <row r="906" spans="1:14" x14ac:dyDescent="0.25">
      <c r="A906" s="8">
        <v>2.35</v>
      </c>
      <c r="B906" s="6">
        <v>8</v>
      </c>
      <c r="C906" s="8">
        <v>21.99115463</v>
      </c>
      <c r="D906" s="8">
        <v>0.32</v>
      </c>
      <c r="L906">
        <v>880</v>
      </c>
      <c r="M906">
        <v>2.9238376200805831</v>
      </c>
      <c r="N906">
        <v>2.6162379919417056E-2</v>
      </c>
    </row>
    <row r="907" spans="1:14" x14ac:dyDescent="0.25">
      <c r="A907" s="8">
        <v>4.13</v>
      </c>
      <c r="B907" s="6">
        <v>10</v>
      </c>
      <c r="C907" s="8">
        <v>28.361017740000001</v>
      </c>
      <c r="D907" s="8">
        <v>0.5</v>
      </c>
      <c r="L907">
        <v>881</v>
      </c>
      <c r="M907">
        <v>2.897347940629313</v>
      </c>
      <c r="N907">
        <v>0.32265205937068719</v>
      </c>
    </row>
    <row r="908" spans="1:14" x14ac:dyDescent="0.25">
      <c r="A908" s="8">
        <v>3.06</v>
      </c>
      <c r="B908" s="6">
        <v>7</v>
      </c>
      <c r="C908" s="8">
        <v>24.752426150000002</v>
      </c>
      <c r="D908" s="8">
        <v>0.233333333</v>
      </c>
      <c r="L908">
        <v>882</v>
      </c>
      <c r="M908">
        <v>3.9578323580566352</v>
      </c>
      <c r="N908">
        <v>-0.13783235805663541</v>
      </c>
    </row>
    <row r="909" spans="1:14" x14ac:dyDescent="0.25">
      <c r="A909" s="8">
        <v>3.39</v>
      </c>
      <c r="B909" s="6">
        <v>6</v>
      </c>
      <c r="C909" s="8">
        <v>26.200195690000001</v>
      </c>
      <c r="D909" s="8">
        <v>0.24</v>
      </c>
      <c r="L909">
        <v>883</v>
      </c>
      <c r="M909">
        <v>3.4842270268043745</v>
      </c>
      <c r="N909">
        <v>-0.3042270268043743</v>
      </c>
    </row>
    <row r="910" spans="1:14" x14ac:dyDescent="0.25">
      <c r="A910" s="8">
        <v>3.78</v>
      </c>
      <c r="B910" s="6">
        <v>12</v>
      </c>
      <c r="C910" s="8">
        <v>22.372542549999999</v>
      </c>
      <c r="D910" s="8">
        <v>0.6</v>
      </c>
      <c r="L910">
        <v>884</v>
      </c>
      <c r="M910">
        <v>3.950469747714072</v>
      </c>
      <c r="N910">
        <v>-0.34046974771407212</v>
      </c>
    </row>
    <row r="911" spans="1:14" x14ac:dyDescent="0.25">
      <c r="A911" s="8">
        <v>3.98</v>
      </c>
      <c r="B911" s="6">
        <v>13</v>
      </c>
      <c r="C911" s="8">
        <v>21.474289120000002</v>
      </c>
      <c r="D911" s="8">
        <v>0.52</v>
      </c>
      <c r="L911">
        <v>885</v>
      </c>
      <c r="M911">
        <v>2.0829369339843069</v>
      </c>
      <c r="N911">
        <v>0.40706306601569331</v>
      </c>
    </row>
    <row r="912" spans="1:14" x14ac:dyDescent="0.25">
      <c r="A912" s="8">
        <v>2.59</v>
      </c>
      <c r="B912" s="6">
        <v>8</v>
      </c>
      <c r="C912" s="8">
        <v>21.425927439999999</v>
      </c>
      <c r="D912" s="8">
        <v>0.32</v>
      </c>
      <c r="L912">
        <v>886</v>
      </c>
      <c r="M912">
        <v>2.143812825974448</v>
      </c>
      <c r="N912">
        <v>-0.143812825974448</v>
      </c>
    </row>
    <row r="913" spans="1:14" x14ac:dyDescent="0.25">
      <c r="A913" s="8">
        <v>3.5</v>
      </c>
      <c r="B913" s="6">
        <v>9</v>
      </c>
      <c r="C913" s="8">
        <v>24.089249150000001</v>
      </c>
      <c r="D913" s="8">
        <v>0.36</v>
      </c>
      <c r="L913">
        <v>887</v>
      </c>
      <c r="M913">
        <v>3.8903964997796554</v>
      </c>
      <c r="N913">
        <v>0.64960350022034463</v>
      </c>
    </row>
    <row r="914" spans="1:14" x14ac:dyDescent="0.25">
      <c r="A914" s="8">
        <v>2.73</v>
      </c>
      <c r="B914" s="6">
        <v>5</v>
      </c>
      <c r="C914" s="8">
        <v>22.134724970000001</v>
      </c>
      <c r="D914" s="8">
        <v>0.2</v>
      </c>
      <c r="L914">
        <v>888</v>
      </c>
      <c r="M914">
        <v>3.5152464686917853</v>
      </c>
      <c r="N914">
        <v>-2.524646869178504E-2</v>
      </c>
    </row>
    <row r="915" spans="1:14" x14ac:dyDescent="0.25">
      <c r="A915" s="8">
        <v>4.47</v>
      </c>
      <c r="B915" s="6">
        <v>12</v>
      </c>
      <c r="C915" s="8">
        <v>22.454679120000002</v>
      </c>
      <c r="D915" s="8">
        <v>0.4</v>
      </c>
      <c r="L915">
        <v>889</v>
      </c>
      <c r="M915">
        <v>2.5767801173247089</v>
      </c>
      <c r="N915">
        <v>0.55321988267529099</v>
      </c>
    </row>
    <row r="916" spans="1:14" x14ac:dyDescent="0.25">
      <c r="A916" s="8">
        <v>4.67</v>
      </c>
      <c r="B916" s="6">
        <v>10</v>
      </c>
      <c r="C916" s="8">
        <v>29.754765840000001</v>
      </c>
      <c r="D916" s="8">
        <v>0.25</v>
      </c>
      <c r="L916">
        <v>890</v>
      </c>
      <c r="M916">
        <v>3.1194377112031892</v>
      </c>
      <c r="N916">
        <v>0.2905622887968109</v>
      </c>
    </row>
    <row r="917" spans="1:14" x14ac:dyDescent="0.25">
      <c r="A917" s="8">
        <v>4.07</v>
      </c>
      <c r="B917" s="6">
        <v>11</v>
      </c>
      <c r="C917" s="8">
        <v>21.962724009999999</v>
      </c>
      <c r="D917" s="8">
        <v>0.366666667</v>
      </c>
      <c r="L917">
        <v>891</v>
      </c>
      <c r="M917">
        <v>3.2324143750472709</v>
      </c>
      <c r="N917">
        <v>-0.23241437504727092</v>
      </c>
    </row>
    <row r="918" spans="1:14" x14ac:dyDescent="0.25">
      <c r="A918" s="8">
        <v>3.16</v>
      </c>
      <c r="B918" s="6">
        <v>7</v>
      </c>
      <c r="C918" s="8">
        <v>20.046685549999999</v>
      </c>
      <c r="D918" s="8">
        <v>0.17499999999999999</v>
      </c>
      <c r="L918">
        <v>892</v>
      </c>
      <c r="M918">
        <v>2.7899427412482636</v>
      </c>
      <c r="N918">
        <v>-5.9942741248263598E-2</v>
      </c>
    </row>
    <row r="919" spans="1:14" x14ac:dyDescent="0.25">
      <c r="A919" s="8">
        <v>1.85</v>
      </c>
      <c r="B919" s="6">
        <v>3</v>
      </c>
      <c r="C919" s="8">
        <v>20.752243190000002</v>
      </c>
      <c r="D919" s="8">
        <v>7.4999999999999997E-2</v>
      </c>
      <c r="L919">
        <v>893</v>
      </c>
      <c r="M919">
        <v>3.0140834411806035</v>
      </c>
      <c r="N919">
        <v>-0.33408344118060329</v>
      </c>
    </row>
    <row r="920" spans="1:14" x14ac:dyDescent="0.25">
      <c r="A920" s="8">
        <v>2.0699999999999998</v>
      </c>
      <c r="B920" s="6">
        <v>4</v>
      </c>
      <c r="C920" s="8">
        <v>25.054091700000001</v>
      </c>
      <c r="D920" s="8">
        <v>0.16</v>
      </c>
      <c r="L920">
        <v>894</v>
      </c>
      <c r="M920">
        <v>2.6758740225189479</v>
      </c>
      <c r="N920">
        <v>7.4125977481052097E-2</v>
      </c>
    </row>
    <row r="921" spans="1:14" x14ac:dyDescent="0.25">
      <c r="A921" s="8">
        <v>3.59</v>
      </c>
      <c r="B921" s="6">
        <v>8</v>
      </c>
      <c r="C921" s="8">
        <v>22.82325342</v>
      </c>
      <c r="D921" s="8">
        <v>0.2</v>
      </c>
      <c r="L921">
        <v>895</v>
      </c>
      <c r="M921">
        <v>3.5125196892712212</v>
      </c>
      <c r="N921">
        <v>0.34748031072877872</v>
      </c>
    </row>
    <row r="922" spans="1:14" x14ac:dyDescent="0.25">
      <c r="A922" s="8">
        <v>4.1900000000000004</v>
      </c>
      <c r="B922" s="6">
        <v>11</v>
      </c>
      <c r="C922" s="8">
        <v>24.662997730000001</v>
      </c>
      <c r="D922" s="8">
        <v>0.366666667</v>
      </c>
      <c r="L922">
        <v>896</v>
      </c>
      <c r="M922">
        <v>3.4876879474630305</v>
      </c>
      <c r="N922">
        <v>5.2312052536969578E-2</v>
      </c>
    </row>
    <row r="923" spans="1:14" x14ac:dyDescent="0.25">
      <c r="A923" s="8">
        <v>2.42</v>
      </c>
      <c r="B923" s="6">
        <v>6</v>
      </c>
      <c r="C923" s="8">
        <v>21.07110746</v>
      </c>
      <c r="D923" s="8">
        <v>0.2</v>
      </c>
      <c r="L923">
        <v>897</v>
      </c>
      <c r="M923">
        <v>3.1851931424372735</v>
      </c>
      <c r="N923">
        <v>0.28480685756272672</v>
      </c>
    </row>
    <row r="924" spans="1:14" x14ac:dyDescent="0.25">
      <c r="A924" s="8">
        <v>4.47</v>
      </c>
      <c r="B924" s="6">
        <v>12</v>
      </c>
      <c r="C924" s="8">
        <v>23.1315773</v>
      </c>
      <c r="D924" s="8">
        <v>0.6</v>
      </c>
      <c r="L924">
        <v>898</v>
      </c>
      <c r="M924">
        <v>1.8532448426928991</v>
      </c>
      <c r="N924">
        <v>0.64675515730710087</v>
      </c>
    </row>
    <row r="925" spans="1:14" x14ac:dyDescent="0.25">
      <c r="A925" s="8">
        <v>2.82</v>
      </c>
      <c r="B925" s="6">
        <v>6</v>
      </c>
      <c r="C925" s="8">
        <v>24.575862499999999</v>
      </c>
      <c r="D925" s="8">
        <v>0.2</v>
      </c>
      <c r="L925">
        <v>899</v>
      </c>
      <c r="M925">
        <v>3.250397020694197</v>
      </c>
      <c r="N925">
        <v>-0.76039702069419679</v>
      </c>
    </row>
    <row r="926" spans="1:14" x14ac:dyDescent="0.25">
      <c r="A926" s="8">
        <v>5.88</v>
      </c>
      <c r="B926" s="6">
        <v>15</v>
      </c>
      <c r="C926" s="8">
        <v>25.80220813</v>
      </c>
      <c r="D926" s="8">
        <v>0.75</v>
      </c>
      <c r="L926">
        <v>900</v>
      </c>
      <c r="M926">
        <v>3.6241635584900784</v>
      </c>
      <c r="N926">
        <v>-3.4163558490078572E-2</v>
      </c>
    </row>
    <row r="927" spans="1:14" x14ac:dyDescent="0.25">
      <c r="A927" s="8">
        <v>3.31</v>
      </c>
      <c r="B927" s="6">
        <v>8</v>
      </c>
      <c r="C927" s="8">
        <v>23.85752252</v>
      </c>
      <c r="D927" s="8">
        <v>0.2</v>
      </c>
      <c r="L927">
        <v>901</v>
      </c>
      <c r="M927">
        <v>2.3424188610666534</v>
      </c>
      <c r="N927">
        <v>-0.47241886106665332</v>
      </c>
    </row>
    <row r="928" spans="1:14" x14ac:dyDescent="0.25">
      <c r="A928" s="8">
        <v>2.78</v>
      </c>
      <c r="B928" s="6">
        <v>8</v>
      </c>
      <c r="C928" s="8">
        <v>24.17840026</v>
      </c>
      <c r="D928" s="8">
        <v>0.26666666700000002</v>
      </c>
      <c r="L928">
        <v>902</v>
      </c>
      <c r="M928">
        <v>2.6774947770209523</v>
      </c>
      <c r="N928">
        <v>-0.24749477702095213</v>
      </c>
    </row>
    <row r="929" spans="1:14" x14ac:dyDescent="0.25">
      <c r="A929" s="8">
        <v>3.24</v>
      </c>
      <c r="B929" s="6">
        <v>11</v>
      </c>
      <c r="C929" s="8">
        <v>22.073164859999999</v>
      </c>
      <c r="D929" s="8">
        <v>0.55000000000000004</v>
      </c>
      <c r="L929">
        <v>903</v>
      </c>
      <c r="M929">
        <v>3.1302895686478354</v>
      </c>
      <c r="N929">
        <v>0.18971043135216448</v>
      </c>
    </row>
    <row r="930" spans="1:14" x14ac:dyDescent="0.25">
      <c r="A930" s="8">
        <v>4.03</v>
      </c>
      <c r="B930" s="6">
        <v>12</v>
      </c>
      <c r="C930" s="8">
        <v>23.79182844</v>
      </c>
      <c r="D930" s="8">
        <v>0.3</v>
      </c>
      <c r="L930">
        <v>904</v>
      </c>
      <c r="M930">
        <v>2.5203711247260503</v>
      </c>
      <c r="N930">
        <v>-0.6603711247260502</v>
      </c>
    </row>
    <row r="931" spans="1:14" x14ac:dyDescent="0.25">
      <c r="A931" s="8">
        <v>3.62</v>
      </c>
      <c r="B931" s="6">
        <v>9</v>
      </c>
      <c r="C931" s="8">
        <v>23.467730199999998</v>
      </c>
      <c r="D931" s="8">
        <v>0.3</v>
      </c>
      <c r="L931">
        <v>905</v>
      </c>
      <c r="M931">
        <v>3.0048460708700429</v>
      </c>
      <c r="N931">
        <v>-0.65484607087004276</v>
      </c>
    </row>
    <row r="932" spans="1:14" x14ac:dyDescent="0.25">
      <c r="A932" s="8">
        <v>3.3</v>
      </c>
      <c r="B932" s="6">
        <v>9</v>
      </c>
      <c r="C932" s="8">
        <v>20.88432676</v>
      </c>
      <c r="D932" s="8">
        <v>0.3</v>
      </c>
      <c r="L932">
        <v>906</v>
      </c>
      <c r="M932">
        <v>3.8549111121933519</v>
      </c>
      <c r="N932">
        <v>0.27508888780664797</v>
      </c>
    </row>
    <row r="933" spans="1:14" x14ac:dyDescent="0.25">
      <c r="A933" s="8">
        <v>1.71</v>
      </c>
      <c r="B933" s="6">
        <v>3</v>
      </c>
      <c r="C933" s="8">
        <v>22.87045548</v>
      </c>
      <c r="D933" s="8">
        <v>0.1</v>
      </c>
      <c r="L933">
        <v>907</v>
      </c>
      <c r="M933">
        <v>2.9199965021762946</v>
      </c>
      <c r="N933">
        <v>0.14000349782370547</v>
      </c>
    </row>
    <row r="934" spans="1:14" x14ac:dyDescent="0.25">
      <c r="A934" s="8">
        <v>1.82</v>
      </c>
      <c r="B934" s="6">
        <v>5</v>
      </c>
      <c r="C934" s="8">
        <v>21.803441329999998</v>
      </c>
      <c r="D934" s="8">
        <v>0.125</v>
      </c>
      <c r="L934">
        <v>908</v>
      </c>
      <c r="M934">
        <v>2.760001336311348</v>
      </c>
      <c r="N934">
        <v>0.62999866368865209</v>
      </c>
    </row>
    <row r="935" spans="1:14" x14ac:dyDescent="0.25">
      <c r="A935" s="8">
        <v>2.92</v>
      </c>
      <c r="B935" s="6">
        <v>8</v>
      </c>
      <c r="C935" s="8">
        <v>24.62893347</v>
      </c>
      <c r="D935" s="8">
        <v>0.2</v>
      </c>
      <c r="L935">
        <v>909</v>
      </c>
      <c r="M935">
        <v>3.9979542184624099</v>
      </c>
      <c r="N935">
        <v>-0.21795421846241014</v>
      </c>
    </row>
    <row r="936" spans="1:14" x14ac:dyDescent="0.25">
      <c r="A936" s="8">
        <v>3.21</v>
      </c>
      <c r="B936" s="6">
        <v>9</v>
      </c>
      <c r="C936" s="8">
        <v>20.5424477</v>
      </c>
      <c r="D936" s="8">
        <v>0.36</v>
      </c>
      <c r="L936">
        <v>910</v>
      </c>
      <c r="M936">
        <v>4.1893872632722697</v>
      </c>
      <c r="N936">
        <v>-0.20938726327226975</v>
      </c>
    </row>
    <row r="937" spans="1:14" x14ac:dyDescent="0.25">
      <c r="A937" s="8">
        <v>2.73</v>
      </c>
      <c r="B937" s="6">
        <v>8</v>
      </c>
      <c r="C937" s="8">
        <v>21.228572400000001</v>
      </c>
      <c r="D937" s="8">
        <v>0.2</v>
      </c>
      <c r="L937">
        <v>911</v>
      </c>
      <c r="M937">
        <v>2.9725093592573599</v>
      </c>
      <c r="N937">
        <v>-0.38250935925736007</v>
      </c>
    </row>
    <row r="938" spans="1:14" x14ac:dyDescent="0.25">
      <c r="A938" s="8">
        <v>2.25</v>
      </c>
      <c r="B938" s="6">
        <v>4</v>
      </c>
      <c r="C938" s="8">
        <v>23.675225189999999</v>
      </c>
      <c r="D938" s="8">
        <v>0.2</v>
      </c>
      <c r="L938">
        <v>912</v>
      </c>
      <c r="M938">
        <v>3.3677005215581377</v>
      </c>
      <c r="N938">
        <v>0.13229947844186229</v>
      </c>
    </row>
    <row r="939" spans="1:14" x14ac:dyDescent="0.25">
      <c r="A939" s="8">
        <v>3.89</v>
      </c>
      <c r="B939" s="6">
        <v>10</v>
      </c>
      <c r="C939" s="8">
        <v>22.848657849999999</v>
      </c>
      <c r="D939" s="8">
        <v>0.25</v>
      </c>
      <c r="L939">
        <v>913</v>
      </c>
      <c r="M939">
        <v>2.2845930702042603</v>
      </c>
      <c r="N939">
        <v>0.4454069297957397</v>
      </c>
    </row>
    <row r="940" spans="1:14" x14ac:dyDescent="0.25">
      <c r="A940" s="8">
        <v>2.81</v>
      </c>
      <c r="B940" s="6">
        <v>6</v>
      </c>
      <c r="C940" s="8">
        <v>24.996232979999998</v>
      </c>
      <c r="D940" s="8">
        <v>0.2</v>
      </c>
      <c r="L940">
        <v>914</v>
      </c>
      <c r="M940">
        <v>4.0026532609429122</v>
      </c>
      <c r="N940">
        <v>0.46734673905708757</v>
      </c>
    </row>
    <row r="941" spans="1:14" x14ac:dyDescent="0.25">
      <c r="A941" s="8">
        <v>2.88</v>
      </c>
      <c r="B941" s="6">
        <v>7</v>
      </c>
      <c r="C941" s="8">
        <v>20.827216239999998</v>
      </c>
      <c r="D941" s="8">
        <v>0.35</v>
      </c>
      <c r="L941">
        <v>915</v>
      </c>
      <c r="M941">
        <v>3.9346475989862553</v>
      </c>
      <c r="N941">
        <v>0.73535240101374466</v>
      </c>
    </row>
    <row r="942" spans="1:14" x14ac:dyDescent="0.25">
      <c r="A942" s="8">
        <v>3.5</v>
      </c>
      <c r="B942" s="6">
        <v>8</v>
      </c>
      <c r="C942" s="8">
        <v>19.440249779999998</v>
      </c>
      <c r="D942" s="8">
        <v>0.2</v>
      </c>
      <c r="L942">
        <v>916</v>
      </c>
      <c r="M942">
        <v>3.7316862279689849</v>
      </c>
      <c r="N942">
        <v>0.33831377203101543</v>
      </c>
    </row>
    <row r="943" spans="1:14" x14ac:dyDescent="0.25">
      <c r="A943" s="8">
        <v>2.76</v>
      </c>
      <c r="B943" s="6">
        <v>7</v>
      </c>
      <c r="C943" s="8">
        <v>25.096407939999999</v>
      </c>
      <c r="D943" s="8">
        <v>0.233333333</v>
      </c>
      <c r="L943">
        <v>917</v>
      </c>
      <c r="M943">
        <v>2.6507805490189558</v>
      </c>
      <c r="N943">
        <v>0.50921945098104437</v>
      </c>
    </row>
    <row r="944" spans="1:14" x14ac:dyDescent="0.25">
      <c r="A944" s="8">
        <v>3.56</v>
      </c>
      <c r="B944" s="6">
        <v>9</v>
      </c>
      <c r="C944" s="8">
        <v>21.14525399</v>
      </c>
      <c r="D944" s="8">
        <v>0.45</v>
      </c>
      <c r="L944">
        <v>918</v>
      </c>
      <c r="M944">
        <v>1.7198566801277004</v>
      </c>
      <c r="N944">
        <v>0.13014331987229966</v>
      </c>
    </row>
    <row r="945" spans="1:14" x14ac:dyDescent="0.25">
      <c r="A945" s="8">
        <v>2.67</v>
      </c>
      <c r="B945" s="6">
        <v>7</v>
      </c>
      <c r="C945" s="8">
        <v>22.352182289999998</v>
      </c>
      <c r="D945" s="8">
        <v>0.28000000000000003</v>
      </c>
      <c r="L945">
        <v>919</v>
      </c>
      <c r="M945">
        <v>2.2087881463959009</v>
      </c>
      <c r="N945">
        <v>-0.13878814639590109</v>
      </c>
    </row>
    <row r="946" spans="1:14" x14ac:dyDescent="0.25">
      <c r="A946" s="8">
        <v>3.26</v>
      </c>
      <c r="B946" s="6">
        <v>7</v>
      </c>
      <c r="C946" s="8">
        <v>23.960127239999998</v>
      </c>
      <c r="D946" s="8">
        <v>0.17499999999999999</v>
      </c>
      <c r="L946">
        <v>920</v>
      </c>
      <c r="M946">
        <v>3.0524505369706434</v>
      </c>
      <c r="N946">
        <v>0.53754946302935647</v>
      </c>
    </row>
    <row r="947" spans="1:14" x14ac:dyDescent="0.25">
      <c r="A947" s="8">
        <v>4.3</v>
      </c>
      <c r="B947" s="6">
        <v>11</v>
      </c>
      <c r="C947" s="8">
        <v>23.12157075</v>
      </c>
      <c r="D947" s="8">
        <v>0.55000000000000004</v>
      </c>
      <c r="L947">
        <v>921</v>
      </c>
      <c r="M947">
        <v>3.8861691935866638</v>
      </c>
      <c r="N947">
        <v>0.3038308064133366</v>
      </c>
    </row>
    <row r="948" spans="1:14" x14ac:dyDescent="0.25">
      <c r="A948" s="8">
        <v>2.08</v>
      </c>
      <c r="B948" s="6">
        <v>5</v>
      </c>
      <c r="C948" s="8">
        <v>20.34198473</v>
      </c>
      <c r="D948" s="8">
        <v>0.16666666699999999</v>
      </c>
      <c r="L948">
        <v>922</v>
      </c>
      <c r="M948">
        <v>2.4665656172520487</v>
      </c>
      <c r="N948">
        <v>-4.6565617252048774E-2</v>
      </c>
    </row>
    <row r="949" spans="1:14" x14ac:dyDescent="0.25">
      <c r="A949" s="8">
        <v>5.1100000000000003</v>
      </c>
      <c r="B949" s="6">
        <v>15</v>
      </c>
      <c r="C949" s="8">
        <v>18.291034150000002</v>
      </c>
      <c r="D949" s="8">
        <v>0.6</v>
      </c>
      <c r="L949">
        <v>923</v>
      </c>
      <c r="M949">
        <v>4.0413786825522484</v>
      </c>
      <c r="N949">
        <v>0.42862131744775134</v>
      </c>
    </row>
    <row r="950" spans="1:14" x14ac:dyDescent="0.25">
      <c r="A950" s="8">
        <v>3.41</v>
      </c>
      <c r="B950" s="6">
        <v>10</v>
      </c>
      <c r="C950" s="8">
        <v>21.265108009999999</v>
      </c>
      <c r="D950" s="8">
        <v>0.25</v>
      </c>
      <c r="L950">
        <v>924</v>
      </c>
      <c r="M950">
        <v>2.6670730503809779</v>
      </c>
      <c r="N950">
        <v>0.15292694961902198</v>
      </c>
    </row>
    <row r="951" spans="1:14" x14ac:dyDescent="0.25">
      <c r="A951" s="8">
        <v>2.82</v>
      </c>
      <c r="B951" s="6">
        <v>6</v>
      </c>
      <c r="C951" s="8">
        <v>19.761653890000002</v>
      </c>
      <c r="D951" s="8">
        <v>0.24</v>
      </c>
      <c r="L951">
        <v>925</v>
      </c>
      <c r="M951">
        <v>4.9226324511647483</v>
      </c>
      <c r="N951">
        <v>0.95736754883525155</v>
      </c>
    </row>
    <row r="952" spans="1:14" x14ac:dyDescent="0.25">
      <c r="A952" s="8">
        <v>2.65</v>
      </c>
      <c r="B952" s="6">
        <v>7</v>
      </c>
      <c r="C952" s="8">
        <v>25.909652350000002</v>
      </c>
      <c r="D952" s="8">
        <v>0.17499999999999999</v>
      </c>
      <c r="L952">
        <v>926</v>
      </c>
      <c r="M952">
        <v>3.1116211894238797</v>
      </c>
      <c r="N952">
        <v>0.19837881057612039</v>
      </c>
    </row>
    <row r="953" spans="1:14" x14ac:dyDescent="0.25">
      <c r="A953" s="8">
        <v>2.36</v>
      </c>
      <c r="B953" s="6">
        <v>6</v>
      </c>
      <c r="C953" s="8">
        <v>25.54551507</v>
      </c>
      <c r="D953" s="8">
        <v>0.15</v>
      </c>
      <c r="L953">
        <v>927</v>
      </c>
      <c r="M953">
        <v>3.1299786413032016</v>
      </c>
      <c r="N953">
        <v>-0.34997864130320178</v>
      </c>
    </row>
    <row r="954" spans="1:14" x14ac:dyDescent="0.25">
      <c r="A954" s="8">
        <v>1.1499999999999999</v>
      </c>
      <c r="B954" s="6">
        <v>3</v>
      </c>
      <c r="C954" s="8">
        <v>23.302315490000002</v>
      </c>
      <c r="D954" s="8">
        <v>7.4999999999999997E-2</v>
      </c>
      <c r="L954">
        <v>928</v>
      </c>
      <c r="M954">
        <v>3.7380045615167918</v>
      </c>
      <c r="N954">
        <v>-0.49800456151679162</v>
      </c>
    </row>
    <row r="955" spans="1:14" x14ac:dyDescent="0.25">
      <c r="A955" s="8">
        <v>3.41</v>
      </c>
      <c r="B955" s="6">
        <v>9</v>
      </c>
      <c r="C955" s="8">
        <v>20.733663010000001</v>
      </c>
      <c r="D955" s="8">
        <v>0.3</v>
      </c>
      <c r="L955">
        <v>929</v>
      </c>
      <c r="M955">
        <v>4.079151725116116</v>
      </c>
      <c r="N955">
        <v>-4.9151725116115763E-2</v>
      </c>
    </row>
    <row r="956" spans="1:14" x14ac:dyDescent="0.25">
      <c r="A956" s="8">
        <v>3.09</v>
      </c>
      <c r="B956" s="6">
        <v>8</v>
      </c>
      <c r="C956" s="8">
        <v>21.419965810000001</v>
      </c>
      <c r="D956" s="8">
        <v>0.26666666700000002</v>
      </c>
      <c r="L956">
        <v>930</v>
      </c>
      <c r="M956">
        <v>3.3321433519747572</v>
      </c>
      <c r="N956">
        <v>0.28785664802524291</v>
      </c>
    </row>
    <row r="957" spans="1:14" x14ac:dyDescent="0.25">
      <c r="A957" s="8">
        <v>4.5</v>
      </c>
      <c r="B957" s="6">
        <v>11</v>
      </c>
      <c r="C957" s="8">
        <v>26.030827630000001</v>
      </c>
      <c r="D957" s="8">
        <v>0.27500000000000002</v>
      </c>
      <c r="L957">
        <v>931</v>
      </c>
      <c r="M957">
        <v>3.1843465483240103</v>
      </c>
      <c r="N957">
        <v>0.1156534516759895</v>
      </c>
    </row>
    <row r="958" spans="1:14" x14ac:dyDescent="0.25">
      <c r="A958" s="8">
        <v>2.58</v>
      </c>
      <c r="B958" s="6">
        <v>6</v>
      </c>
      <c r="C958" s="8">
        <v>21.559714799999998</v>
      </c>
      <c r="D958" s="8">
        <v>0.3</v>
      </c>
      <c r="L958">
        <v>932</v>
      </c>
      <c r="M958">
        <v>1.8410398453540071</v>
      </c>
      <c r="N958">
        <v>-0.13103984535400715</v>
      </c>
    </row>
    <row r="959" spans="1:14" x14ac:dyDescent="0.25">
      <c r="A959" s="8">
        <v>3.19</v>
      </c>
      <c r="B959" s="6">
        <v>10</v>
      </c>
      <c r="C959" s="8">
        <v>23.493812129999998</v>
      </c>
      <c r="D959" s="8">
        <v>0.4</v>
      </c>
      <c r="L959">
        <v>933</v>
      </c>
      <c r="M959">
        <v>2.2656402956063504</v>
      </c>
      <c r="N959">
        <v>-0.44564029560635032</v>
      </c>
    </row>
    <row r="960" spans="1:14" x14ac:dyDescent="0.25">
      <c r="A960" s="8">
        <v>4.3099999999999996</v>
      </c>
      <c r="B960" s="6">
        <v>12</v>
      </c>
      <c r="C960" s="8">
        <v>24.93968173</v>
      </c>
      <c r="D960" s="8">
        <v>0.48</v>
      </c>
      <c r="L960">
        <v>934</v>
      </c>
      <c r="M960">
        <v>3.1557536973186533</v>
      </c>
      <c r="N960">
        <v>-0.23575369731865337</v>
      </c>
    </row>
    <row r="961" spans="1:14" x14ac:dyDescent="0.25">
      <c r="A961" s="8">
        <v>2.31</v>
      </c>
      <c r="B961" s="6">
        <v>4</v>
      </c>
      <c r="C961" s="8">
        <v>23.769932829999998</v>
      </c>
      <c r="D961" s="8">
        <v>0.1</v>
      </c>
      <c r="L961">
        <v>935</v>
      </c>
      <c r="M961">
        <v>3.1647876085468294</v>
      </c>
      <c r="N961">
        <v>4.5212391453170575E-2</v>
      </c>
    </row>
    <row r="962" spans="1:14" x14ac:dyDescent="0.25">
      <c r="A962" s="8">
        <v>3.81</v>
      </c>
      <c r="B962" s="6">
        <v>12</v>
      </c>
      <c r="C962" s="8">
        <v>22.343118530000002</v>
      </c>
      <c r="D962" s="8">
        <v>0.48</v>
      </c>
      <c r="L962">
        <v>936</v>
      </c>
      <c r="M962">
        <v>2.9612186550472712</v>
      </c>
      <c r="N962">
        <v>-0.23121865504727124</v>
      </c>
    </row>
    <row r="963" spans="1:14" x14ac:dyDescent="0.25">
      <c r="A963" s="8">
        <v>5.21</v>
      </c>
      <c r="B963" s="6">
        <v>16</v>
      </c>
      <c r="C963" s="8">
        <v>22.93087152</v>
      </c>
      <c r="D963" s="8">
        <v>0.53333333299999997</v>
      </c>
      <c r="L963">
        <v>937</v>
      </c>
      <c r="M963">
        <v>2.1299030370538388</v>
      </c>
      <c r="N963">
        <v>0.12009696294616123</v>
      </c>
    </row>
    <row r="964" spans="1:14" x14ac:dyDescent="0.25">
      <c r="A964" s="8">
        <v>2.5</v>
      </c>
      <c r="B964" s="6">
        <v>5</v>
      </c>
      <c r="C964" s="8">
        <v>26.1840498</v>
      </c>
      <c r="D964" s="8">
        <v>0.125</v>
      </c>
      <c r="L964">
        <v>938</v>
      </c>
      <c r="M964">
        <v>3.5395483780187069</v>
      </c>
      <c r="N964">
        <v>0.3504516219812932</v>
      </c>
    </row>
    <row r="965" spans="1:14" x14ac:dyDescent="0.25">
      <c r="A965" s="8">
        <v>3.56</v>
      </c>
      <c r="B965" s="6">
        <v>12</v>
      </c>
      <c r="C965" s="8">
        <v>20.185902939999998</v>
      </c>
      <c r="D965" s="8">
        <v>0.48</v>
      </c>
      <c r="L965">
        <v>939</v>
      </c>
      <c r="M965">
        <v>2.6911224931939559</v>
      </c>
      <c r="N965">
        <v>0.11887750680604414</v>
      </c>
    </row>
    <row r="966" spans="1:14" x14ac:dyDescent="0.25">
      <c r="A966" s="8">
        <v>2.19</v>
      </c>
      <c r="B966" s="6">
        <v>4</v>
      </c>
      <c r="C966" s="8">
        <v>24.288620999999999</v>
      </c>
      <c r="D966" s="8">
        <v>0.16</v>
      </c>
      <c r="L966">
        <v>940</v>
      </c>
      <c r="M966">
        <v>2.6954347982729212</v>
      </c>
      <c r="N966">
        <v>0.18456520172707869</v>
      </c>
    </row>
    <row r="967" spans="1:14" x14ac:dyDescent="0.25">
      <c r="A967" s="8">
        <v>1.86</v>
      </c>
      <c r="B967" s="6">
        <v>6</v>
      </c>
      <c r="C967" s="8">
        <v>23.236031929999999</v>
      </c>
      <c r="D967" s="8">
        <v>0.2</v>
      </c>
      <c r="L967">
        <v>941</v>
      </c>
      <c r="M967">
        <v>2.8589085152371574</v>
      </c>
      <c r="N967">
        <v>0.64109148476284261</v>
      </c>
    </row>
    <row r="968" spans="1:14" x14ac:dyDescent="0.25">
      <c r="A968" s="8">
        <v>2.48</v>
      </c>
      <c r="B968" s="6">
        <v>7</v>
      </c>
      <c r="C968" s="8">
        <v>21.701707630000001</v>
      </c>
      <c r="D968" s="8">
        <v>0.17499999999999999</v>
      </c>
      <c r="L968">
        <v>942</v>
      </c>
      <c r="M968">
        <v>2.9396757393751356</v>
      </c>
      <c r="N968">
        <v>-0.17967573937513581</v>
      </c>
    </row>
    <row r="969" spans="1:14" x14ac:dyDescent="0.25">
      <c r="A969" s="8">
        <v>3.48</v>
      </c>
      <c r="B969" s="6">
        <v>13</v>
      </c>
      <c r="C969" s="8">
        <v>22.28173396</v>
      </c>
      <c r="D969" s="8">
        <v>0.43333333299999999</v>
      </c>
      <c r="L969">
        <v>943</v>
      </c>
      <c r="M969">
        <v>3.199274224730388</v>
      </c>
      <c r="N969">
        <v>0.36072577526961203</v>
      </c>
    </row>
    <row r="970" spans="1:14" x14ac:dyDescent="0.25">
      <c r="A970" s="8">
        <v>3.85</v>
      </c>
      <c r="B970" s="6">
        <v>12</v>
      </c>
      <c r="C970" s="8">
        <v>24.942824720000001</v>
      </c>
      <c r="D970" s="8">
        <v>0.3</v>
      </c>
      <c r="L970">
        <v>944</v>
      </c>
      <c r="M970">
        <v>2.7826782788598727</v>
      </c>
      <c r="N970">
        <v>-0.1126782788598728</v>
      </c>
    </row>
    <row r="971" spans="1:14" x14ac:dyDescent="0.25">
      <c r="A971" s="8">
        <v>3.31</v>
      </c>
      <c r="B971" s="6">
        <v>8</v>
      </c>
      <c r="C971" s="8">
        <v>26.201125009999998</v>
      </c>
      <c r="D971" s="8">
        <v>0.26666666700000002</v>
      </c>
      <c r="L971">
        <v>945</v>
      </c>
      <c r="M971">
        <v>2.8746689917221122</v>
      </c>
      <c r="N971">
        <v>0.38533100827788758</v>
      </c>
    </row>
    <row r="972" spans="1:14" x14ac:dyDescent="0.25">
      <c r="A972" s="8">
        <v>2.75</v>
      </c>
      <c r="B972" s="6">
        <v>6</v>
      </c>
      <c r="C972" s="8">
        <v>25.314489099999999</v>
      </c>
      <c r="D972" s="8">
        <v>0.3</v>
      </c>
      <c r="L972">
        <v>946</v>
      </c>
      <c r="M972">
        <v>3.7979839813284402</v>
      </c>
      <c r="N972">
        <v>0.50201601867155965</v>
      </c>
    </row>
    <row r="973" spans="1:14" x14ac:dyDescent="0.25">
      <c r="A973" s="8">
        <v>4.45</v>
      </c>
      <c r="B973" s="6">
        <v>12</v>
      </c>
      <c r="C973" s="8">
        <v>22.271419810000001</v>
      </c>
      <c r="D973" s="8">
        <v>0.48</v>
      </c>
      <c r="L973">
        <v>947</v>
      </c>
      <c r="M973">
        <v>2.1820301978531758</v>
      </c>
      <c r="N973">
        <v>-0.10203019785317569</v>
      </c>
    </row>
    <row r="974" spans="1:14" x14ac:dyDescent="0.25">
      <c r="A974" s="8">
        <v>3.68</v>
      </c>
      <c r="B974" s="6">
        <v>8</v>
      </c>
      <c r="C974" s="8">
        <v>25.512394879999999</v>
      </c>
      <c r="D974" s="8">
        <v>0.4</v>
      </c>
      <c r="L974">
        <v>948</v>
      </c>
      <c r="M974">
        <v>4.4929173363204873</v>
      </c>
      <c r="N974">
        <v>0.61708266367951303</v>
      </c>
    </row>
    <row r="975" spans="1:14" x14ac:dyDescent="0.25">
      <c r="A975" s="8">
        <v>2.65</v>
      </c>
      <c r="B975" s="6">
        <v>7</v>
      </c>
      <c r="C975" s="8">
        <v>21.266230830000001</v>
      </c>
      <c r="D975" s="8">
        <v>0.28000000000000003</v>
      </c>
      <c r="L975">
        <v>949</v>
      </c>
      <c r="M975">
        <v>3.4489533121649387</v>
      </c>
      <c r="N975">
        <v>-3.8953312164938581E-2</v>
      </c>
    </row>
    <row r="976" spans="1:14" x14ac:dyDescent="0.25">
      <c r="A976" s="8">
        <v>5.3</v>
      </c>
      <c r="B976" s="6">
        <v>16</v>
      </c>
      <c r="C976" s="8">
        <v>20.541994280000001</v>
      </c>
      <c r="D976" s="8">
        <v>0.8</v>
      </c>
      <c r="L976">
        <v>950</v>
      </c>
      <c r="M976">
        <v>2.3916516300758688</v>
      </c>
      <c r="N976">
        <v>0.42834836992413106</v>
      </c>
    </row>
    <row r="977" spans="1:14" x14ac:dyDescent="0.25">
      <c r="A977" s="8">
        <v>2.59</v>
      </c>
      <c r="B977" s="6">
        <v>6</v>
      </c>
      <c r="C977" s="8">
        <v>22.026647350000001</v>
      </c>
      <c r="D977" s="8">
        <v>0.3</v>
      </c>
      <c r="L977">
        <v>951</v>
      </c>
      <c r="M977">
        <v>2.9862015442586491</v>
      </c>
      <c r="N977">
        <v>-0.33620154425864923</v>
      </c>
    </row>
    <row r="978" spans="1:14" x14ac:dyDescent="0.25">
      <c r="A978" s="8">
        <v>3.36</v>
      </c>
      <c r="B978" s="6">
        <v>10</v>
      </c>
      <c r="C978" s="8">
        <v>20.976437650000001</v>
      </c>
      <c r="D978" s="8">
        <v>0.33333333300000001</v>
      </c>
      <c r="L978">
        <v>952</v>
      </c>
      <c r="M978">
        <v>2.7225469838281411</v>
      </c>
      <c r="N978">
        <v>-0.36254698382814121</v>
      </c>
    </row>
    <row r="979" spans="1:14" x14ac:dyDescent="0.25">
      <c r="A979" s="8">
        <v>2.71</v>
      </c>
      <c r="B979" s="6">
        <v>8</v>
      </c>
      <c r="C979" s="8">
        <v>22.699063720000002</v>
      </c>
      <c r="D979" s="8">
        <v>0.32</v>
      </c>
      <c r="L979">
        <v>953</v>
      </c>
      <c r="M979">
        <v>1.8657466054807101</v>
      </c>
      <c r="N979">
        <v>-0.71574660548071023</v>
      </c>
    </row>
    <row r="980" spans="1:14" x14ac:dyDescent="0.25">
      <c r="A980" s="8">
        <v>3.3</v>
      </c>
      <c r="B980" s="6">
        <v>11</v>
      </c>
      <c r="C980" s="8">
        <v>23.089104330000001</v>
      </c>
      <c r="D980" s="8">
        <v>0.27500000000000002</v>
      </c>
      <c r="L980">
        <v>954</v>
      </c>
      <c r="M980">
        <v>3.1757270581076331</v>
      </c>
      <c r="N980">
        <v>0.23427294189236703</v>
      </c>
    </row>
    <row r="981" spans="1:14" x14ac:dyDescent="0.25">
      <c r="A981" s="8">
        <v>3.37</v>
      </c>
      <c r="B981" s="6">
        <v>8</v>
      </c>
      <c r="C981" s="8">
        <v>22.710822570000001</v>
      </c>
      <c r="D981" s="8">
        <v>0.4</v>
      </c>
      <c r="L981">
        <v>955</v>
      </c>
      <c r="M981">
        <v>2.9721682937292639</v>
      </c>
      <c r="N981">
        <v>0.11783170627073591</v>
      </c>
    </row>
    <row r="982" spans="1:14" x14ac:dyDescent="0.25">
      <c r="A982" s="8">
        <v>3.37</v>
      </c>
      <c r="B982" s="6">
        <v>9</v>
      </c>
      <c r="C982" s="8">
        <v>24.65377844</v>
      </c>
      <c r="D982" s="8">
        <v>0.36</v>
      </c>
      <c r="L982">
        <v>956</v>
      </c>
      <c r="M982">
        <v>3.964422897219543</v>
      </c>
      <c r="N982">
        <v>0.535577102780457</v>
      </c>
    </row>
    <row r="983" spans="1:14" x14ac:dyDescent="0.25">
      <c r="A983" s="8">
        <v>3.49</v>
      </c>
      <c r="B983" s="6">
        <v>10</v>
      </c>
      <c r="C983" s="8">
        <v>21.04675937</v>
      </c>
      <c r="D983" s="8">
        <v>0.4</v>
      </c>
      <c r="L983">
        <v>957</v>
      </c>
      <c r="M983">
        <v>2.4945188985607913</v>
      </c>
      <c r="N983">
        <v>8.5481101439208729E-2</v>
      </c>
    </row>
    <row r="984" spans="1:14" x14ac:dyDescent="0.25">
      <c r="A984" s="8">
        <v>2.72</v>
      </c>
      <c r="B984" s="6">
        <v>7</v>
      </c>
      <c r="C984" s="8">
        <v>22.553948640000002</v>
      </c>
      <c r="D984" s="8">
        <v>0.233333333</v>
      </c>
      <c r="L984">
        <v>958</v>
      </c>
      <c r="M984">
        <v>3.5764577275106308</v>
      </c>
      <c r="N984">
        <v>-0.3864577275106309</v>
      </c>
    </row>
    <row r="985" spans="1:14" x14ac:dyDescent="0.25">
      <c r="A985" s="8">
        <v>2.86</v>
      </c>
      <c r="B985" s="6">
        <v>8</v>
      </c>
      <c r="C985" s="8">
        <v>22.952889200000001</v>
      </c>
      <c r="D985" s="8">
        <v>0.26666666700000002</v>
      </c>
      <c r="L985">
        <v>959</v>
      </c>
      <c r="M985">
        <v>4.1448205419548803</v>
      </c>
      <c r="N985">
        <v>0.16517945804511935</v>
      </c>
    </row>
    <row r="986" spans="1:14" x14ac:dyDescent="0.25">
      <c r="A986" s="8">
        <v>2.39</v>
      </c>
      <c r="B986" s="6">
        <v>6</v>
      </c>
      <c r="C986" s="8">
        <v>22.267316650000001</v>
      </c>
      <c r="D986" s="8">
        <v>0.3</v>
      </c>
      <c r="L986">
        <v>960</v>
      </c>
      <c r="M986">
        <v>2.1353212718740666</v>
      </c>
      <c r="N986">
        <v>0.17467872812593344</v>
      </c>
    </row>
    <row r="987" spans="1:14" x14ac:dyDescent="0.25">
      <c r="A987" s="8">
        <v>3.27</v>
      </c>
      <c r="B987" s="6">
        <v>12</v>
      </c>
      <c r="C987" s="8">
        <v>21.856446179999999</v>
      </c>
      <c r="D987" s="8">
        <v>0.4</v>
      </c>
      <c r="L987">
        <v>961</v>
      </c>
      <c r="M987">
        <v>3.9962708669427744</v>
      </c>
      <c r="N987">
        <v>-0.18627086694277439</v>
      </c>
    </row>
    <row r="988" spans="1:14" x14ac:dyDescent="0.25">
      <c r="A988" s="8">
        <v>2.2200000000000002</v>
      </c>
      <c r="B988" s="6">
        <v>4</v>
      </c>
      <c r="C988" s="8">
        <v>23.665520959999998</v>
      </c>
      <c r="D988" s="8">
        <v>0.2</v>
      </c>
      <c r="L988">
        <v>962</v>
      </c>
      <c r="M988">
        <v>5.0011851835828853</v>
      </c>
      <c r="N988">
        <v>0.20881481641711463</v>
      </c>
    </row>
    <row r="989" spans="1:14" x14ac:dyDescent="0.25">
      <c r="A989" s="8">
        <v>2.9</v>
      </c>
      <c r="B989" s="6">
        <v>7</v>
      </c>
      <c r="C989" s="8">
        <v>24.906019000000001</v>
      </c>
      <c r="D989" s="8">
        <v>0.35</v>
      </c>
      <c r="L989">
        <v>963</v>
      </c>
      <c r="M989">
        <v>2.5162554027501995</v>
      </c>
      <c r="N989">
        <v>-1.6255402750199544E-2</v>
      </c>
    </row>
    <row r="990" spans="1:14" x14ac:dyDescent="0.25">
      <c r="A990" s="8">
        <v>2.44</v>
      </c>
      <c r="B990" s="6">
        <v>7</v>
      </c>
      <c r="C990" s="8">
        <v>24.334130949999999</v>
      </c>
      <c r="D990" s="8">
        <v>0.35</v>
      </c>
      <c r="L990">
        <v>964</v>
      </c>
      <c r="M990">
        <v>3.8728563185021487</v>
      </c>
      <c r="N990">
        <v>-0.31285631850214868</v>
      </c>
    </row>
    <row r="991" spans="1:14" x14ac:dyDescent="0.25">
      <c r="A991" s="8">
        <v>3.8</v>
      </c>
      <c r="B991" s="6">
        <v>10</v>
      </c>
      <c r="C991" s="8">
        <v>21.874406140000001</v>
      </c>
      <c r="D991" s="8">
        <v>0.5</v>
      </c>
      <c r="L991">
        <v>965</v>
      </c>
      <c r="M991">
        <v>2.1649954808769998</v>
      </c>
      <c r="N991">
        <v>2.5004519123000168E-2</v>
      </c>
    </row>
    <row r="992" spans="1:14" x14ac:dyDescent="0.25">
      <c r="A992" s="8">
        <v>4.2699999999999996</v>
      </c>
      <c r="B992" s="6">
        <v>12</v>
      </c>
      <c r="C992" s="8">
        <v>26.04903436</v>
      </c>
      <c r="D992" s="8">
        <v>0.4</v>
      </c>
      <c r="L992">
        <v>966</v>
      </c>
      <c r="M992">
        <v>2.5904211915913349</v>
      </c>
      <c r="N992">
        <v>-0.73042119159133478</v>
      </c>
    </row>
    <row r="993" spans="1:14" x14ac:dyDescent="0.25">
      <c r="A993" s="8">
        <v>2.78</v>
      </c>
      <c r="B993" s="6">
        <v>8</v>
      </c>
      <c r="C993" s="8">
        <v>23.94616534</v>
      </c>
      <c r="D993" s="8">
        <v>0.26666666700000002</v>
      </c>
      <c r="L993">
        <v>967</v>
      </c>
      <c r="M993">
        <v>2.7454645498250438</v>
      </c>
      <c r="N993">
        <v>-0.26546454982504386</v>
      </c>
    </row>
    <row r="994" spans="1:14" x14ac:dyDescent="0.25">
      <c r="A994" s="8">
        <v>3.89</v>
      </c>
      <c r="B994" s="6">
        <v>10</v>
      </c>
      <c r="C994" s="8">
        <v>23.610301669999998</v>
      </c>
      <c r="D994" s="8">
        <v>0.33333333300000001</v>
      </c>
      <c r="L994">
        <v>968</v>
      </c>
      <c r="M994">
        <v>4.2355812740986583</v>
      </c>
      <c r="N994">
        <v>-0.75558127409865827</v>
      </c>
    </row>
    <row r="995" spans="1:14" x14ac:dyDescent="0.25">
      <c r="A995" s="8">
        <v>2.13</v>
      </c>
      <c r="B995" s="6">
        <v>6</v>
      </c>
      <c r="C995" s="8">
        <v>22.634395139999999</v>
      </c>
      <c r="D995" s="8">
        <v>0.24</v>
      </c>
      <c r="L995">
        <v>969</v>
      </c>
      <c r="M995">
        <v>4.1450003527690615</v>
      </c>
      <c r="N995">
        <v>-0.29500035276906145</v>
      </c>
    </row>
    <row r="996" spans="1:14" x14ac:dyDescent="0.25">
      <c r="A996" s="8">
        <v>3.78</v>
      </c>
      <c r="B996" s="6">
        <v>11</v>
      </c>
      <c r="C996" s="8">
        <v>20.226463580000001</v>
      </c>
      <c r="D996" s="8">
        <v>0.44</v>
      </c>
      <c r="L996">
        <v>970</v>
      </c>
      <c r="M996">
        <v>3.2456989535418721</v>
      </c>
      <c r="N996">
        <v>6.4301046458127953E-2</v>
      </c>
    </row>
    <row r="997" spans="1:14" x14ac:dyDescent="0.25">
      <c r="A997" s="8">
        <v>4.0999999999999996</v>
      </c>
      <c r="B997" s="6">
        <v>13</v>
      </c>
      <c r="C997" s="8">
        <v>22.434380010000002</v>
      </c>
      <c r="D997" s="8">
        <v>0.65</v>
      </c>
      <c r="L997">
        <v>971</v>
      </c>
      <c r="M997">
        <v>2.7093299618958975</v>
      </c>
      <c r="N997">
        <v>4.0670038104102524E-2</v>
      </c>
    </row>
    <row r="998" spans="1:14" x14ac:dyDescent="0.25">
      <c r="A998" s="8">
        <v>2.4700000000000002</v>
      </c>
      <c r="B998" s="6">
        <v>6</v>
      </c>
      <c r="C998" s="8">
        <v>19.510934219999999</v>
      </c>
      <c r="D998" s="8">
        <v>0.15</v>
      </c>
      <c r="L998">
        <v>972</v>
      </c>
      <c r="M998">
        <v>3.9921689750439819</v>
      </c>
      <c r="N998">
        <v>0.45783102495601824</v>
      </c>
    </row>
    <row r="999" spans="1:14" x14ac:dyDescent="0.25">
      <c r="A999" s="8">
        <v>2.58</v>
      </c>
      <c r="B999" s="6">
        <v>7</v>
      </c>
      <c r="C999" s="8">
        <v>23.80128328</v>
      </c>
      <c r="D999" s="8">
        <v>0.233333333</v>
      </c>
      <c r="L999">
        <v>973</v>
      </c>
      <c r="M999">
        <v>3.2062966247317957</v>
      </c>
      <c r="N999">
        <v>0.4737033752682045</v>
      </c>
    </row>
    <row r="1000" spans="1:14" x14ac:dyDescent="0.25">
      <c r="A1000" s="8">
        <v>3.36</v>
      </c>
      <c r="B1000" s="6">
        <v>7</v>
      </c>
      <c r="C1000" s="8">
        <v>25.983347720000001</v>
      </c>
      <c r="D1000" s="8">
        <v>0.28000000000000003</v>
      </c>
      <c r="L1000">
        <v>974</v>
      </c>
      <c r="M1000">
        <v>2.7205508727324501</v>
      </c>
      <c r="N1000">
        <v>-7.0550872732450198E-2</v>
      </c>
    </row>
    <row r="1001" spans="1:14" x14ac:dyDescent="0.25">
      <c r="A1001" s="8">
        <v>3.65</v>
      </c>
      <c r="B1001" s="6">
        <v>9</v>
      </c>
      <c r="C1001" s="8">
        <v>22.785242759999999</v>
      </c>
      <c r="D1001" s="8">
        <v>0.36</v>
      </c>
      <c r="L1001">
        <v>975</v>
      </c>
      <c r="M1001">
        <v>4.8645172458851569</v>
      </c>
      <c r="N1001">
        <v>0.43548275411484294</v>
      </c>
    </row>
    <row r="1002" spans="1:14" x14ac:dyDescent="0.25">
      <c r="L1002">
        <v>976</v>
      </c>
      <c r="M1002">
        <v>2.5212321626766325</v>
      </c>
      <c r="N1002">
        <v>6.8767837323367331E-2</v>
      </c>
    </row>
    <row r="1003" spans="1:14" x14ac:dyDescent="0.25">
      <c r="L1003">
        <v>977</v>
      </c>
      <c r="M1003">
        <v>3.432438448146367</v>
      </c>
      <c r="N1003">
        <v>-7.2438448146367129E-2</v>
      </c>
    </row>
    <row r="1004" spans="1:14" x14ac:dyDescent="0.25">
      <c r="L1004">
        <v>978</v>
      </c>
      <c r="M1004">
        <v>3.0453456301558002</v>
      </c>
      <c r="N1004">
        <v>-0.33534563015580021</v>
      </c>
    </row>
    <row r="1005" spans="1:14" x14ac:dyDescent="0.25">
      <c r="L1005">
        <v>979</v>
      </c>
      <c r="M1005">
        <v>3.7961265737599259</v>
      </c>
      <c r="N1005">
        <v>-0.49612657375992608</v>
      </c>
    </row>
    <row r="1006" spans="1:14" x14ac:dyDescent="0.25">
      <c r="L1006">
        <v>980</v>
      </c>
      <c r="M1006">
        <v>3.0460183552972548</v>
      </c>
      <c r="N1006">
        <v>0.32398164470274526</v>
      </c>
    </row>
    <row r="1007" spans="1:14" x14ac:dyDescent="0.25">
      <c r="L1007">
        <v>981</v>
      </c>
      <c r="M1007">
        <v>3.3999973062327085</v>
      </c>
      <c r="N1007">
        <v>-2.9997306232708354E-2</v>
      </c>
    </row>
    <row r="1008" spans="1:14" x14ac:dyDescent="0.25">
      <c r="L1008">
        <v>982</v>
      </c>
      <c r="M1008">
        <v>3.4364615617190664</v>
      </c>
      <c r="N1008">
        <v>5.3538438280933853E-2</v>
      </c>
    </row>
    <row r="1009" spans="12:14" x14ac:dyDescent="0.25">
      <c r="L1009">
        <v>983</v>
      </c>
      <c r="M1009">
        <v>2.7942213546151171</v>
      </c>
      <c r="N1009">
        <v>-7.4221354615116919E-2</v>
      </c>
    </row>
    <row r="1010" spans="12:14" x14ac:dyDescent="0.25">
      <c r="L1010">
        <v>984</v>
      </c>
      <c r="M1010">
        <v>3.0598670146396412</v>
      </c>
      <c r="N1010">
        <v>-0.19986701463964129</v>
      </c>
    </row>
    <row r="1011" spans="12:14" x14ac:dyDescent="0.25">
      <c r="L1011">
        <v>985</v>
      </c>
      <c r="M1011">
        <v>2.5350008806113209</v>
      </c>
      <c r="N1011">
        <v>-0.14500088061132077</v>
      </c>
    </row>
    <row r="1012" spans="12:14" x14ac:dyDescent="0.25">
      <c r="L1012">
        <v>986</v>
      </c>
      <c r="M1012">
        <v>3.9684282866312777</v>
      </c>
      <c r="N1012">
        <v>-0.69842828663127765</v>
      </c>
    </row>
    <row r="1013" spans="12:14" x14ac:dyDescent="0.25">
      <c r="L1013">
        <v>987</v>
      </c>
      <c r="M1013">
        <v>2.1293478569554907</v>
      </c>
      <c r="N1013">
        <v>9.0652143044509526E-2</v>
      </c>
    </row>
    <row r="1014" spans="12:14" x14ac:dyDescent="0.25">
      <c r="L1014">
        <v>988</v>
      </c>
      <c r="M1014">
        <v>2.9287835665357074</v>
      </c>
      <c r="N1014">
        <v>-2.8783566535707461E-2</v>
      </c>
    </row>
    <row r="1015" spans="12:14" x14ac:dyDescent="0.25">
      <c r="L1015">
        <v>989</v>
      </c>
      <c r="M1015">
        <v>2.8960657863673651</v>
      </c>
      <c r="N1015">
        <v>-0.45606578636736517</v>
      </c>
    </row>
    <row r="1016" spans="12:14" x14ac:dyDescent="0.25">
      <c r="L1016">
        <v>990</v>
      </c>
      <c r="M1016">
        <v>3.4838113272507965</v>
      </c>
      <c r="N1016">
        <v>0.31618867274920337</v>
      </c>
    </row>
    <row r="1017" spans="12:14" x14ac:dyDescent="0.25">
      <c r="L1017">
        <v>991</v>
      </c>
      <c r="M1017">
        <v>4.2082867316707029</v>
      </c>
      <c r="N1017">
        <v>6.1713268329296689E-2</v>
      </c>
    </row>
    <row r="1018" spans="12:14" x14ac:dyDescent="0.25">
      <c r="L1018">
        <v>992</v>
      </c>
      <c r="M1018">
        <v>3.1166924552044142</v>
      </c>
      <c r="N1018">
        <v>-0.33669245520441438</v>
      </c>
    </row>
    <row r="1019" spans="12:14" x14ac:dyDescent="0.25">
      <c r="L1019">
        <v>993</v>
      </c>
      <c r="M1019">
        <v>3.5831221072990029</v>
      </c>
      <c r="N1019">
        <v>0.30687789270099719</v>
      </c>
    </row>
    <row r="1020" spans="12:14" x14ac:dyDescent="0.25">
      <c r="L1020">
        <v>994</v>
      </c>
      <c r="M1020">
        <v>2.5560014826353479</v>
      </c>
      <c r="N1020">
        <v>-0.42600148263534798</v>
      </c>
    </row>
    <row r="1021" spans="12:14" x14ac:dyDescent="0.25">
      <c r="L1021">
        <v>995</v>
      </c>
      <c r="M1021">
        <v>3.6323545719504144</v>
      </c>
      <c r="N1021">
        <v>0.14764542804958536</v>
      </c>
    </row>
    <row r="1022" spans="12:14" x14ac:dyDescent="0.25">
      <c r="L1022">
        <v>996</v>
      </c>
      <c r="M1022">
        <v>4.2443141719227446</v>
      </c>
      <c r="N1022">
        <v>-0.14431417192274498</v>
      </c>
    </row>
    <row r="1023" spans="12:14" x14ac:dyDescent="0.25">
      <c r="L1023">
        <v>997</v>
      </c>
      <c r="M1023">
        <v>2.377307929334195</v>
      </c>
      <c r="N1023">
        <v>9.2692070665805204E-2</v>
      </c>
    </row>
    <row r="1024" spans="12:14" x14ac:dyDescent="0.25">
      <c r="L1024">
        <v>998</v>
      </c>
      <c r="M1024">
        <v>2.8655815107643461</v>
      </c>
      <c r="N1024">
        <v>-0.28558151076434601</v>
      </c>
    </row>
    <row r="1025" spans="12:14" x14ac:dyDescent="0.25">
      <c r="L1025">
        <v>999</v>
      </c>
      <c r="M1025">
        <v>2.9904176647302778</v>
      </c>
      <c r="N1025">
        <v>0.36958233526972206</v>
      </c>
    </row>
    <row r="1026" spans="12:14" ht="15.75" thickBot="1" x14ac:dyDescent="0.3">
      <c r="L1026" s="1">
        <v>1000</v>
      </c>
      <c r="M1026" s="1">
        <v>3.2930981681672367</v>
      </c>
      <c r="N1026" s="1">
        <v>0.35690183183276325</v>
      </c>
    </row>
  </sheetData>
  <mergeCells count="1">
    <mergeCell ref="F25:G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10B2-1D6F-4CB5-B928-2A21D0B8B89D}">
  <dimension ref="A3:F36"/>
  <sheetViews>
    <sheetView tabSelected="1" topLeftCell="A21" workbookViewId="0">
      <selection activeCell="C35" sqref="C35"/>
    </sheetView>
  </sheetViews>
  <sheetFormatPr defaultRowHeight="15" x14ac:dyDescent="0.25"/>
  <cols>
    <col min="1" max="1" width="13.140625" bestFit="1" customWidth="1"/>
    <col min="2" max="2" width="22.5703125" bestFit="1" customWidth="1"/>
    <col min="3" max="6" width="12" bestFit="1" customWidth="1"/>
  </cols>
  <sheetData>
    <row r="3" spans="1:2" x14ac:dyDescent="0.25">
      <c r="A3" s="3" t="s">
        <v>58</v>
      </c>
      <c r="B3" t="s">
        <v>60</v>
      </c>
    </row>
    <row r="4" spans="1:2" x14ac:dyDescent="0.25">
      <c r="A4" s="4" t="s">
        <v>11</v>
      </c>
      <c r="B4">
        <v>3.0834374999999992</v>
      </c>
    </row>
    <row r="5" spans="1:2" x14ac:dyDescent="0.25">
      <c r="A5" s="4" t="s">
        <v>9</v>
      </c>
      <c r="B5">
        <v>3.0155944055944044</v>
      </c>
    </row>
    <row r="6" spans="1:2" x14ac:dyDescent="0.25">
      <c r="A6" s="4" t="s">
        <v>7</v>
      </c>
      <c r="B6">
        <v>3.07851851851852</v>
      </c>
    </row>
    <row r="7" spans="1:2" x14ac:dyDescent="0.25">
      <c r="A7" s="4" t="s">
        <v>13</v>
      </c>
      <c r="B7">
        <v>2.989273927392738</v>
      </c>
    </row>
    <row r="8" spans="1:2" x14ac:dyDescent="0.25">
      <c r="A8" s="4" t="s">
        <v>18</v>
      </c>
      <c r="B8">
        <v>3.0795547945205501</v>
      </c>
    </row>
    <row r="9" spans="1:2" x14ac:dyDescent="0.25">
      <c r="A9" s="4" t="s">
        <v>59</v>
      </c>
      <c r="B9">
        <v>3.0497062750333708</v>
      </c>
    </row>
    <row r="13" spans="1:2" x14ac:dyDescent="0.25">
      <c r="A13" s="3" t="s">
        <v>58</v>
      </c>
      <c r="B13" t="s">
        <v>60</v>
      </c>
    </row>
    <row r="14" spans="1:2" x14ac:dyDescent="0.25">
      <c r="A14" s="4" t="s">
        <v>42</v>
      </c>
      <c r="B14">
        <v>3.0115806451612896</v>
      </c>
    </row>
    <row r="15" spans="1:2" x14ac:dyDescent="0.25">
      <c r="A15" s="4" t="s">
        <v>43</v>
      </c>
      <c r="B15">
        <v>3.1141295546558716</v>
      </c>
    </row>
    <row r="16" spans="1:2" x14ac:dyDescent="0.25">
      <c r="A16" s="4" t="s">
        <v>41</v>
      </c>
      <c r="B16">
        <v>3.0121904761904776</v>
      </c>
    </row>
    <row r="17" spans="1:6" x14ac:dyDescent="0.25">
      <c r="A17" s="4" t="s">
        <v>40</v>
      </c>
      <c r="B17">
        <v>3.0620447284345067</v>
      </c>
    </row>
    <row r="18" spans="1:6" x14ac:dyDescent="0.25">
      <c r="A18" s="4" t="s">
        <v>59</v>
      </c>
      <c r="B18">
        <v>3.0497062750333752</v>
      </c>
    </row>
    <row r="22" spans="1:6" x14ac:dyDescent="0.25">
      <c r="A22" s="3" t="s">
        <v>60</v>
      </c>
      <c r="B22" s="3" t="s">
        <v>61</v>
      </c>
    </row>
    <row r="23" spans="1:6" x14ac:dyDescent="0.25">
      <c r="A23" s="3" t="s">
        <v>58</v>
      </c>
      <c r="B23" t="s">
        <v>42</v>
      </c>
      <c r="C23" t="s">
        <v>43</v>
      </c>
      <c r="D23" t="s">
        <v>41</v>
      </c>
      <c r="E23" t="s">
        <v>40</v>
      </c>
      <c r="F23" t="s">
        <v>59</v>
      </c>
    </row>
    <row r="24" spans="1:6" x14ac:dyDescent="0.25">
      <c r="A24" s="4" t="s">
        <v>11</v>
      </c>
      <c r="B24">
        <v>3.0849253731343285</v>
      </c>
      <c r="C24">
        <v>2.989122807017544</v>
      </c>
      <c r="D24">
        <v>2.9715000000000003</v>
      </c>
      <c r="E24">
        <v>3.1716176470588233</v>
      </c>
      <c r="F24">
        <v>3.0834374999999992</v>
      </c>
    </row>
    <row r="25" spans="1:6" x14ac:dyDescent="0.25">
      <c r="A25" s="4" t="s">
        <v>9</v>
      </c>
      <c r="B25">
        <v>2.9348214285714285</v>
      </c>
      <c r="C25">
        <v>3.2408333333333328</v>
      </c>
      <c r="D25">
        <v>2.8861764705882362</v>
      </c>
      <c r="E25">
        <v>3.0376315789473689</v>
      </c>
      <c r="F25">
        <v>3.0155944055944053</v>
      </c>
    </row>
    <row r="26" spans="1:6" x14ac:dyDescent="0.25">
      <c r="A26" s="4" t="s">
        <v>7</v>
      </c>
      <c r="B26">
        <v>3.0602985074626865</v>
      </c>
      <c r="C26">
        <v>3.1522916666666663</v>
      </c>
      <c r="D26">
        <v>3.1250000000000004</v>
      </c>
      <c r="E26">
        <v>3.035166666666667</v>
      </c>
      <c r="F26">
        <v>3.0785185185185209</v>
      </c>
    </row>
    <row r="27" spans="1:6" x14ac:dyDescent="0.25">
      <c r="A27" s="4" t="s">
        <v>13</v>
      </c>
      <c r="B27">
        <v>2.8813114754098361</v>
      </c>
      <c r="C27">
        <v>3.0655813953488376</v>
      </c>
      <c r="D27">
        <v>2.98723076923077</v>
      </c>
      <c r="E27">
        <v>3.0149253731343295</v>
      </c>
      <c r="F27">
        <v>2.9892739273927393</v>
      </c>
    </row>
    <row r="28" spans="1:6" x14ac:dyDescent="0.25">
      <c r="A28" s="4" t="s">
        <v>18</v>
      </c>
      <c r="B28">
        <v>3.0805084745762703</v>
      </c>
      <c r="C28">
        <v>3.1396078431372549</v>
      </c>
      <c r="D28">
        <v>3.1061666666666672</v>
      </c>
      <c r="E28">
        <v>3.0409016393442609</v>
      </c>
      <c r="F28">
        <v>3.0795547945205475</v>
      </c>
    </row>
    <row r="29" spans="1:6" x14ac:dyDescent="0.25">
      <c r="A29" s="4" t="s">
        <v>59</v>
      </c>
      <c r="B29">
        <v>3.0115806451612905</v>
      </c>
      <c r="C29">
        <v>3.1141295546558729</v>
      </c>
      <c r="D29">
        <v>3.0121904761904754</v>
      </c>
      <c r="E29">
        <v>3.0620447284345063</v>
      </c>
      <c r="F29">
        <v>3.0497062750333779</v>
      </c>
    </row>
    <row r="32" spans="1:6" x14ac:dyDescent="0.25">
      <c r="A32" s="3" t="s">
        <v>58</v>
      </c>
      <c r="B32" t="s">
        <v>60</v>
      </c>
    </row>
    <row r="33" spans="1:2" x14ac:dyDescent="0.25">
      <c r="A33" s="4" t="s">
        <v>116</v>
      </c>
      <c r="B33">
        <v>3.0152016129032231</v>
      </c>
    </row>
    <row r="34" spans="1:2" x14ac:dyDescent="0.25">
      <c r="A34" s="4" t="s">
        <v>124</v>
      </c>
      <c r="B34">
        <v>3.0708196721311487</v>
      </c>
    </row>
    <row r="35" spans="1:2" x14ac:dyDescent="0.25">
      <c r="A35" s="4" t="s">
        <v>117</v>
      </c>
      <c r="B35">
        <v>3.1883132530120482</v>
      </c>
    </row>
    <row r="36" spans="1:2" x14ac:dyDescent="0.25">
      <c r="A36" s="4" t="s">
        <v>59</v>
      </c>
      <c r="B36">
        <v>3.0497062750333725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4AE6-F269-4748-9C85-19E3411F971C}">
  <sheetPr>
    <pageSetUpPr fitToPage="1"/>
  </sheetPr>
  <dimension ref="I3:X54"/>
  <sheetViews>
    <sheetView showGridLines="0" showRowColHeaders="0" topLeftCell="A22" zoomScale="57" zoomScaleNormal="57" workbookViewId="0">
      <selection activeCell="AB22" sqref="AB22"/>
    </sheetView>
  </sheetViews>
  <sheetFormatPr defaultRowHeight="15" x14ac:dyDescent="0.25"/>
  <cols>
    <col min="9" max="32" width="12.7109375" customWidth="1"/>
  </cols>
  <sheetData>
    <row r="3" spans="9:24" ht="20.100000000000001" customHeight="1" x14ac:dyDescent="0.25">
      <c r="I3" s="23" t="s">
        <v>123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9:24" ht="20.100000000000001" customHeight="1" x14ac:dyDescent="0.25"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9:24" ht="20.100000000000001" customHeight="1" x14ac:dyDescent="0.25"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9:24" ht="20.100000000000001" customHeight="1" x14ac:dyDescent="0.25">
      <c r="I6" s="25" t="s">
        <v>92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9:24" ht="20.100000000000001" customHeight="1" x14ac:dyDescent="0.35">
      <c r="I7" s="33" t="s">
        <v>119</v>
      </c>
      <c r="J7" s="34"/>
      <c r="K7" s="34"/>
      <c r="L7" s="34"/>
      <c r="M7" s="35" t="s">
        <v>120</v>
      </c>
      <c r="N7" s="36"/>
      <c r="O7" s="36"/>
      <c r="P7" s="36"/>
      <c r="Q7" s="37" t="s">
        <v>121</v>
      </c>
      <c r="R7" s="38"/>
      <c r="S7" s="38"/>
      <c r="T7" s="38"/>
      <c r="U7" s="39" t="s">
        <v>122</v>
      </c>
      <c r="V7" s="40"/>
      <c r="W7" s="40"/>
      <c r="X7" s="40"/>
    </row>
    <row r="8" spans="9:24" ht="20.100000000000001" customHeight="1" x14ac:dyDescent="0.25">
      <c r="I8" s="26" t="s">
        <v>113</v>
      </c>
      <c r="J8" s="27"/>
      <c r="K8" s="27"/>
      <c r="L8" s="27"/>
      <c r="M8" s="28" t="s">
        <v>114</v>
      </c>
      <c r="N8" s="29"/>
      <c r="O8" s="29"/>
      <c r="P8" s="29"/>
      <c r="Q8" s="30" t="s">
        <v>115</v>
      </c>
      <c r="R8" s="31"/>
      <c r="S8" s="31"/>
      <c r="T8" s="31"/>
      <c r="U8" s="32">
        <v>5</v>
      </c>
      <c r="V8" s="32"/>
      <c r="W8" s="32"/>
      <c r="X8" s="32"/>
    </row>
    <row r="9" spans="9:24" ht="20.100000000000001" customHeight="1" x14ac:dyDescent="0.25">
      <c r="I9" s="27"/>
      <c r="J9" s="27"/>
      <c r="K9" s="27"/>
      <c r="L9" s="27"/>
      <c r="M9" s="29"/>
      <c r="N9" s="29"/>
      <c r="O9" s="29"/>
      <c r="P9" s="29"/>
      <c r="Q9" s="31"/>
      <c r="R9" s="31"/>
      <c r="S9" s="31"/>
      <c r="T9" s="31"/>
      <c r="U9" s="32"/>
      <c r="V9" s="32"/>
      <c r="W9" s="32"/>
      <c r="X9" s="32"/>
    </row>
    <row r="10" spans="9:24" ht="20.100000000000001" customHeight="1" x14ac:dyDescent="0.25">
      <c r="I10" s="27"/>
      <c r="J10" s="27"/>
      <c r="K10" s="27"/>
      <c r="L10" s="27"/>
      <c r="M10" s="29"/>
      <c r="N10" s="29"/>
      <c r="O10" s="29"/>
      <c r="P10" s="29"/>
      <c r="Q10" s="31"/>
      <c r="R10" s="31"/>
      <c r="S10" s="31"/>
      <c r="T10" s="31"/>
      <c r="U10" s="32"/>
      <c r="V10" s="32"/>
      <c r="W10" s="32"/>
      <c r="X10" s="32"/>
    </row>
    <row r="11" spans="9:24" ht="20.100000000000001" customHeight="1" x14ac:dyDescent="0.25">
      <c r="I11" s="27"/>
      <c r="J11" s="27"/>
      <c r="K11" s="27"/>
      <c r="L11" s="27"/>
      <c r="M11" s="29"/>
      <c r="N11" s="29"/>
      <c r="O11" s="29"/>
      <c r="P11" s="29"/>
      <c r="Q11" s="31"/>
      <c r="R11" s="31"/>
      <c r="S11" s="31"/>
      <c r="T11" s="31"/>
      <c r="U11" s="32"/>
      <c r="V11" s="32"/>
      <c r="W11" s="32"/>
      <c r="X11" s="32"/>
    </row>
    <row r="12" spans="9:24" ht="20.100000000000001" customHeight="1" x14ac:dyDescent="0.25">
      <c r="I12" s="27"/>
      <c r="J12" s="27"/>
      <c r="K12" s="27"/>
      <c r="L12" s="27"/>
      <c r="M12" s="29"/>
      <c r="N12" s="29"/>
      <c r="O12" s="29"/>
      <c r="P12" s="29"/>
      <c r="Q12" s="31"/>
      <c r="R12" s="31"/>
      <c r="S12" s="31"/>
      <c r="T12" s="31"/>
      <c r="U12" s="32"/>
      <c r="V12" s="32"/>
      <c r="W12" s="32"/>
      <c r="X12" s="32"/>
    </row>
    <row r="13" spans="9:24" ht="20.100000000000001" customHeight="1" x14ac:dyDescent="0.25">
      <c r="I13" s="27"/>
      <c r="J13" s="27"/>
      <c r="K13" s="27"/>
      <c r="L13" s="27"/>
      <c r="M13" s="29"/>
      <c r="N13" s="29"/>
      <c r="O13" s="29"/>
      <c r="P13" s="29"/>
      <c r="Q13" s="31"/>
      <c r="R13" s="31"/>
      <c r="S13" s="31"/>
      <c r="T13" s="31"/>
      <c r="U13" s="32"/>
      <c r="V13" s="32"/>
      <c r="W13" s="32"/>
      <c r="X13" s="32"/>
    </row>
    <row r="14" spans="9:24" ht="20.100000000000001" customHeight="1" x14ac:dyDescent="0.35">
      <c r="I14" s="19" t="s">
        <v>93</v>
      </c>
      <c r="J14" s="20"/>
      <c r="K14" s="20"/>
      <c r="L14" s="20"/>
      <c r="M14" s="19" t="s">
        <v>94</v>
      </c>
      <c r="N14" s="20"/>
      <c r="O14" s="20"/>
      <c r="P14" s="20"/>
      <c r="Q14" s="19" t="s">
        <v>95</v>
      </c>
      <c r="R14" s="20"/>
      <c r="S14" s="20"/>
      <c r="T14" s="20"/>
      <c r="U14" s="19" t="s">
        <v>96</v>
      </c>
      <c r="V14" s="20"/>
      <c r="W14" s="20"/>
      <c r="X14" s="20"/>
    </row>
    <row r="15" spans="9:24" ht="20.100000000000001" customHeight="1" x14ac:dyDescent="0.25"/>
    <row r="16" spans="9:24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  <row r="27" ht="20.100000000000001" customHeight="1" x14ac:dyDescent="0.25"/>
    <row r="28" ht="20.100000000000001" customHeight="1" x14ac:dyDescent="0.25"/>
    <row r="29" ht="20.100000000000001" customHeight="1" x14ac:dyDescent="0.25"/>
    <row r="30" ht="20.100000000000001" customHeight="1" x14ac:dyDescent="0.25"/>
    <row r="31" ht="20.100000000000001" customHeight="1" x14ac:dyDescent="0.25"/>
    <row r="32" ht="20.100000000000001" customHeight="1" x14ac:dyDescent="0.25"/>
    <row r="33" spans="9:24" ht="20.100000000000001" customHeight="1" x14ac:dyDescent="0.25"/>
    <row r="34" spans="9:24" ht="20.100000000000001" customHeight="1" x14ac:dyDescent="0.25"/>
    <row r="35" spans="9:24" ht="20.100000000000001" customHeight="1" x14ac:dyDescent="0.25"/>
    <row r="36" spans="9:24" ht="20.100000000000001" customHeight="1" x14ac:dyDescent="0.25"/>
    <row r="37" spans="9:24" ht="20.100000000000001" customHeight="1" x14ac:dyDescent="0.25"/>
    <row r="38" spans="9:24" ht="20.100000000000001" customHeight="1" x14ac:dyDescent="0.25"/>
    <row r="39" spans="9:24" ht="20.100000000000001" customHeight="1" x14ac:dyDescent="0.25"/>
    <row r="40" spans="9:24" ht="20.100000000000001" customHeight="1" x14ac:dyDescent="0.25"/>
    <row r="41" spans="9:24" ht="20.100000000000001" customHeight="1" x14ac:dyDescent="0.25"/>
    <row r="42" spans="9:24" ht="20.100000000000001" customHeight="1" x14ac:dyDescent="0.25"/>
    <row r="43" spans="9:24" ht="20.100000000000001" customHeight="1" x14ac:dyDescent="0.25"/>
    <row r="44" spans="9:24" ht="20.100000000000001" customHeight="1" x14ac:dyDescent="0.25"/>
    <row r="45" spans="9:24" ht="20.100000000000001" customHeight="1" x14ac:dyDescent="0.25"/>
    <row r="46" spans="9:24" ht="20.100000000000001" customHeight="1" x14ac:dyDescent="0.25"/>
    <row r="47" spans="9:24" ht="20.100000000000001" customHeight="1" x14ac:dyDescent="0.3">
      <c r="I47" s="22" t="s">
        <v>97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9:24" ht="20.100000000000001" customHeight="1" x14ac:dyDescent="0.25">
      <c r="I48" s="15" t="s">
        <v>98</v>
      </c>
      <c r="J48" s="15"/>
      <c r="K48" s="15"/>
      <c r="L48" s="15"/>
      <c r="M48" s="15"/>
      <c r="N48" s="15" t="s">
        <v>91</v>
      </c>
      <c r="O48" s="21"/>
      <c r="P48" s="21"/>
      <c r="Q48" s="21"/>
      <c r="R48" s="21"/>
      <c r="S48" s="15" t="s">
        <v>99</v>
      </c>
      <c r="T48" s="21"/>
      <c r="U48" s="21"/>
      <c r="V48" s="21"/>
      <c r="W48" s="21"/>
      <c r="X48" s="10"/>
    </row>
    <row r="49" spans="9:24" ht="20.100000000000001" customHeight="1" x14ac:dyDescent="0.25">
      <c r="I49" s="16" t="s">
        <v>100</v>
      </c>
      <c r="J49" s="16"/>
      <c r="K49" s="16"/>
      <c r="L49" s="16"/>
      <c r="M49" s="16"/>
      <c r="N49" s="16" t="s">
        <v>101</v>
      </c>
      <c r="O49" s="16"/>
      <c r="P49" s="16"/>
      <c r="Q49" s="16"/>
      <c r="R49" s="16"/>
      <c r="S49" s="16" t="s">
        <v>102</v>
      </c>
      <c r="T49" s="16"/>
      <c r="U49" s="16"/>
      <c r="V49" s="16"/>
      <c r="W49" s="16"/>
      <c r="X49" s="11"/>
    </row>
    <row r="50" spans="9:24" ht="20.100000000000001" customHeight="1" x14ac:dyDescent="0.25">
      <c r="I50" s="15" t="s">
        <v>118</v>
      </c>
      <c r="J50" s="15"/>
      <c r="K50" s="15"/>
      <c r="L50" s="15"/>
      <c r="M50" s="15"/>
      <c r="N50" s="15" t="s">
        <v>103</v>
      </c>
      <c r="O50" s="15"/>
      <c r="P50" s="15"/>
      <c r="Q50" s="15"/>
      <c r="R50" s="15"/>
      <c r="S50" s="15" t="s">
        <v>104</v>
      </c>
      <c r="T50" s="15"/>
      <c r="U50" s="15"/>
      <c r="V50" s="15"/>
      <c r="W50" s="15"/>
      <c r="X50" s="10"/>
    </row>
    <row r="51" spans="9:24" ht="20.100000000000001" customHeight="1" x14ac:dyDescent="0.25">
      <c r="I51" s="16" t="s">
        <v>111</v>
      </c>
      <c r="J51" s="16"/>
      <c r="K51" s="16"/>
      <c r="L51" s="16"/>
      <c r="M51" s="16"/>
      <c r="N51" s="16">
        <v>0.78</v>
      </c>
      <c r="O51" s="16"/>
      <c r="P51" s="16"/>
      <c r="Q51" s="16"/>
      <c r="R51" s="16"/>
      <c r="S51" s="16" t="s">
        <v>105</v>
      </c>
      <c r="T51" s="16"/>
      <c r="U51" s="16"/>
      <c r="V51" s="16"/>
      <c r="W51" s="16"/>
      <c r="X51" s="11"/>
    </row>
    <row r="52" spans="9:24" x14ac:dyDescent="0.25">
      <c r="I52" s="15" t="s">
        <v>106</v>
      </c>
      <c r="J52" s="15"/>
      <c r="K52" s="15"/>
      <c r="L52" s="15"/>
      <c r="M52" s="15"/>
      <c r="N52" s="15">
        <v>0.35</v>
      </c>
      <c r="O52" s="15"/>
      <c r="P52" s="15"/>
      <c r="Q52" s="15"/>
      <c r="R52" s="15"/>
      <c r="S52" s="15" t="s">
        <v>107</v>
      </c>
      <c r="T52" s="15"/>
      <c r="U52" s="15"/>
      <c r="V52" s="15"/>
      <c r="W52" s="15"/>
      <c r="X52" s="10"/>
    </row>
    <row r="53" spans="9:24" ht="17.25" x14ac:dyDescent="0.25">
      <c r="I53" s="16" t="s">
        <v>108</v>
      </c>
      <c r="J53" s="16"/>
      <c r="K53" s="16"/>
      <c r="L53" s="16"/>
      <c r="M53" s="16"/>
      <c r="N53" s="16" t="s">
        <v>112</v>
      </c>
      <c r="O53" s="16"/>
      <c r="P53" s="16"/>
      <c r="Q53" s="16"/>
      <c r="R53" s="16"/>
      <c r="S53" s="16" t="s">
        <v>109</v>
      </c>
      <c r="T53" s="16"/>
      <c r="U53" s="16"/>
      <c r="V53" s="16"/>
      <c r="W53" s="16"/>
      <c r="X53" s="11"/>
    </row>
    <row r="54" spans="9:24" ht="20.100000000000001" customHeight="1" x14ac:dyDescent="0.25">
      <c r="I54" s="17" t="s">
        <v>110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</sheetData>
  <mergeCells count="34">
    <mergeCell ref="I3:X5"/>
    <mergeCell ref="I6:X6"/>
    <mergeCell ref="I8:L13"/>
    <mergeCell ref="M8:P13"/>
    <mergeCell ref="Q8:T13"/>
    <mergeCell ref="U8:X13"/>
    <mergeCell ref="I7:L7"/>
    <mergeCell ref="M7:P7"/>
    <mergeCell ref="Q7:T7"/>
    <mergeCell ref="U7:X7"/>
    <mergeCell ref="I54:X54"/>
    <mergeCell ref="I14:L14"/>
    <mergeCell ref="M14:P14"/>
    <mergeCell ref="Q14:T14"/>
    <mergeCell ref="U14:X14"/>
    <mergeCell ref="I48:M48"/>
    <mergeCell ref="N48:R48"/>
    <mergeCell ref="S48:W48"/>
    <mergeCell ref="I47:X47"/>
    <mergeCell ref="S50:W50"/>
    <mergeCell ref="S51:W51"/>
    <mergeCell ref="S52:W52"/>
    <mergeCell ref="S53:W53"/>
    <mergeCell ref="I49:M49"/>
    <mergeCell ref="I50:M50"/>
    <mergeCell ref="I51:M51"/>
    <mergeCell ref="I52:M52"/>
    <mergeCell ref="I53:M53"/>
    <mergeCell ref="N49:R49"/>
    <mergeCell ref="S49:W49"/>
    <mergeCell ref="N50:R50"/>
    <mergeCell ref="N51:R51"/>
    <mergeCell ref="N52:R52"/>
    <mergeCell ref="N53:R53"/>
  </mergeCells>
  <phoneticPr fontId="2" type="noConversion"/>
  <pageMargins left="0.25" right="0.25" top="0.75" bottom="0.75" header="0.3" footer="0.3"/>
  <pageSetup scale="4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8CCA9B-3B8B-4692-982D-889B491C90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Sheet3</vt:lpstr>
      <vt:lpstr>BuildingData_Clean</vt:lpstr>
      <vt:lpstr>Descriptive Stat_Model </vt:lpstr>
      <vt:lpstr>Pivot Table</vt:lpstr>
      <vt:lpstr>Dashboard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Kilyobas Titus</dc:creator>
  <cp:lastModifiedBy>Douglas Kilyobas Titus</cp:lastModifiedBy>
  <cp:lastPrinted>2026-04-02T02:38:19Z</cp:lastPrinted>
  <dcterms:created xsi:type="dcterms:W3CDTF">2026-03-23T20:35:01Z</dcterms:created>
  <dcterms:modified xsi:type="dcterms:W3CDTF">2026-04-09T11:36:27Z</dcterms:modified>
</cp:coreProperties>
</file>